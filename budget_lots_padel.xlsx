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2F5496"/>
      <sz val="12"/>
    </font>
    <font>
      <b val="1"/>
      <color rgb="00FFFFFF"/>
      <sz val="10"/>
    </font>
    <font>
      <sz val="10"/>
    </font>
    <font>
      <b val="1"/>
      <color rgb="00548235"/>
      <sz val="12"/>
    </font>
    <font>
      <b val="1"/>
      <sz val="11"/>
    </font>
    <font>
      <b val="1"/>
      <color rgb="00FF0000"/>
      <sz val="11"/>
    </font>
    <font>
      <b val="1"/>
      <color rgb="00333333"/>
      <sz val="10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FFD966"/>
        <bgColor rgb="00FFD966"/>
      </patternFill>
    </fill>
    <fill>
      <patternFill patternType="solid">
        <fgColor rgb="00D9D9D9"/>
        <bgColor rgb="00D9D9D9"/>
      </patternFill>
    </fill>
    <fill>
      <patternFill patternType="solid">
        <fgColor rgb="00DFC29A"/>
        <bgColor rgb="00DFC29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164" fontId="5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7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8" fillId="1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3" customWidth="1" min="4" max="4"/>
    <col width="22" customWidth="1" min="5" max="5"/>
    <col width="28" customWidth="1" min="6" max="6"/>
    <col width="16" customWidth="1" min="7" max="7"/>
  </cols>
  <sheetData>
    <row r="1">
      <c r="A1" s="1" t="inlineStr">
        <is>
          <t>CATALOGUE DES LOTS</t>
        </is>
      </c>
      <c r="E1" s="2" t="inlineStr">
        <is>
          <t>ATTRIBUTION DES LOTS</t>
        </is>
      </c>
    </row>
    <row r="2">
      <c r="A2" s="3" t="inlineStr">
        <is>
          <t>Budget total :</t>
        </is>
      </c>
      <c r="C2" s="4" t="n">
        <v>84</v>
      </c>
      <c r="E2" s="3" t="inlineStr">
        <is>
          <t>Budget :</t>
        </is>
      </c>
      <c r="G2" s="5">
        <f>C2</f>
        <v/>
      </c>
    </row>
    <row r="4">
      <c r="A4" s="6" t="inlineStr">
        <is>
          <t>#</t>
        </is>
      </c>
      <c r="B4" s="6" t="inlineStr">
        <is>
          <t>Lot</t>
        </is>
      </c>
      <c r="C4" s="6" t="inlineStr">
        <is>
          <t>Prix unitaire</t>
        </is>
      </c>
      <c r="E4" s="7" t="inlineStr">
        <is>
          <t>Place</t>
        </is>
      </c>
      <c r="F4" s="7" t="inlineStr">
        <is>
          <t>Lot attribué</t>
        </is>
      </c>
      <c r="G4" s="7" t="inlineStr">
        <is>
          <t>Coût</t>
        </is>
      </c>
    </row>
    <row r="5">
      <c r="A5" s="8" t="n">
        <v>1</v>
      </c>
      <c r="B5" s="9" t="inlineStr">
        <is>
          <t>Tube balles Padel (x3)</t>
        </is>
      </c>
      <c r="C5" s="10" t="n">
        <v>8</v>
      </c>
      <c r="E5" s="11" t="inlineStr">
        <is>
          <t>1er (x4 lots max)</t>
        </is>
      </c>
      <c r="F5" s="12" t="n"/>
      <c r="G5" s="13">
        <f>IF(F5="",0,VLOOKUP(F5,$B$5:$C$16,2,FALSE))</f>
        <v/>
      </c>
    </row>
    <row r="6">
      <c r="A6" s="14" t="n">
        <v>2</v>
      </c>
      <c r="B6" s="15" t="inlineStr">
        <is>
          <t>Surgrips (lot de 3)</t>
        </is>
      </c>
      <c r="C6" s="16" t="n">
        <v>6</v>
      </c>
      <c r="E6" s="11" t="inlineStr"/>
      <c r="F6" s="12" t="n"/>
      <c r="G6" s="13">
        <f>IF(F6="",0,VLOOKUP(F6,$B$5:$C$16,2,FALSE))</f>
        <v/>
      </c>
    </row>
    <row r="7">
      <c r="A7" s="8" t="n">
        <v>3</v>
      </c>
      <c r="B7" s="9" t="inlineStr">
        <is>
          <t>Bandeau sport</t>
        </is>
      </c>
      <c r="C7" s="10" t="n">
        <v>5</v>
      </c>
      <c r="E7" s="11" t="inlineStr"/>
      <c r="F7" s="12" t="n"/>
      <c r="G7" s="13">
        <f>IF(F7="",0,VLOOKUP(F7,$B$5:$C$16,2,FALSE))</f>
        <v/>
      </c>
    </row>
    <row r="8">
      <c r="A8" s="14" t="n">
        <v>4</v>
      </c>
      <c r="B8" s="15" t="inlineStr">
        <is>
          <t>Bidon isotherme</t>
        </is>
      </c>
      <c r="C8" s="16" t="n">
        <v>12</v>
      </c>
      <c r="E8" s="11" t="inlineStr"/>
      <c r="F8" s="12" t="n"/>
      <c r="G8" s="13">
        <f>IF(F8="",0,VLOOKUP(F8,$B$5:$C$16,2,FALSE))</f>
        <v/>
      </c>
    </row>
    <row r="9">
      <c r="A9" s="8" t="n">
        <v>5</v>
      </c>
      <c r="B9" s="9" t="inlineStr">
        <is>
          <t>Chaussettes sport</t>
        </is>
      </c>
      <c r="C9" s="10" t="n">
        <v>10</v>
      </c>
      <c r="E9" s="17" t="inlineStr">
        <is>
          <t>2ème (x3 lots max)</t>
        </is>
      </c>
      <c r="F9" s="18" t="n"/>
      <c r="G9" s="19">
        <f>IF(F9="",0,VLOOKUP(F9,$B$5:$C$16,2,FALSE))</f>
        <v/>
      </c>
    </row>
    <row r="10">
      <c r="A10" s="14" t="n">
        <v>6</v>
      </c>
      <c r="B10" s="15" t="inlineStr">
        <is>
          <t>Serviette microfibre</t>
        </is>
      </c>
      <c r="C10" s="16" t="n">
        <v>9</v>
      </c>
      <c r="E10" s="17" t="inlineStr"/>
      <c r="F10" s="18" t="n"/>
      <c r="G10" s="19">
        <f>IF(F10="",0,VLOOKUP(F10,$B$5:$C$16,2,FALSE))</f>
        <v/>
      </c>
    </row>
    <row r="11">
      <c r="A11" s="8" t="n">
        <v>7</v>
      </c>
      <c r="B11" s="9" t="inlineStr">
        <is>
          <t>Casquette/Visière</t>
        </is>
      </c>
      <c r="C11" s="10" t="n">
        <v>15</v>
      </c>
      <c r="E11" s="17" t="inlineStr"/>
      <c r="F11" s="18" t="n"/>
      <c r="G11" s="19">
        <f>IF(F11="",0,VLOOKUP(F11,$B$5:$C$16,2,FALSE))</f>
        <v/>
      </c>
    </row>
    <row r="12">
      <c r="A12" s="14" t="n">
        <v>8</v>
      </c>
      <c r="B12" s="15" t="inlineStr">
        <is>
          <t>Sac à chaussures</t>
        </is>
      </c>
      <c r="C12" s="16" t="n">
        <v>18</v>
      </c>
      <c r="E12" s="20" t="inlineStr">
        <is>
          <t>3ème (x2 lots max)</t>
        </is>
      </c>
      <c r="F12" s="21" t="n"/>
      <c r="G12" s="22">
        <f>IF(F12="",0,VLOOKUP(F12,$B$5:$C$16,2,FALSE))</f>
        <v/>
      </c>
    </row>
    <row r="13">
      <c r="A13" s="8" t="n">
        <v>9</v>
      </c>
      <c r="B13" s="9" t="inlineStr">
        <is>
          <t>Protège-raquette</t>
        </is>
      </c>
      <c r="C13" s="10" t="n">
        <v>16</v>
      </c>
      <c r="E13" s="20" t="inlineStr"/>
      <c r="F13" s="21" t="n"/>
      <c r="G13" s="22">
        <f>IF(F13="",0,VLOOKUP(F13,$B$5:$C$16,2,FALSE))</f>
        <v/>
      </c>
    </row>
    <row r="14">
      <c r="A14" s="14" t="n">
        <v>10</v>
      </c>
      <c r="B14" s="15" t="inlineStr">
        <is>
          <t>T-shirt technique</t>
        </is>
      </c>
      <c r="C14" s="16" t="n">
        <v>22</v>
      </c>
      <c r="E14" s="23" t="inlineStr">
        <is>
          <t>TOTAL</t>
        </is>
      </c>
      <c r="F14" s="24" t="inlineStr"/>
      <c r="G14" s="25">
        <f>SUM(G5:G13)</f>
        <v/>
      </c>
    </row>
    <row r="15">
      <c r="A15" s="8" t="n">
        <v>11</v>
      </c>
      <c r="B15" s="9" t="inlineStr">
        <is>
          <t>Pochette de raquette</t>
        </is>
      </c>
      <c r="C15" s="10" t="n">
        <v>25</v>
      </c>
      <c r="E15" s="26" t="inlineStr">
        <is>
          <t>RESTE</t>
        </is>
      </c>
      <c r="F15" s="27" t="inlineStr"/>
      <c r="G15" s="28">
        <f>G2-G14</f>
        <v/>
      </c>
    </row>
    <row r="16">
      <c r="A16" s="14" t="n">
        <v>12</v>
      </c>
      <c r="B16" s="15" t="inlineStr">
        <is>
          <t>Sac de padel compact</t>
        </is>
      </c>
      <c r="C16" s="16" t="n">
        <v>30</v>
      </c>
    </row>
    <row r="17">
      <c r="E17" s="29" t="inlineStr">
        <is>
          <t>Détail par place</t>
        </is>
      </c>
    </row>
    <row r="18">
      <c r="E18" s="11" t="inlineStr">
        <is>
          <t>Total 1er</t>
        </is>
      </c>
      <c r="F18" s="30" t="inlineStr"/>
      <c r="G18" s="31">
        <f>SUM(G5:G8)</f>
        <v/>
      </c>
    </row>
    <row r="19">
      <c r="E19" s="17" t="inlineStr">
        <is>
          <t>Total 2ème</t>
        </is>
      </c>
      <c r="F19" s="32" t="inlineStr"/>
      <c r="G19" s="33">
        <f>SUM(G9:G11)</f>
        <v/>
      </c>
    </row>
    <row r="20">
      <c r="E20" s="20" t="inlineStr">
        <is>
          <t>Total 3ème</t>
        </is>
      </c>
      <c r="F20" s="34" t="inlineStr"/>
      <c r="G20" s="35">
        <f>SUM(G12:G13)</f>
        <v/>
      </c>
    </row>
  </sheetData>
  <mergeCells count="4">
    <mergeCell ref="A1:C1"/>
    <mergeCell ref="E2:F2"/>
    <mergeCell ref="A2:B2"/>
    <mergeCell ref="E1:G1"/>
  </mergeCells>
  <dataValidations count="1">
    <dataValidation sqref="F5 F6 F7 F8 F9 F10 F11 F12 F13" showDropDown="0" showInputMessage="0" showErrorMessage="0" allowBlank="1" errorTitle="Lot invalide" error="Choisissez un lot du catalogue" promptTitle="Choix du lot" prompt="Sélectionnez un lot du catalogue" type="list">
      <formula1>=$B$5:$B$16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2026-04-06T07:41:03Z</dcterms:created>
  <dcterms:modified xsi:type="dcterms:W3CDTF">2026-04-06T07:41:03Z</dcterms:modified>
</cp:coreProperties>
</file>