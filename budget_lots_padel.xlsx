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L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2">
    <font>
      <name val="Calibri"/>
      <family val="2"/>
      <color theme="1"/>
      <sz val="11"/>
      <scheme val="minor"/>
    </font>
    <font>
      <b val="1"/>
      <color rgb="007BED5E"/>
      <sz val="20"/>
    </font>
    <font>
      <b val="1"/>
      <color rgb="00F5A623"/>
      <sz val="12"/>
    </font>
    <font>
      <b val="1"/>
      <color rgb="00F5A623"/>
      <sz val="18"/>
    </font>
    <font>
      <b val="1"/>
      <color rgb="007BED5E"/>
      <sz val="12"/>
    </font>
    <font>
      <b val="1"/>
      <color rgb="001A1A1A"/>
      <sz val="10"/>
    </font>
    <font>
      <b val="1"/>
      <color rgb="007BED5E"/>
      <sz val="10"/>
    </font>
    <font>
      <color rgb="00FFFFFF"/>
      <sz val="10"/>
    </font>
    <font>
      <b val="1"/>
      <color rgb="00F5A623"/>
      <sz val="10"/>
    </font>
    <font>
      <b val="1"/>
      <color rgb="00FFFFFF"/>
      <sz val="10"/>
    </font>
    <font>
      <b val="1"/>
      <color rgb="007BED5E"/>
      <sz val="13"/>
    </font>
    <font>
      <b val="1"/>
      <color rgb="00E84057"/>
      <sz val="13"/>
    </font>
  </fonts>
  <fills count="11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7BED5E"/>
        <bgColor rgb="007BED5E"/>
      </patternFill>
    </fill>
    <fill>
      <patternFill patternType="solid">
        <fgColor rgb="002D2D2D"/>
        <bgColor rgb="002D2D2D"/>
      </patternFill>
    </fill>
    <fill>
      <patternFill patternType="solid">
        <fgColor rgb="003A3A3A"/>
        <bgColor rgb="003A3A3A"/>
      </patternFill>
    </fill>
    <fill>
      <patternFill patternType="solid">
        <fgColor rgb="00F5A623"/>
        <bgColor rgb="00F5A623"/>
      </patternFill>
    </fill>
    <fill>
      <patternFill patternType="solid">
        <fgColor rgb="00FFD966"/>
        <bgColor rgb="00FFD966"/>
      </patternFill>
    </fill>
    <fill>
      <patternFill patternType="solid">
        <fgColor rgb="004A4A4A"/>
        <bgColor rgb="004A4A4A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</fills>
  <borders count="4">
    <border>
      <left/>
      <right/>
      <top/>
      <bottom/>
      <diagonal/>
    </border>
    <border>
      <left style="thin">
        <color rgb="004A4A4A"/>
      </left>
      <right style="thin">
        <color rgb="004A4A4A"/>
      </right>
      <top style="thin">
        <color rgb="004A4A4A"/>
      </top>
      <bottom style="thin">
        <color rgb="004A4A4A"/>
      </bottom>
    </border>
    <border>
      <left style="thin">
        <color rgb="007BED5E"/>
      </left>
      <right style="thin">
        <color rgb="007BED5E"/>
      </right>
      <top style="thin">
        <color rgb="007BED5E"/>
      </top>
      <bottom style="thin">
        <color rgb="007BED5E"/>
      </bottom>
    </border>
    <border>
      <left style="thin">
        <color rgb="00E84057"/>
      </left>
      <right style="thin">
        <color rgb="00E84057"/>
      </right>
      <top style="thin">
        <color rgb="00E84057"/>
      </top>
      <bottom style="thin">
        <color rgb="00E8405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164" fontId="8" fillId="5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164" fontId="6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4" fontId="10" fillId="2" borderId="2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center" vertical="center" wrapText="1"/>
    </xf>
    <xf numFmtId="0" fontId="0" fillId="2" borderId="3" pivotButton="0" quotePrefix="0" xfId="0"/>
    <xf numFmtId="164" fontId="11" fillId="2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333500" cy="800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3" customWidth="1" min="3" max="3"/>
    <col width="14" customWidth="1" min="4" max="4"/>
    <col width="3" customWidth="1" min="5" max="5"/>
    <col width="18" customWidth="1" min="6" max="6"/>
    <col width="28" customWidth="1" min="7" max="7"/>
    <col width="14" customWidth="1" min="8" max="8"/>
  </cols>
  <sheetData>
    <row r="1" ht="22" customHeight="1">
      <c r="A1" s="1" t="n"/>
      <c r="B1" s="1" t="n"/>
      <c r="C1" s="2" t="inlineStr">
        <is>
          <t>TOURNOI
PADEL</t>
        </is>
      </c>
      <c r="E1" s="1" t="n"/>
      <c r="F1" s="3" t="inlineStr">
        <is>
          <t>ATTRIBUTION
DES LOTS</t>
        </is>
      </c>
    </row>
    <row r="2" ht="22" customHeight="1">
      <c r="A2" s="1" t="n"/>
      <c r="B2" s="1" t="n"/>
      <c r="E2" s="1" t="n"/>
    </row>
    <row r="3" ht="22" customHeight="1">
      <c r="A3" s="1" t="n"/>
      <c r="B3" s="1" t="n"/>
      <c r="E3" s="1" t="n"/>
    </row>
    <row r="4" ht="22" customHeight="1">
      <c r="A4" s="1" t="n"/>
      <c r="B4" s="1" t="n"/>
      <c r="C4" s="4" t="inlineStr">
        <is>
          <t>BUDGET LOTS : 84€</t>
        </is>
      </c>
      <c r="E4" s="1" t="n"/>
      <c r="F4" s="5" t="inlineStr">
        <is>
          <t>BUDGET : 84€</t>
        </is>
      </c>
    </row>
    <row r="5" ht="4" customHeight="1">
      <c r="A5" s="6" t="n"/>
      <c r="B5" s="6" t="n"/>
      <c r="C5" s="6" t="n"/>
      <c r="D5" s="6" t="n"/>
      <c r="E5" s="1" t="n"/>
      <c r="F5" s="6" t="n"/>
      <c r="G5" s="6" t="n"/>
      <c r="H5" s="6" t="n"/>
    </row>
    <row r="6" ht="28" customHeight="1">
      <c r="A6" s="7" t="inlineStr">
        <is>
          <t>#</t>
        </is>
      </c>
      <c r="B6" s="7" t="inlineStr">
        <is>
          <t>LOT DISPONIBLE</t>
        </is>
      </c>
      <c r="C6" s="7" t="inlineStr">
        <is>
          <t>  </t>
        </is>
      </c>
      <c r="D6" s="7" t="inlineStr">
        <is>
          <t>PRIX</t>
        </is>
      </c>
      <c r="E6" s="1" t="n"/>
      <c r="F6" s="8" t="inlineStr">
        <is>
          <t>PLACE</t>
        </is>
      </c>
      <c r="G6" s="8" t="inlineStr">
        <is>
          <t>LOT ATTRIBUÉ</t>
        </is>
      </c>
      <c r="H6" s="8" t="inlineStr">
        <is>
          <t>COÛT</t>
        </is>
      </c>
    </row>
    <row r="7" ht="22" customHeight="1">
      <c r="A7" s="9" t="n">
        <v>1</v>
      </c>
      <c r="B7" s="10" t="inlineStr">
        <is>
          <t>Tube balles Padel (x3)</t>
        </is>
      </c>
      <c r="C7" s="11" t="n"/>
      <c r="D7" s="12" t="n">
        <v>8</v>
      </c>
      <c r="E7" s="1" t="n"/>
      <c r="F7" s="13" t="inlineStr">
        <is>
          <t>1ER - Lot 1</t>
        </is>
      </c>
      <c r="G7" s="14" t="n"/>
      <c r="H7" s="12">
        <f>IF(G7="",0,VLOOKUP(G7,$B$7:$D$18,3,FALSE))</f>
        <v/>
      </c>
    </row>
    <row r="8" ht="22" customHeight="1">
      <c r="A8" s="15" t="n">
        <v>2</v>
      </c>
      <c r="B8" s="16" t="inlineStr">
        <is>
          <t>Surgrips (lot de 3)</t>
        </is>
      </c>
      <c r="C8" s="17" t="n"/>
      <c r="D8" s="18" t="n">
        <v>6</v>
      </c>
      <c r="E8" s="1" t="n"/>
      <c r="F8" s="13" t="inlineStr">
        <is>
          <t>Lot 2</t>
        </is>
      </c>
      <c r="G8" s="14" t="n"/>
      <c r="H8" s="12">
        <f>IF(G8="",0,VLOOKUP(G8,$B$7:$D$18,3,FALSE))</f>
        <v/>
      </c>
    </row>
    <row r="9" ht="22" customHeight="1">
      <c r="A9" s="9" t="n">
        <v>3</v>
      </c>
      <c r="B9" s="10" t="inlineStr">
        <is>
          <t>Bandeau sport</t>
        </is>
      </c>
      <c r="C9" s="11" t="n"/>
      <c r="D9" s="12" t="n">
        <v>5</v>
      </c>
      <c r="E9" s="1" t="n"/>
      <c r="F9" s="13" t="inlineStr">
        <is>
          <t>Lot 3</t>
        </is>
      </c>
      <c r="G9" s="14" t="n"/>
      <c r="H9" s="12">
        <f>IF(G9="",0,VLOOKUP(G9,$B$7:$D$18,3,FALSE))</f>
        <v/>
      </c>
    </row>
    <row r="10" ht="22" customHeight="1">
      <c r="A10" s="15" t="n">
        <v>4</v>
      </c>
      <c r="B10" s="16" t="inlineStr">
        <is>
          <t>Bidon isotherme</t>
        </is>
      </c>
      <c r="C10" s="17" t="n"/>
      <c r="D10" s="18" t="n">
        <v>12</v>
      </c>
      <c r="E10" s="1" t="n"/>
      <c r="F10" s="13" t="inlineStr">
        <is>
          <t>Lot 4</t>
        </is>
      </c>
      <c r="G10" s="14" t="n"/>
      <c r="H10" s="12">
        <f>IF(G10="",0,VLOOKUP(G10,$B$7:$D$18,3,FALSE))</f>
        <v/>
      </c>
    </row>
    <row r="11" ht="20" customHeight="1">
      <c r="A11" s="9" t="n">
        <v>5</v>
      </c>
      <c r="B11" s="10" t="inlineStr">
        <is>
          <t>Chaussettes sport</t>
        </is>
      </c>
      <c r="C11" s="11" t="n"/>
      <c r="D11" s="12" t="n">
        <v>10</v>
      </c>
      <c r="E11" s="1" t="n"/>
      <c r="F11" s="19" t="inlineStr">
        <is>
          <t>S/Total 1ER</t>
        </is>
      </c>
      <c r="G11" s="20" t="n"/>
      <c r="H11" s="21">
        <f>SUM(H7:H10)</f>
        <v/>
      </c>
    </row>
    <row r="12" ht="22" customHeight="1">
      <c r="A12" s="15" t="n">
        <v>6</v>
      </c>
      <c r="B12" s="16" t="inlineStr">
        <is>
          <t>Serviette microfibre</t>
        </is>
      </c>
      <c r="C12" s="17" t="n"/>
      <c r="D12" s="18" t="n">
        <v>9</v>
      </c>
      <c r="E12" s="1" t="n"/>
      <c r="F12" s="22" t="inlineStr">
        <is>
          <t>2ÈME - Lot 1</t>
        </is>
      </c>
      <c r="G12" s="14" t="n"/>
      <c r="H12" s="12">
        <f>IF(G12="",0,VLOOKUP(G12,$B$7:$D$18,3,FALSE))</f>
        <v/>
      </c>
    </row>
    <row r="13" ht="22" customHeight="1">
      <c r="A13" s="9" t="n">
        <v>7</v>
      </c>
      <c r="B13" s="10" t="inlineStr">
        <is>
          <t>Casquette / Visière</t>
        </is>
      </c>
      <c r="C13" s="11" t="n"/>
      <c r="D13" s="12" t="n">
        <v>15</v>
      </c>
      <c r="E13" s="1" t="n"/>
      <c r="F13" s="22" t="inlineStr">
        <is>
          <t>Lot 2</t>
        </is>
      </c>
      <c r="G13" s="14" t="n"/>
      <c r="H13" s="12">
        <f>IF(G13="",0,VLOOKUP(G13,$B$7:$D$18,3,FALSE))</f>
        <v/>
      </c>
    </row>
    <row r="14" ht="22" customHeight="1">
      <c r="A14" s="15" t="n">
        <v>8</v>
      </c>
      <c r="B14" s="16" t="inlineStr">
        <is>
          <t>Sac à chaussures</t>
        </is>
      </c>
      <c r="C14" s="17" t="n"/>
      <c r="D14" s="18" t="n">
        <v>18</v>
      </c>
      <c r="E14" s="1" t="n"/>
      <c r="F14" s="22" t="inlineStr">
        <is>
          <t>Lot 3</t>
        </is>
      </c>
      <c r="G14" s="14" t="n"/>
      <c r="H14" s="12">
        <f>IF(G14="",0,VLOOKUP(G14,$B$7:$D$18,3,FALSE))</f>
        <v/>
      </c>
    </row>
    <row r="15" ht="20" customHeight="1">
      <c r="A15" s="9" t="n">
        <v>9</v>
      </c>
      <c r="B15" s="10" t="inlineStr">
        <is>
          <t>Protège-raquette</t>
        </is>
      </c>
      <c r="C15" s="11" t="n"/>
      <c r="D15" s="12" t="n">
        <v>16</v>
      </c>
      <c r="E15" s="1" t="n"/>
      <c r="F15" s="19" t="inlineStr">
        <is>
          <t>S/Total 2ÈME</t>
        </is>
      </c>
      <c r="G15" s="20" t="n"/>
      <c r="H15" s="21">
        <f>SUM(H12:H14)</f>
        <v/>
      </c>
    </row>
    <row r="16" ht="22" customHeight="1">
      <c r="A16" s="15" t="n">
        <v>10</v>
      </c>
      <c r="B16" s="16" t="inlineStr">
        <is>
          <t>T-shirt technique</t>
        </is>
      </c>
      <c r="C16" s="17" t="n"/>
      <c r="D16" s="18" t="n">
        <v>22</v>
      </c>
      <c r="E16" s="1" t="n"/>
      <c r="F16" s="23" t="inlineStr">
        <is>
          <t>3ÈME - Lot 1</t>
        </is>
      </c>
      <c r="G16" s="14" t="n"/>
      <c r="H16" s="12">
        <f>IF(G16="",0,VLOOKUP(G16,$B$7:$D$18,3,FALSE))</f>
        <v/>
      </c>
    </row>
    <row r="17" ht="22" customHeight="1">
      <c r="A17" s="9" t="n">
        <v>11</v>
      </c>
      <c r="B17" s="10" t="inlineStr">
        <is>
          <t>Pochette de raquette</t>
        </is>
      </c>
      <c r="C17" s="11" t="n"/>
      <c r="D17" s="12" t="n">
        <v>25</v>
      </c>
      <c r="E17" s="1" t="n"/>
      <c r="F17" s="23" t="inlineStr">
        <is>
          <t>Lot 2</t>
        </is>
      </c>
      <c r="G17" s="14" t="n"/>
      <c r="H17" s="12">
        <f>IF(G17="",0,VLOOKUP(G17,$B$7:$D$18,3,FALSE))</f>
        <v/>
      </c>
    </row>
    <row r="18" ht="20" customHeight="1">
      <c r="A18" s="15" t="n">
        <v>12</v>
      </c>
      <c r="B18" s="16" t="inlineStr">
        <is>
          <t>Sac de padel compact</t>
        </is>
      </c>
      <c r="C18" s="17" t="n"/>
      <c r="D18" s="18" t="n">
        <v>30</v>
      </c>
      <c r="E18" s="1" t="n"/>
      <c r="F18" s="19" t="inlineStr">
        <is>
          <t>S/Total 3ÈME</t>
        </is>
      </c>
      <c r="G18" s="20" t="n"/>
      <c r="H18" s="21">
        <f>SUM(H16:H17)</f>
        <v/>
      </c>
    </row>
    <row r="19" ht="4" customHeight="1">
      <c r="A19" s="1" t="n"/>
      <c r="B19" s="1" t="n"/>
      <c r="C19" s="1" t="n"/>
      <c r="D19" s="1" t="n"/>
      <c r="E19" s="1" t="n"/>
      <c r="F19" s="6" t="n"/>
      <c r="G19" s="6" t="n"/>
      <c r="H19" s="6" t="n"/>
    </row>
    <row r="20" ht="30" customHeight="1">
      <c r="A20" s="1" t="n"/>
      <c r="B20" s="1" t="n"/>
      <c r="C20" s="1" t="n"/>
      <c r="D20" s="1" t="n"/>
      <c r="E20" s="1" t="n"/>
      <c r="F20" s="24" t="inlineStr">
        <is>
          <t>TOTAL</t>
        </is>
      </c>
      <c r="G20" s="25" t="n"/>
      <c r="H20" s="26">
        <f>H11+H15+H18</f>
        <v/>
      </c>
    </row>
    <row r="21" ht="30" customHeight="1">
      <c r="A21" s="1" t="n"/>
      <c r="B21" s="1" t="n"/>
      <c r="C21" s="1" t="n"/>
      <c r="D21" s="1" t="n"/>
      <c r="E21" s="1" t="n"/>
      <c r="F21" s="27" t="inlineStr">
        <is>
          <t>RESTE</t>
        </is>
      </c>
      <c r="G21" s="28" t="n"/>
      <c r="H21" s="29">
        <f>84-H20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</sheetData>
  <mergeCells count="4">
    <mergeCell ref="C1:D3"/>
    <mergeCell ref="F1:H3"/>
    <mergeCell ref="F4:H4"/>
    <mergeCell ref="C4:D4"/>
  </mergeCells>
  <dataValidations count="1">
    <dataValidation sqref="G7 G8 G9 G10 G12 G13 G14 G16 G17" showDropDown="0" showInputMessage="0" showErrorMessage="0" allowBlank="1" errorTitle="Lot invalide" error="Choisissez un lot du catalogue" promptTitle="Choix du lot" prompt="Sélectionnez un lot du catalogue" type="list">
      <formula1>=$B$7:$B$18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2026-04-06T07:45:09Z</dcterms:created>
  <dcterms:modified xsi:type="dcterms:W3CDTF">2026-04-06T07:45:09Z</dcterms:modified>
</cp:coreProperties>
</file>