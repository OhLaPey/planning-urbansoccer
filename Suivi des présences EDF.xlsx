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6F\EXCELCNV\a7921d7d-62e0-4350-87ba-ec19a107089f\"/>
    </mc:Choice>
  </mc:AlternateContent>
  <xr:revisionPtr revIDLastSave="0" documentId="8_{AF2F1029-9D5E-41FC-A3A8-5C6F67632FDF}" xr6:coauthVersionLast="47" xr6:coauthVersionMax="47" xr10:uidLastSave="{00000000-0000-0000-0000-000000000000}"/>
  <bookViews>
    <workbookView xWindow="-60" yWindow="-60" windowWidth="15480" windowHeight="11640" tabRatio="819" firstSheet="7" activeTab="8" xr2:uid="{F1843F89-CDAD-4126-97FA-F341829A16B5}"/>
  </bookViews>
  <sheets>
    <sheet name="BABY Présence" sheetId="128" r:id="rId1"/>
    <sheet name="LUNDI 17H30 Présence" sheetId="146" r:id="rId2"/>
    <sheet name="MARDI 17H30 Présence" sheetId="97" r:id="rId3"/>
    <sheet name="Feuil1" sheetId="149" state="hidden" r:id="rId4"/>
    <sheet name="MERCREDI 14h Présence" sheetId="122" r:id="rId5"/>
    <sheet name="MERCREDI 15h45 Présence " sheetId="144" r:id="rId6"/>
    <sheet name="VENDREDI 17h30 Présence" sheetId="119" r:id="rId7"/>
    <sheet name="SAMEDI 9h30 Présence" sheetId="134" r:id="rId8"/>
    <sheet name="SAMEDI 11h15 Présence" sheetId="150" r:id="rId9"/>
    <sheet name="SAMEDI 14h00 Présence" sheetId="151" r:id="rId10"/>
    <sheet name="SAMEDI 15h45 Présence" sheetId="152" r:id="rId11"/>
    <sheet name="Listing LUNDI" sheetId="157" r:id="rId12"/>
    <sheet name="Listing MARDI" sheetId="160" r:id="rId13"/>
    <sheet name="Listing MERCREDI" sheetId="156" r:id="rId14"/>
    <sheet name="Listing VENDREDI" sheetId="155" r:id="rId15"/>
    <sheet name="Listing SAMEDI" sheetId="154" r:id="rId16"/>
    <sheet name="Catégorie-Naissance" sheetId="159" r:id="rId17"/>
  </sheets>
  <definedNames>
    <definedName name="_xlnm.Print_Titles" localSheetId="0">'BABY Présence'!$1:$3</definedName>
    <definedName name="_xlnm.Print_Titles" localSheetId="1">'LUNDI 17H30 Présence'!$1:$3</definedName>
    <definedName name="_xlnm.Print_Titles" localSheetId="2">'MARDI 17H30 Présence'!$1:$3</definedName>
    <definedName name="_xlnm.Print_Titles" localSheetId="4">'MERCREDI 14h Présence'!$1:$3</definedName>
    <definedName name="_xlnm.Print_Titles" localSheetId="5">'MERCREDI 15h45 Présence '!$1:$3</definedName>
    <definedName name="_xlnm.Print_Titles" localSheetId="8">'SAMEDI 11h15 Présence'!$1:$3</definedName>
    <definedName name="_xlnm.Print_Titles" localSheetId="9">'SAMEDI 14h00 Présence'!$1:$3</definedName>
    <definedName name="_xlnm.Print_Titles" localSheetId="10">'SAMEDI 15h45 Présence'!$1:$3</definedName>
    <definedName name="_xlnm.Print_Titles" localSheetId="7">'SAMEDI 9h30 Présence'!$1:$3</definedName>
    <definedName name="_xlnm.Print_Titles" localSheetId="6">'VENDREDI 17h30 Présence'!$1:$3</definedName>
    <definedName name="_xlnm.Print_Area" localSheetId="0">'BABY Présence'!$A$1:$AP$54</definedName>
    <definedName name="_xlnm.Print_Area" localSheetId="1">'LUNDI 17H30 Présence'!$A$1:$AM$23</definedName>
    <definedName name="_xlnm.Print_Area" localSheetId="2">'MARDI 17H30 Présence'!$A$1:$AJ$23</definedName>
    <definedName name="_xlnm.Print_Area" localSheetId="4">'MERCREDI 14h Présence'!$A$1:$AP$42</definedName>
    <definedName name="_xlnm.Print_Area" localSheetId="5">'MERCREDI 15h45 Présence '!$A$1:$AP$59</definedName>
    <definedName name="_xlnm.Print_Area" localSheetId="8">'SAMEDI 11h15 Présence'!$A$1:$AP$42</definedName>
    <definedName name="_xlnm.Print_Area" localSheetId="9">'SAMEDI 14h00 Présence'!$A$1:$AP$42</definedName>
    <definedName name="_xlnm.Print_Area" localSheetId="10">'SAMEDI 15h45 Présence'!$A$1:$AP$42</definedName>
    <definedName name="_xlnm.Print_Area" localSheetId="7">'SAMEDI 9h30 Présence'!$A$1:$AP$42</definedName>
    <definedName name="_xlnm.Print_Area" localSheetId="6">'VENDREDI 17h30 Présence'!$A$1:$AP$60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46" l="1"/>
  <c r="C5" i="152"/>
  <c r="C5" i="151"/>
  <c r="C5" i="150"/>
  <c r="C5" i="134"/>
  <c r="C5" i="119"/>
  <c r="C5" i="144"/>
  <c r="C5" i="122"/>
  <c r="AE43" i="144"/>
  <c r="H43" i="156"/>
  <c r="I43" i="156"/>
  <c r="H44" i="156"/>
  <c r="I44" i="156"/>
  <c r="H45" i="156"/>
  <c r="I45" i="156"/>
  <c r="H46" i="156"/>
  <c r="I46" i="156"/>
  <c r="H47" i="156"/>
  <c r="I47" i="156"/>
  <c r="H48" i="156"/>
  <c r="I48" i="156"/>
  <c r="H49" i="156"/>
  <c r="I49" i="156"/>
  <c r="C43" i="156"/>
  <c r="D43" i="156"/>
  <c r="C44" i="156"/>
  <c r="D44" i="156"/>
  <c r="C45" i="156"/>
  <c r="D45" i="156"/>
  <c r="C46" i="156"/>
  <c r="D46" i="156"/>
  <c r="C47" i="156"/>
  <c r="D47" i="156"/>
  <c r="C48" i="156"/>
  <c r="D48" i="156"/>
  <c r="C49" i="156"/>
  <c r="D49" i="156"/>
  <c r="M35" i="156"/>
  <c r="N35" i="156"/>
  <c r="M23" i="156"/>
  <c r="N23" i="156"/>
  <c r="M24" i="156"/>
  <c r="N24" i="156"/>
  <c r="M25" i="156"/>
  <c r="N25" i="156"/>
  <c r="M26" i="156"/>
  <c r="N26" i="156"/>
  <c r="M27" i="156"/>
  <c r="N27" i="156"/>
  <c r="M28" i="156"/>
  <c r="N28" i="156"/>
  <c r="M29" i="156"/>
  <c r="N29" i="156"/>
  <c r="M30" i="156"/>
  <c r="N30" i="156"/>
  <c r="M31" i="156"/>
  <c r="N31" i="156"/>
  <c r="M32" i="156"/>
  <c r="N32" i="156"/>
  <c r="M33" i="156"/>
  <c r="N33" i="156"/>
  <c r="M34" i="156"/>
  <c r="N34" i="156"/>
  <c r="H24" i="156"/>
  <c r="I24" i="156"/>
  <c r="H25" i="156"/>
  <c r="I25" i="156"/>
  <c r="H26" i="156"/>
  <c r="I26" i="156"/>
  <c r="H27" i="156"/>
  <c r="I27" i="156"/>
  <c r="H28" i="156"/>
  <c r="I28" i="156"/>
  <c r="H29" i="156"/>
  <c r="I29" i="156"/>
  <c r="H30" i="156"/>
  <c r="I30" i="156"/>
  <c r="H31" i="156"/>
  <c r="I31" i="156"/>
  <c r="H32" i="156"/>
  <c r="I32" i="156"/>
  <c r="H33" i="156"/>
  <c r="I33" i="156"/>
  <c r="H34" i="156"/>
  <c r="I34" i="156"/>
  <c r="H35" i="156"/>
  <c r="I35" i="156"/>
  <c r="H36" i="156"/>
  <c r="I36" i="156"/>
  <c r="H37" i="156"/>
  <c r="I37" i="156"/>
  <c r="H38" i="156"/>
  <c r="I38" i="156"/>
  <c r="C24" i="156"/>
  <c r="D24" i="156"/>
  <c r="C25" i="156"/>
  <c r="D25" i="156"/>
  <c r="C26" i="156"/>
  <c r="D26" i="156"/>
  <c r="C27" i="156"/>
  <c r="D27" i="156"/>
  <c r="C28" i="156"/>
  <c r="D28" i="156"/>
  <c r="C29" i="156"/>
  <c r="D29" i="156"/>
  <c r="C30" i="156"/>
  <c r="D30" i="156"/>
  <c r="C31" i="156"/>
  <c r="D31" i="156"/>
  <c r="C32" i="156"/>
  <c r="D32" i="156"/>
  <c r="C33" i="156"/>
  <c r="D33" i="156"/>
  <c r="C34" i="156"/>
  <c r="D34" i="156"/>
  <c r="C35" i="156"/>
  <c r="D35" i="156"/>
  <c r="C36" i="156"/>
  <c r="D36" i="156"/>
  <c r="C37" i="156"/>
  <c r="D37" i="156"/>
  <c r="C38" i="156"/>
  <c r="D38" i="156"/>
  <c r="M5" i="156"/>
  <c r="N5" i="156"/>
  <c r="M6" i="156"/>
  <c r="N6" i="156"/>
  <c r="M7" i="156"/>
  <c r="N7" i="156"/>
  <c r="M8" i="156"/>
  <c r="N8" i="156"/>
  <c r="M9" i="156"/>
  <c r="N9" i="156"/>
  <c r="M10" i="156"/>
  <c r="N10" i="156"/>
  <c r="M11" i="156"/>
  <c r="N11" i="156"/>
  <c r="M12" i="156"/>
  <c r="N12" i="156"/>
  <c r="M13" i="156"/>
  <c r="N13" i="156"/>
  <c r="M14" i="156"/>
  <c r="N14" i="156"/>
  <c r="H5" i="156"/>
  <c r="I5" i="156"/>
  <c r="H6" i="156"/>
  <c r="I6" i="156"/>
  <c r="H7" i="156"/>
  <c r="I7" i="156"/>
  <c r="H8" i="156"/>
  <c r="I8" i="156"/>
  <c r="H9" i="156"/>
  <c r="I9" i="156"/>
  <c r="H10" i="156"/>
  <c r="I10" i="156"/>
  <c r="H11" i="156"/>
  <c r="I11" i="156"/>
  <c r="H12" i="156"/>
  <c r="I12" i="156"/>
  <c r="H13" i="156"/>
  <c r="I13" i="156"/>
  <c r="H14" i="156"/>
  <c r="I14" i="156"/>
  <c r="H15" i="156"/>
  <c r="I15" i="156"/>
  <c r="C5" i="156"/>
  <c r="D5" i="156"/>
  <c r="C6" i="156"/>
  <c r="D6" i="156"/>
  <c r="C7" i="156"/>
  <c r="D7" i="156"/>
  <c r="C8" i="156"/>
  <c r="D8" i="156"/>
  <c r="C9" i="156"/>
  <c r="D9" i="156"/>
  <c r="C10" i="156"/>
  <c r="D10" i="156"/>
  <c r="C11" i="156"/>
  <c r="D11" i="156"/>
  <c r="C12" i="156"/>
  <c r="D12" i="156"/>
  <c r="C13" i="156"/>
  <c r="D13" i="156"/>
  <c r="C14" i="156"/>
  <c r="D14" i="156"/>
  <c r="C45" i="146"/>
  <c r="AA63" i="119"/>
  <c r="AB63" i="119"/>
  <c r="AC63" i="119"/>
  <c r="AD63" i="119"/>
  <c r="AE63" i="119"/>
  <c r="AF63" i="119"/>
  <c r="AG63" i="119"/>
  <c r="AH63" i="119"/>
  <c r="AI63" i="119"/>
  <c r="AJ63" i="119"/>
  <c r="AK63" i="119"/>
  <c r="AL63" i="119"/>
  <c r="AM63" i="119"/>
  <c r="AN63" i="119"/>
  <c r="AO63" i="119"/>
  <c r="AP63" i="119"/>
  <c r="AQ63" i="119"/>
  <c r="AR63" i="119"/>
  <c r="AS63" i="119"/>
  <c r="AT63" i="119"/>
  <c r="E63" i="119"/>
  <c r="F63" i="119"/>
  <c r="G63" i="119"/>
  <c r="H63" i="119"/>
  <c r="I63" i="119"/>
  <c r="J63" i="119"/>
  <c r="K63" i="119"/>
  <c r="L63" i="119"/>
  <c r="M63" i="119"/>
  <c r="N63" i="119"/>
  <c r="O63" i="119"/>
  <c r="P63" i="119"/>
  <c r="Q63" i="119"/>
  <c r="R63" i="119"/>
  <c r="S63" i="119"/>
  <c r="T63" i="119"/>
  <c r="U63" i="119"/>
  <c r="V63" i="119"/>
  <c r="W63" i="119"/>
  <c r="X63" i="119"/>
  <c r="Y63" i="119"/>
  <c r="Z63" i="119"/>
  <c r="H5" i="155"/>
  <c r="I5" i="155"/>
  <c r="H6" i="155"/>
  <c r="I6" i="155"/>
  <c r="H7" i="155"/>
  <c r="I7" i="155"/>
  <c r="H8" i="155"/>
  <c r="I8" i="155"/>
  <c r="H9" i="155"/>
  <c r="I9" i="155"/>
  <c r="H10" i="155"/>
  <c r="I10" i="155"/>
  <c r="H11" i="155"/>
  <c r="I11" i="155"/>
  <c r="H12" i="155"/>
  <c r="I12" i="155"/>
  <c r="H13" i="155"/>
  <c r="I13" i="155"/>
  <c r="H14" i="155"/>
  <c r="I14" i="155"/>
  <c r="H15" i="155"/>
  <c r="I15" i="155"/>
  <c r="H16" i="155"/>
  <c r="I16" i="155"/>
  <c r="H17" i="155"/>
  <c r="I17" i="155"/>
  <c r="H18" i="155"/>
  <c r="I18" i="155"/>
  <c r="M19" i="155"/>
  <c r="N19" i="155"/>
  <c r="M20" i="155"/>
  <c r="N20" i="155"/>
  <c r="C65" i="122"/>
  <c r="D5" i="128" s="1"/>
  <c r="C85" i="134"/>
  <c r="C52" i="154"/>
  <c r="D52" i="154"/>
  <c r="C53" i="154"/>
  <c r="D53" i="154"/>
  <c r="H52" i="154"/>
  <c r="I52" i="154"/>
  <c r="H53" i="154"/>
  <c r="I53" i="154"/>
  <c r="C62" i="154"/>
  <c r="D62" i="154"/>
  <c r="C63" i="154"/>
  <c r="D63" i="154"/>
  <c r="C64" i="154"/>
  <c r="D64" i="154"/>
  <c r="C65" i="154"/>
  <c r="D65" i="154"/>
  <c r="C66" i="154"/>
  <c r="D66" i="154"/>
  <c r="C67" i="154"/>
  <c r="D67" i="154"/>
  <c r="C68" i="154"/>
  <c r="D68" i="154"/>
  <c r="H62" i="154"/>
  <c r="I62" i="154"/>
  <c r="H63" i="154"/>
  <c r="I63" i="154"/>
  <c r="H64" i="154"/>
  <c r="I64" i="154"/>
  <c r="H65" i="154"/>
  <c r="I65" i="154"/>
  <c r="H66" i="154"/>
  <c r="I66" i="154"/>
  <c r="H67" i="154"/>
  <c r="I67" i="154"/>
  <c r="H68" i="154"/>
  <c r="I68" i="154"/>
  <c r="H69" i="154"/>
  <c r="I69" i="154"/>
  <c r="H70" i="154"/>
  <c r="I70" i="154"/>
  <c r="N4" i="156"/>
  <c r="M4" i="156"/>
  <c r="C19" i="155"/>
  <c r="D19" i="155"/>
  <c r="H51" i="154"/>
  <c r="I51" i="154"/>
  <c r="AU48" i="144"/>
  <c r="AU49" i="144"/>
  <c r="AU50" i="144"/>
  <c r="AU51" i="144"/>
  <c r="AU52" i="144"/>
  <c r="AU53" i="144"/>
  <c r="AU54" i="144"/>
  <c r="AU55" i="144"/>
  <c r="AU56" i="144"/>
  <c r="AU57" i="144"/>
  <c r="AU58" i="144"/>
  <c r="AU59" i="144"/>
  <c r="AU60" i="144"/>
  <c r="AU61" i="144"/>
  <c r="AU62" i="144"/>
  <c r="AU47" i="144"/>
  <c r="C65" i="119"/>
  <c r="C5" i="157"/>
  <c r="D5" i="157"/>
  <c r="C6" i="157"/>
  <c r="D6" i="157"/>
  <c r="C7" i="157"/>
  <c r="D7" i="157"/>
  <c r="C8" i="157"/>
  <c r="D8" i="157"/>
  <c r="C9" i="157"/>
  <c r="D9" i="157"/>
  <c r="C10" i="157"/>
  <c r="D10" i="157"/>
  <c r="C11" i="157"/>
  <c r="D11" i="157"/>
  <c r="C12" i="157"/>
  <c r="D12" i="157"/>
  <c r="C13" i="157"/>
  <c r="D13" i="157"/>
  <c r="C14" i="157"/>
  <c r="D14" i="157"/>
  <c r="C15" i="157"/>
  <c r="D15" i="157"/>
  <c r="C16" i="157"/>
  <c r="D16" i="157"/>
  <c r="C17" i="157"/>
  <c r="D17" i="157"/>
  <c r="H19" i="154"/>
  <c r="I19" i="154"/>
  <c r="K45" i="97"/>
  <c r="L45" i="97"/>
  <c r="M53" i="154"/>
  <c r="N53" i="154"/>
  <c r="C17" i="155"/>
  <c r="D17" i="155"/>
  <c r="C18" i="155"/>
  <c r="D18" i="155"/>
  <c r="C51" i="154"/>
  <c r="D51" i="154"/>
  <c r="M37" i="154"/>
  <c r="N37" i="154"/>
  <c r="M52" i="154"/>
  <c r="N52" i="154"/>
  <c r="C16" i="155"/>
  <c r="D16" i="155"/>
  <c r="M43" i="144"/>
  <c r="H18" i="154"/>
  <c r="I18" i="154"/>
  <c r="H17" i="154"/>
  <c r="I17" i="154"/>
  <c r="C15" i="155"/>
  <c r="D15" i="155"/>
  <c r="M15" i="154"/>
  <c r="N15" i="154"/>
  <c r="C50" i="154"/>
  <c r="D50" i="154"/>
  <c r="C5" i="155"/>
  <c r="D5" i="155"/>
  <c r="C6" i="155"/>
  <c r="D6" i="155"/>
  <c r="C7" i="155"/>
  <c r="D7" i="155"/>
  <c r="C8" i="155"/>
  <c r="D8" i="155"/>
  <c r="C9" i="155"/>
  <c r="D9" i="155"/>
  <c r="C10" i="155"/>
  <c r="D10" i="155"/>
  <c r="C11" i="155"/>
  <c r="D11" i="155"/>
  <c r="C12" i="155"/>
  <c r="D12" i="155"/>
  <c r="C13" i="155"/>
  <c r="D13" i="155"/>
  <c r="C14" i="155"/>
  <c r="D14" i="155"/>
  <c r="M51" i="154"/>
  <c r="N51" i="154"/>
  <c r="C19" i="154"/>
  <c r="D19" i="154"/>
  <c r="H16" i="154"/>
  <c r="I16" i="154"/>
  <c r="M13" i="154"/>
  <c r="N13" i="154"/>
  <c r="M14" i="154"/>
  <c r="N14" i="154"/>
  <c r="C9" i="160"/>
  <c r="D9" i="160"/>
  <c r="C45" i="152"/>
  <c r="C45" i="151"/>
  <c r="C85" i="150"/>
  <c r="C65" i="144"/>
  <c r="C45" i="97"/>
  <c r="C62" i="128"/>
  <c r="M43" i="154"/>
  <c r="N43" i="154"/>
  <c r="M44" i="154"/>
  <c r="N44" i="154"/>
  <c r="M45" i="154"/>
  <c r="N45" i="154"/>
  <c r="M46" i="154"/>
  <c r="N46" i="154"/>
  <c r="M47" i="154"/>
  <c r="N47" i="154"/>
  <c r="M48" i="154"/>
  <c r="N48" i="154"/>
  <c r="M49" i="154"/>
  <c r="N49" i="154"/>
  <c r="M50" i="154"/>
  <c r="N50" i="154"/>
  <c r="N42" i="154"/>
  <c r="D4" i="154"/>
  <c r="D5" i="154"/>
  <c r="D6" i="154"/>
  <c r="D7" i="154"/>
  <c r="D8" i="154"/>
  <c r="D9" i="154"/>
  <c r="D10" i="154"/>
  <c r="D11" i="154"/>
  <c r="D12" i="154"/>
  <c r="D13" i="154"/>
  <c r="D14" i="154"/>
  <c r="D15" i="154"/>
  <c r="D16" i="154"/>
  <c r="D17" i="154"/>
  <c r="D18" i="154"/>
  <c r="C5" i="154"/>
  <c r="C6" i="154"/>
  <c r="C7" i="154"/>
  <c r="C8" i="154"/>
  <c r="C9" i="154"/>
  <c r="C10" i="154"/>
  <c r="C11" i="154"/>
  <c r="C12" i="154"/>
  <c r="C13" i="154"/>
  <c r="C14" i="154"/>
  <c r="C15" i="154"/>
  <c r="C16" i="154"/>
  <c r="C17" i="154"/>
  <c r="C18" i="154"/>
  <c r="M36" i="154"/>
  <c r="N36" i="154"/>
  <c r="H5" i="160"/>
  <c r="I5" i="160"/>
  <c r="H6" i="160"/>
  <c r="I6" i="160"/>
  <c r="H7" i="160"/>
  <c r="I7" i="160"/>
  <c r="H8" i="160"/>
  <c r="I8" i="160"/>
  <c r="H9" i="160"/>
  <c r="I9" i="160"/>
  <c r="H10" i="160"/>
  <c r="I10" i="160"/>
  <c r="H11" i="160"/>
  <c r="I11" i="160"/>
  <c r="H12" i="160"/>
  <c r="I12" i="160"/>
  <c r="H13" i="160"/>
  <c r="I13" i="160"/>
  <c r="I4" i="160"/>
  <c r="H4" i="160"/>
  <c r="C5" i="160"/>
  <c r="D5" i="160"/>
  <c r="C6" i="160"/>
  <c r="D6" i="160"/>
  <c r="C7" i="160"/>
  <c r="D7" i="160"/>
  <c r="C8" i="160"/>
  <c r="D8" i="160"/>
  <c r="D4" i="160"/>
  <c r="C4" i="160"/>
  <c r="H43" i="154"/>
  <c r="I43" i="154"/>
  <c r="H44" i="154"/>
  <c r="I44" i="154"/>
  <c r="H45" i="154"/>
  <c r="I45" i="154"/>
  <c r="H46" i="154"/>
  <c r="I46" i="154"/>
  <c r="H47" i="154"/>
  <c r="I47" i="154"/>
  <c r="H48" i="154"/>
  <c r="I48" i="154"/>
  <c r="H49" i="154"/>
  <c r="I49" i="154"/>
  <c r="H50" i="154"/>
  <c r="I50" i="154"/>
  <c r="M5" i="155"/>
  <c r="N5" i="155"/>
  <c r="M6" i="155"/>
  <c r="N6" i="155"/>
  <c r="M7" i="155"/>
  <c r="N7" i="155"/>
  <c r="M8" i="155"/>
  <c r="N8" i="155"/>
  <c r="M9" i="155"/>
  <c r="N9" i="155"/>
  <c r="M10" i="155"/>
  <c r="N10" i="155"/>
  <c r="M11" i="155"/>
  <c r="N11" i="155"/>
  <c r="M12" i="155"/>
  <c r="N12" i="155"/>
  <c r="M13" i="155"/>
  <c r="N13" i="155"/>
  <c r="M14" i="155"/>
  <c r="N14" i="155"/>
  <c r="M15" i="155"/>
  <c r="N15" i="155"/>
  <c r="M16" i="155"/>
  <c r="N16" i="155"/>
  <c r="M17" i="155"/>
  <c r="N17" i="155"/>
  <c r="M18" i="155"/>
  <c r="N18" i="155"/>
  <c r="H5" i="154"/>
  <c r="I5" i="154"/>
  <c r="H6" i="154"/>
  <c r="I6" i="154"/>
  <c r="H7" i="154"/>
  <c r="I7" i="154"/>
  <c r="H8" i="154"/>
  <c r="I8" i="154"/>
  <c r="H9" i="154"/>
  <c r="I9" i="154"/>
  <c r="H10" i="154"/>
  <c r="I10" i="154"/>
  <c r="H11" i="154"/>
  <c r="I11" i="154"/>
  <c r="H12" i="154"/>
  <c r="I12" i="154"/>
  <c r="H13" i="154"/>
  <c r="I13" i="154"/>
  <c r="H14" i="154"/>
  <c r="I14" i="154"/>
  <c r="H15" i="154"/>
  <c r="I15" i="154"/>
  <c r="I4" i="154"/>
  <c r="C43" i="154"/>
  <c r="D43" i="154"/>
  <c r="C44" i="154"/>
  <c r="D44" i="154"/>
  <c r="C45" i="154"/>
  <c r="D45" i="154"/>
  <c r="C46" i="154"/>
  <c r="D46" i="154"/>
  <c r="C47" i="154"/>
  <c r="D47" i="154"/>
  <c r="C48" i="154"/>
  <c r="D48" i="154"/>
  <c r="C49" i="154"/>
  <c r="D49" i="154"/>
  <c r="M24" i="154"/>
  <c r="N24" i="154"/>
  <c r="M25" i="154"/>
  <c r="N25" i="154"/>
  <c r="M26" i="154"/>
  <c r="N26" i="154"/>
  <c r="M27" i="154"/>
  <c r="N27" i="154"/>
  <c r="M28" i="154"/>
  <c r="N28" i="154"/>
  <c r="M29" i="154"/>
  <c r="N29" i="154"/>
  <c r="M30" i="154"/>
  <c r="N30" i="154"/>
  <c r="M31" i="154"/>
  <c r="N31" i="154"/>
  <c r="M32" i="154"/>
  <c r="N32" i="154"/>
  <c r="M33" i="154"/>
  <c r="N33" i="154"/>
  <c r="M34" i="154"/>
  <c r="N34" i="154"/>
  <c r="M35" i="154"/>
  <c r="N35" i="154"/>
  <c r="H24" i="154"/>
  <c r="I24" i="154"/>
  <c r="H25" i="154"/>
  <c r="I25" i="154"/>
  <c r="H26" i="154"/>
  <c r="I26" i="154"/>
  <c r="H27" i="154"/>
  <c r="I27" i="154"/>
  <c r="H28" i="154"/>
  <c r="I28" i="154"/>
  <c r="H29" i="154"/>
  <c r="I29" i="154"/>
  <c r="H30" i="154"/>
  <c r="I30" i="154"/>
  <c r="H31" i="154"/>
  <c r="I31" i="154"/>
  <c r="H32" i="154"/>
  <c r="I32" i="154"/>
  <c r="H33" i="154"/>
  <c r="I33" i="154"/>
  <c r="H34" i="154"/>
  <c r="I34" i="154"/>
  <c r="H35" i="154"/>
  <c r="I35" i="154"/>
  <c r="H36" i="154"/>
  <c r="I36" i="154"/>
  <c r="C24" i="154"/>
  <c r="D24" i="154"/>
  <c r="C25" i="154"/>
  <c r="D25" i="154"/>
  <c r="C26" i="154"/>
  <c r="D26" i="154"/>
  <c r="C27" i="154"/>
  <c r="D27" i="154"/>
  <c r="C28" i="154"/>
  <c r="D28" i="154"/>
  <c r="C29" i="154"/>
  <c r="D29" i="154"/>
  <c r="C30" i="154"/>
  <c r="D30" i="154"/>
  <c r="C31" i="154"/>
  <c r="D31" i="154"/>
  <c r="C32" i="154"/>
  <c r="D32" i="154"/>
  <c r="C33" i="154"/>
  <c r="D33" i="154"/>
  <c r="M5" i="154"/>
  <c r="N5" i="154"/>
  <c r="M6" i="154"/>
  <c r="N6" i="154"/>
  <c r="M7" i="154"/>
  <c r="N7" i="154"/>
  <c r="M8" i="154"/>
  <c r="N8" i="154"/>
  <c r="M9" i="154"/>
  <c r="N9" i="154"/>
  <c r="M10" i="154"/>
  <c r="N10" i="154"/>
  <c r="M11" i="154"/>
  <c r="N11" i="154"/>
  <c r="M12" i="154"/>
  <c r="N12" i="154"/>
  <c r="I4" i="156"/>
  <c r="D4" i="157"/>
  <c r="C4" i="157"/>
  <c r="N4" i="155"/>
  <c r="I4" i="155"/>
  <c r="D4" i="155"/>
  <c r="M4" i="155"/>
  <c r="H4" i="155"/>
  <c r="C4" i="155"/>
  <c r="I61" i="154"/>
  <c r="H61" i="154"/>
  <c r="D61" i="154"/>
  <c r="C61" i="154"/>
  <c r="M42" i="154"/>
  <c r="I42" i="154"/>
  <c r="H42" i="154"/>
  <c r="D42" i="154"/>
  <c r="C42" i="154"/>
  <c r="N23" i="154"/>
  <c r="M23" i="154"/>
  <c r="I23" i="154"/>
  <c r="H23" i="154"/>
  <c r="D23" i="154"/>
  <c r="C23" i="154"/>
  <c r="N4" i="154"/>
  <c r="M4" i="154"/>
  <c r="H4" i="154"/>
  <c r="C4" i="154"/>
  <c r="D42" i="156"/>
  <c r="I42" i="156"/>
  <c r="H42" i="156"/>
  <c r="C42" i="156"/>
  <c r="I23" i="156"/>
  <c r="H23" i="156"/>
  <c r="D23" i="156"/>
  <c r="C23" i="156"/>
  <c r="H4" i="156"/>
  <c r="D4" i="156"/>
  <c r="C4" i="156"/>
  <c r="AT63" i="144"/>
  <c r="AQ63" i="144"/>
  <c r="AR63" i="144"/>
  <c r="AS63" i="144"/>
  <c r="E63" i="144"/>
  <c r="C5" i="97"/>
  <c r="E17" i="128"/>
  <c r="E30" i="128"/>
  <c r="E45" i="128"/>
  <c r="E59" i="128"/>
  <c r="R23" i="152"/>
  <c r="AU36" i="128"/>
  <c r="AU56" i="128"/>
  <c r="AU55" i="128"/>
  <c r="AU54" i="128"/>
  <c r="AU53" i="128"/>
  <c r="AU52" i="128"/>
  <c r="AU51" i="128"/>
  <c r="AU50" i="128"/>
  <c r="AU49" i="128"/>
  <c r="AU48" i="128"/>
  <c r="AU47" i="128"/>
  <c r="AU43" i="128"/>
  <c r="AU42" i="128"/>
  <c r="AU41" i="128"/>
  <c r="AU40" i="128"/>
  <c r="AU39" i="128"/>
  <c r="AU38" i="128"/>
  <c r="AU37" i="128"/>
  <c r="AU35" i="128"/>
  <c r="AU34" i="128"/>
  <c r="E43" i="97"/>
  <c r="AT43" i="152"/>
  <c r="AS43" i="152"/>
  <c r="AR43" i="152"/>
  <c r="AQ43" i="152"/>
  <c r="AP43" i="152"/>
  <c r="AO43" i="152"/>
  <c r="AN43" i="152"/>
  <c r="AM43" i="152"/>
  <c r="AL43" i="152"/>
  <c r="AK43" i="152"/>
  <c r="AJ43" i="152"/>
  <c r="AI43" i="152"/>
  <c r="AH43" i="152"/>
  <c r="AG43" i="152"/>
  <c r="AF43" i="152"/>
  <c r="AE43" i="152"/>
  <c r="AD43" i="152"/>
  <c r="AC43" i="152"/>
  <c r="AB43" i="152"/>
  <c r="AA43" i="152"/>
  <c r="Z43" i="152"/>
  <c r="Y43" i="152"/>
  <c r="X43" i="152"/>
  <c r="W43" i="152"/>
  <c r="V43" i="152"/>
  <c r="U43" i="152"/>
  <c r="T43" i="152"/>
  <c r="S43" i="152"/>
  <c r="R43" i="152"/>
  <c r="Q43" i="152"/>
  <c r="P43" i="152"/>
  <c r="O43" i="152"/>
  <c r="N43" i="152"/>
  <c r="M43" i="152"/>
  <c r="L43" i="152"/>
  <c r="K43" i="152"/>
  <c r="J43" i="152"/>
  <c r="I43" i="152"/>
  <c r="AU43" i="152" s="1"/>
  <c r="H43" i="152"/>
  <c r="G43" i="152"/>
  <c r="F43" i="152"/>
  <c r="E43" i="152"/>
  <c r="AU42" i="152"/>
  <c r="AU41" i="152"/>
  <c r="AU40" i="152"/>
  <c r="AU39" i="152"/>
  <c r="AU38" i="152"/>
  <c r="AU37" i="152"/>
  <c r="AU36" i="152"/>
  <c r="AU35" i="152"/>
  <c r="AU34" i="152"/>
  <c r="AU33" i="152"/>
  <c r="AU32" i="152"/>
  <c r="AU31" i="152"/>
  <c r="AU30" i="152"/>
  <c r="AU29" i="152"/>
  <c r="AU28" i="152"/>
  <c r="AU27" i="152"/>
  <c r="AU26" i="152"/>
  <c r="F24" i="152"/>
  <c r="G24" i="152" s="1"/>
  <c r="H24" i="152" s="1"/>
  <c r="I24" i="152" s="1"/>
  <c r="J24" i="152" s="1"/>
  <c r="K24" i="152" s="1"/>
  <c r="L24" i="152" s="1"/>
  <c r="M24" i="152" s="1"/>
  <c r="N24" i="152" s="1"/>
  <c r="O24" i="152" s="1"/>
  <c r="P24" i="152" s="1"/>
  <c r="Q24" i="152" s="1"/>
  <c r="R24" i="152" s="1"/>
  <c r="S24" i="152" s="1"/>
  <c r="T24" i="152" s="1"/>
  <c r="U24" i="152" s="1"/>
  <c r="V24" i="152" s="1"/>
  <c r="W24" i="152" s="1"/>
  <c r="X24" i="152" s="1"/>
  <c r="Y24" i="152" s="1"/>
  <c r="Z24" i="152" s="1"/>
  <c r="AA24" i="152" s="1"/>
  <c r="AB24" i="152" s="1"/>
  <c r="AC24" i="152" s="1"/>
  <c r="AD24" i="152" s="1"/>
  <c r="AE24" i="152" s="1"/>
  <c r="AF24" i="152" s="1"/>
  <c r="AG24" i="152" s="1"/>
  <c r="AH24" i="152" s="1"/>
  <c r="AI24" i="152" s="1"/>
  <c r="AJ24" i="152" s="1"/>
  <c r="AK24" i="152" s="1"/>
  <c r="AL24" i="152" s="1"/>
  <c r="AM24" i="152" s="1"/>
  <c r="AN24" i="152" s="1"/>
  <c r="AO24" i="152" s="1"/>
  <c r="AP24" i="152" s="1"/>
  <c r="AQ24" i="152" s="1"/>
  <c r="AR24" i="152" s="1"/>
  <c r="AS24" i="152" s="1"/>
  <c r="AT24" i="152" s="1"/>
  <c r="AT23" i="152"/>
  <c r="AS23" i="152"/>
  <c r="AR23" i="152"/>
  <c r="AQ23" i="152"/>
  <c r="AP23" i="152"/>
  <c r="AO23" i="152"/>
  <c r="AN23" i="152"/>
  <c r="AM23" i="152"/>
  <c r="AL23" i="152"/>
  <c r="AK23" i="152"/>
  <c r="AJ23" i="152"/>
  <c r="AI23" i="152"/>
  <c r="AH23" i="152"/>
  <c r="AG23" i="152"/>
  <c r="AF23" i="152"/>
  <c r="AE23" i="152"/>
  <c r="AD23" i="152"/>
  <c r="AC23" i="152"/>
  <c r="AB23" i="152"/>
  <c r="AA23" i="152"/>
  <c r="Z23" i="152"/>
  <c r="Y23" i="152"/>
  <c r="X23" i="152"/>
  <c r="W23" i="152"/>
  <c r="V23" i="152"/>
  <c r="U23" i="152"/>
  <c r="T23" i="152"/>
  <c r="S23" i="152"/>
  <c r="Q23" i="152"/>
  <c r="P23" i="152"/>
  <c r="O23" i="152"/>
  <c r="N23" i="152"/>
  <c r="M23" i="152"/>
  <c r="L23" i="152"/>
  <c r="K23" i="152"/>
  <c r="J23" i="152"/>
  <c r="I23" i="152"/>
  <c r="AU23" i="152" s="1"/>
  <c r="H23" i="152"/>
  <c r="G23" i="152"/>
  <c r="F23" i="152"/>
  <c r="E23" i="152"/>
  <c r="AU22" i="152"/>
  <c r="AU21" i="152"/>
  <c r="AU20" i="152"/>
  <c r="AU19" i="152"/>
  <c r="AU18" i="152"/>
  <c r="AU17" i="152"/>
  <c r="AU16" i="152"/>
  <c r="AU15" i="152"/>
  <c r="AU14" i="152"/>
  <c r="AU13" i="152"/>
  <c r="AU12" i="152"/>
  <c r="AU11" i="152"/>
  <c r="AU10" i="152"/>
  <c r="AU9" i="152"/>
  <c r="AU8" i="152"/>
  <c r="AU7" i="152"/>
  <c r="AU6" i="152"/>
  <c r="F4" i="152"/>
  <c r="G4" i="152" s="1"/>
  <c r="H4" i="152" s="1"/>
  <c r="I4" i="152" s="1"/>
  <c r="J4" i="152" s="1"/>
  <c r="K4" i="152" s="1"/>
  <c r="L4" i="152" s="1"/>
  <c r="M4" i="152" s="1"/>
  <c r="N4" i="152" s="1"/>
  <c r="O4" i="152" s="1"/>
  <c r="P4" i="152" s="1"/>
  <c r="Q4" i="152" s="1"/>
  <c r="R4" i="152" s="1"/>
  <c r="S4" i="152" s="1"/>
  <c r="T4" i="152" s="1"/>
  <c r="U4" i="152" s="1"/>
  <c r="V4" i="152" s="1"/>
  <c r="W4" i="152" s="1"/>
  <c r="X4" i="152" s="1"/>
  <c r="Y4" i="152" s="1"/>
  <c r="Z4" i="152" s="1"/>
  <c r="AA4" i="152" s="1"/>
  <c r="AB4" i="152" s="1"/>
  <c r="AC4" i="152" s="1"/>
  <c r="AD4" i="152" s="1"/>
  <c r="AE4" i="152" s="1"/>
  <c r="AF4" i="152" s="1"/>
  <c r="AG4" i="152" s="1"/>
  <c r="AH4" i="152" s="1"/>
  <c r="AI4" i="152" s="1"/>
  <c r="AJ4" i="152" s="1"/>
  <c r="AK4" i="152" s="1"/>
  <c r="AL4" i="152" s="1"/>
  <c r="AM4" i="152" s="1"/>
  <c r="AN4" i="152" s="1"/>
  <c r="AO4" i="152" s="1"/>
  <c r="AP4" i="152" s="1"/>
  <c r="AQ4" i="152" s="1"/>
  <c r="AR4" i="152" s="1"/>
  <c r="AS4" i="152" s="1"/>
  <c r="AT4" i="152" s="1"/>
  <c r="AT43" i="151"/>
  <c r="AS43" i="151"/>
  <c r="AR43" i="151"/>
  <c r="AQ43" i="151"/>
  <c r="AP43" i="151"/>
  <c r="AO43" i="151"/>
  <c r="AN43" i="151"/>
  <c r="AM43" i="151"/>
  <c r="AL43" i="151"/>
  <c r="AK43" i="151"/>
  <c r="AJ43" i="151"/>
  <c r="AI43" i="151"/>
  <c r="AH43" i="151"/>
  <c r="AG43" i="151"/>
  <c r="AF43" i="151"/>
  <c r="AE43" i="151"/>
  <c r="AD43" i="151"/>
  <c r="AC43" i="151"/>
  <c r="AB43" i="151"/>
  <c r="AA43" i="151"/>
  <c r="Z43" i="151"/>
  <c r="Y43" i="151"/>
  <c r="X43" i="151"/>
  <c r="W43" i="151"/>
  <c r="V43" i="151"/>
  <c r="U43" i="151"/>
  <c r="T43" i="151"/>
  <c r="S43" i="151"/>
  <c r="R43" i="151"/>
  <c r="Q43" i="151"/>
  <c r="P43" i="151"/>
  <c r="O43" i="151"/>
  <c r="N43" i="151"/>
  <c r="M43" i="151"/>
  <c r="L43" i="151"/>
  <c r="K43" i="151"/>
  <c r="J43" i="151"/>
  <c r="I43" i="151"/>
  <c r="AU43" i="151" s="1"/>
  <c r="H43" i="151"/>
  <c r="G43" i="151"/>
  <c r="F43" i="151"/>
  <c r="E43" i="151"/>
  <c r="AU42" i="151"/>
  <c r="AU41" i="151"/>
  <c r="AU40" i="151"/>
  <c r="AU39" i="151"/>
  <c r="AU38" i="151"/>
  <c r="AU37" i="151"/>
  <c r="AU36" i="151"/>
  <c r="AU35" i="151"/>
  <c r="AU34" i="151"/>
  <c r="AU33" i="151"/>
  <c r="AU32" i="151"/>
  <c r="AU31" i="151"/>
  <c r="AU30" i="151"/>
  <c r="AU29" i="151"/>
  <c r="AU28" i="151"/>
  <c r="AU27" i="151"/>
  <c r="AU26" i="151"/>
  <c r="F24" i="151"/>
  <c r="G24" i="151" s="1"/>
  <c r="H24" i="151" s="1"/>
  <c r="I24" i="151" s="1"/>
  <c r="J24" i="151" s="1"/>
  <c r="K24" i="151" s="1"/>
  <c r="L24" i="151" s="1"/>
  <c r="M24" i="151" s="1"/>
  <c r="N24" i="151" s="1"/>
  <c r="O24" i="151" s="1"/>
  <c r="P24" i="151" s="1"/>
  <c r="Q24" i="151" s="1"/>
  <c r="R24" i="151" s="1"/>
  <c r="S24" i="151" s="1"/>
  <c r="T24" i="151" s="1"/>
  <c r="U24" i="151" s="1"/>
  <c r="V24" i="151" s="1"/>
  <c r="W24" i="151" s="1"/>
  <c r="X24" i="151" s="1"/>
  <c r="Y24" i="151" s="1"/>
  <c r="Z24" i="151" s="1"/>
  <c r="AA24" i="151" s="1"/>
  <c r="AB24" i="151" s="1"/>
  <c r="AC24" i="151" s="1"/>
  <c r="AD24" i="151" s="1"/>
  <c r="AE24" i="151" s="1"/>
  <c r="AF24" i="151" s="1"/>
  <c r="AG24" i="151" s="1"/>
  <c r="AH24" i="151" s="1"/>
  <c r="AI24" i="151" s="1"/>
  <c r="AJ24" i="151" s="1"/>
  <c r="AK24" i="151" s="1"/>
  <c r="AL24" i="151" s="1"/>
  <c r="AM24" i="151" s="1"/>
  <c r="AN24" i="151" s="1"/>
  <c r="AO24" i="151" s="1"/>
  <c r="AP24" i="151" s="1"/>
  <c r="AQ24" i="151" s="1"/>
  <c r="AR24" i="151" s="1"/>
  <c r="AS24" i="151" s="1"/>
  <c r="AT24" i="151" s="1"/>
  <c r="AT23" i="151"/>
  <c r="AS23" i="151"/>
  <c r="AR23" i="151"/>
  <c r="AQ23" i="151"/>
  <c r="AP23" i="151"/>
  <c r="AO23" i="151"/>
  <c r="AN23" i="151"/>
  <c r="AM23" i="151"/>
  <c r="AL23" i="151"/>
  <c r="AK23" i="151"/>
  <c r="AJ23" i="151"/>
  <c r="AI23" i="151"/>
  <c r="AH23" i="151"/>
  <c r="AG23" i="151"/>
  <c r="AF23" i="151"/>
  <c r="AE23" i="151"/>
  <c r="AD23" i="151"/>
  <c r="AC23" i="151"/>
  <c r="AB23" i="151"/>
  <c r="AA23" i="151"/>
  <c r="Z23" i="151"/>
  <c r="Y23" i="151"/>
  <c r="X23" i="151"/>
  <c r="W23" i="151"/>
  <c r="V23" i="151"/>
  <c r="U23" i="151"/>
  <c r="T23" i="151"/>
  <c r="S23" i="151"/>
  <c r="R23" i="151"/>
  <c r="Q23" i="151"/>
  <c r="P23" i="151"/>
  <c r="O23" i="151"/>
  <c r="N23" i="151"/>
  <c r="N44" i="151" s="1"/>
  <c r="M23" i="151"/>
  <c r="M44" i="151" s="1"/>
  <c r="L23" i="151"/>
  <c r="K23" i="151"/>
  <c r="J23" i="151"/>
  <c r="J44" i="151" s="1"/>
  <c r="I23" i="151"/>
  <c r="H23" i="151"/>
  <c r="H44" i="151" s="1"/>
  <c r="G23" i="151"/>
  <c r="G44" i="151" s="1"/>
  <c r="F23" i="151"/>
  <c r="F44" i="151" s="1"/>
  <c r="E23" i="151"/>
  <c r="E44" i="151" s="1"/>
  <c r="AU22" i="151"/>
  <c r="AU21" i="151"/>
  <c r="AU20" i="151"/>
  <c r="AU19" i="151"/>
  <c r="AU18" i="151"/>
  <c r="AU17" i="151"/>
  <c r="AU16" i="151"/>
  <c r="AU15" i="151"/>
  <c r="AU14" i="151"/>
  <c r="AU13" i="151"/>
  <c r="AU12" i="151"/>
  <c r="AU11" i="151"/>
  <c r="AU10" i="151"/>
  <c r="AU9" i="151"/>
  <c r="AU8" i="151"/>
  <c r="AU7" i="151"/>
  <c r="AU6" i="151"/>
  <c r="F4" i="151"/>
  <c r="G4" i="151" s="1"/>
  <c r="H4" i="151" s="1"/>
  <c r="I4" i="151" s="1"/>
  <c r="J4" i="151" s="1"/>
  <c r="K4" i="151" s="1"/>
  <c r="L4" i="151" s="1"/>
  <c r="M4" i="151" s="1"/>
  <c r="N4" i="151" s="1"/>
  <c r="O4" i="151" s="1"/>
  <c r="P4" i="151" s="1"/>
  <c r="Q4" i="151" s="1"/>
  <c r="R4" i="151" s="1"/>
  <c r="S4" i="151" s="1"/>
  <c r="T4" i="151" s="1"/>
  <c r="U4" i="151" s="1"/>
  <c r="V4" i="151" s="1"/>
  <c r="W4" i="151" s="1"/>
  <c r="X4" i="151" s="1"/>
  <c r="Y4" i="151" s="1"/>
  <c r="Z4" i="151" s="1"/>
  <c r="AA4" i="151" s="1"/>
  <c r="AB4" i="151" s="1"/>
  <c r="AC4" i="151" s="1"/>
  <c r="AD4" i="151" s="1"/>
  <c r="AE4" i="151" s="1"/>
  <c r="AF4" i="151" s="1"/>
  <c r="AG4" i="151" s="1"/>
  <c r="AH4" i="151" s="1"/>
  <c r="AI4" i="151" s="1"/>
  <c r="AJ4" i="151" s="1"/>
  <c r="AK4" i="151" s="1"/>
  <c r="AL4" i="151" s="1"/>
  <c r="AM4" i="151" s="1"/>
  <c r="AN4" i="151" s="1"/>
  <c r="AO4" i="151" s="1"/>
  <c r="AP4" i="151" s="1"/>
  <c r="AQ4" i="151" s="1"/>
  <c r="AR4" i="151" s="1"/>
  <c r="AS4" i="151" s="1"/>
  <c r="AT4" i="151" s="1"/>
  <c r="AT83" i="150"/>
  <c r="AS83" i="150"/>
  <c r="AR83" i="150"/>
  <c r="AQ83" i="150"/>
  <c r="AP83" i="150"/>
  <c r="AO83" i="150"/>
  <c r="AN83" i="150"/>
  <c r="AM83" i="150"/>
  <c r="AL83" i="150"/>
  <c r="AK83" i="150"/>
  <c r="AJ83" i="150"/>
  <c r="AI83" i="150"/>
  <c r="AH83" i="150"/>
  <c r="AG83" i="150"/>
  <c r="AF83" i="150"/>
  <c r="AE83" i="150"/>
  <c r="AD83" i="150"/>
  <c r="AC83" i="150"/>
  <c r="AB83" i="150"/>
  <c r="AA83" i="150"/>
  <c r="Z83" i="150"/>
  <c r="Y83" i="150"/>
  <c r="X83" i="150"/>
  <c r="W83" i="150"/>
  <c r="V83" i="150"/>
  <c r="U83" i="150"/>
  <c r="T83" i="150"/>
  <c r="S83" i="150"/>
  <c r="R83" i="150"/>
  <c r="Q83" i="150"/>
  <c r="P83" i="150"/>
  <c r="O83" i="150"/>
  <c r="N83" i="150"/>
  <c r="M83" i="150"/>
  <c r="L83" i="150"/>
  <c r="K83" i="150"/>
  <c r="J83" i="150"/>
  <c r="I83" i="150"/>
  <c r="AU83" i="150" s="1"/>
  <c r="H83" i="150"/>
  <c r="G83" i="150"/>
  <c r="F83" i="150"/>
  <c r="E83" i="150"/>
  <c r="AU82" i="150"/>
  <c r="AU81" i="150"/>
  <c r="AU80" i="150"/>
  <c r="AU79" i="150"/>
  <c r="AU78" i="150"/>
  <c r="AU77" i="150"/>
  <c r="AU76" i="150"/>
  <c r="AU75" i="150"/>
  <c r="AU74" i="150"/>
  <c r="AU73" i="150"/>
  <c r="AU72" i="150"/>
  <c r="AU71" i="150"/>
  <c r="AU70" i="150"/>
  <c r="AU69" i="150"/>
  <c r="AU68" i="150"/>
  <c r="AU67" i="150"/>
  <c r="AU66" i="150"/>
  <c r="F64" i="150"/>
  <c r="G64" i="150" s="1"/>
  <c r="H64" i="150" s="1"/>
  <c r="I64" i="150" s="1"/>
  <c r="J64" i="150" s="1"/>
  <c r="K64" i="150" s="1"/>
  <c r="L64" i="150" s="1"/>
  <c r="M64" i="150" s="1"/>
  <c r="N64" i="150" s="1"/>
  <c r="O64" i="150" s="1"/>
  <c r="P64" i="150" s="1"/>
  <c r="Q64" i="150" s="1"/>
  <c r="R64" i="150" s="1"/>
  <c r="S64" i="150" s="1"/>
  <c r="T64" i="150" s="1"/>
  <c r="U64" i="150" s="1"/>
  <c r="V64" i="150" s="1"/>
  <c r="W64" i="150" s="1"/>
  <c r="X64" i="150" s="1"/>
  <c r="Y64" i="150" s="1"/>
  <c r="Z64" i="150" s="1"/>
  <c r="AA64" i="150" s="1"/>
  <c r="AB64" i="150" s="1"/>
  <c r="AC64" i="150" s="1"/>
  <c r="AD64" i="150" s="1"/>
  <c r="AE64" i="150" s="1"/>
  <c r="AF64" i="150" s="1"/>
  <c r="AG64" i="150" s="1"/>
  <c r="AH64" i="150" s="1"/>
  <c r="AI64" i="150" s="1"/>
  <c r="AJ64" i="150" s="1"/>
  <c r="AK64" i="150" s="1"/>
  <c r="AL64" i="150" s="1"/>
  <c r="AM64" i="150" s="1"/>
  <c r="AN64" i="150" s="1"/>
  <c r="AO64" i="150" s="1"/>
  <c r="AP64" i="150" s="1"/>
  <c r="AQ64" i="150" s="1"/>
  <c r="AR64" i="150" s="1"/>
  <c r="AS64" i="150" s="1"/>
  <c r="AT64" i="150" s="1"/>
  <c r="AT63" i="150"/>
  <c r="AS63" i="150"/>
  <c r="AR63" i="150"/>
  <c r="AQ63" i="150"/>
  <c r="AP63" i="150"/>
  <c r="AO63" i="150"/>
  <c r="AN63" i="150"/>
  <c r="AM63" i="150"/>
  <c r="AL63" i="150"/>
  <c r="AK63" i="150"/>
  <c r="AJ63" i="150"/>
  <c r="AI63" i="150"/>
  <c r="AH63" i="150"/>
  <c r="AG63" i="150"/>
  <c r="AF63" i="150"/>
  <c r="AE63" i="150"/>
  <c r="AD63" i="150"/>
  <c r="AC63" i="150"/>
  <c r="AB63" i="150"/>
  <c r="AA63" i="150"/>
  <c r="Z63" i="150"/>
  <c r="Y63" i="150"/>
  <c r="X63" i="150"/>
  <c r="W63" i="150"/>
  <c r="V63" i="150"/>
  <c r="U63" i="150"/>
  <c r="T63" i="150"/>
  <c r="S63" i="150"/>
  <c r="R63" i="150"/>
  <c r="Q63" i="150"/>
  <c r="P63" i="150"/>
  <c r="O63" i="150"/>
  <c r="N63" i="150"/>
  <c r="M63" i="150"/>
  <c r="L63" i="150"/>
  <c r="K63" i="150"/>
  <c r="J63" i="150"/>
  <c r="I63" i="150"/>
  <c r="AU63" i="150" s="1"/>
  <c r="H63" i="150"/>
  <c r="G63" i="150"/>
  <c r="F63" i="150"/>
  <c r="E63" i="150"/>
  <c r="AU62" i="150"/>
  <c r="AU61" i="150"/>
  <c r="AU60" i="150"/>
  <c r="AU59" i="150"/>
  <c r="AU58" i="150"/>
  <c r="AU57" i="150"/>
  <c r="AU56" i="150"/>
  <c r="AU55" i="150"/>
  <c r="AU54" i="150"/>
  <c r="AU53" i="150"/>
  <c r="AU52" i="150"/>
  <c r="AU51" i="150"/>
  <c r="AU50" i="150"/>
  <c r="AU49" i="150"/>
  <c r="AU48" i="150"/>
  <c r="AU47" i="150"/>
  <c r="AU46" i="150"/>
  <c r="F44" i="150"/>
  <c r="G44" i="150" s="1"/>
  <c r="H44" i="150" s="1"/>
  <c r="I44" i="150" s="1"/>
  <c r="J44" i="150" s="1"/>
  <c r="K44" i="150" s="1"/>
  <c r="L44" i="150" s="1"/>
  <c r="M44" i="150" s="1"/>
  <c r="N44" i="150" s="1"/>
  <c r="O44" i="150" s="1"/>
  <c r="P44" i="150" s="1"/>
  <c r="Q44" i="150" s="1"/>
  <c r="R44" i="150" s="1"/>
  <c r="S44" i="150" s="1"/>
  <c r="T44" i="150" s="1"/>
  <c r="U44" i="150" s="1"/>
  <c r="V44" i="150" s="1"/>
  <c r="W44" i="150" s="1"/>
  <c r="X44" i="150" s="1"/>
  <c r="Y44" i="150" s="1"/>
  <c r="Z44" i="150" s="1"/>
  <c r="AA44" i="150" s="1"/>
  <c r="AB44" i="150" s="1"/>
  <c r="AC44" i="150" s="1"/>
  <c r="AD44" i="150" s="1"/>
  <c r="AE44" i="150" s="1"/>
  <c r="AF44" i="150" s="1"/>
  <c r="AG44" i="150" s="1"/>
  <c r="AH44" i="150" s="1"/>
  <c r="AI44" i="150" s="1"/>
  <c r="AJ44" i="150" s="1"/>
  <c r="AK44" i="150" s="1"/>
  <c r="AL44" i="150" s="1"/>
  <c r="AM44" i="150" s="1"/>
  <c r="AN44" i="150" s="1"/>
  <c r="AO44" i="150" s="1"/>
  <c r="AP44" i="150" s="1"/>
  <c r="AQ44" i="150" s="1"/>
  <c r="AR44" i="150" s="1"/>
  <c r="AS44" i="150" s="1"/>
  <c r="AT44" i="150" s="1"/>
  <c r="AT43" i="150"/>
  <c r="AS43" i="150"/>
  <c r="AR43" i="150"/>
  <c r="AQ43" i="150"/>
  <c r="AP43" i="150"/>
  <c r="AO43" i="150"/>
  <c r="AN43" i="150"/>
  <c r="AM43" i="150"/>
  <c r="AL43" i="150"/>
  <c r="AK43" i="150"/>
  <c r="AJ43" i="150"/>
  <c r="AI43" i="150"/>
  <c r="AH43" i="150"/>
  <c r="AG43" i="150"/>
  <c r="AF43" i="150"/>
  <c r="AE43" i="150"/>
  <c r="AD43" i="150"/>
  <c r="AC43" i="150"/>
  <c r="AB43" i="150"/>
  <c r="AA43" i="150"/>
  <c r="Z43" i="150"/>
  <c r="Y43" i="150"/>
  <c r="X43" i="150"/>
  <c r="W43" i="150"/>
  <c r="V43" i="150"/>
  <c r="U43" i="150"/>
  <c r="T43" i="150"/>
  <c r="S43" i="150"/>
  <c r="R43" i="150"/>
  <c r="Q43" i="150"/>
  <c r="P43" i="150"/>
  <c r="O43" i="150"/>
  <c r="N43" i="150"/>
  <c r="M43" i="150"/>
  <c r="L43" i="150"/>
  <c r="K43" i="150"/>
  <c r="J43" i="150"/>
  <c r="I43" i="150"/>
  <c r="AU43" i="150" s="1"/>
  <c r="H43" i="150"/>
  <c r="G43" i="150"/>
  <c r="F43" i="150"/>
  <c r="E43" i="150"/>
  <c r="AU42" i="150"/>
  <c r="AU41" i="150"/>
  <c r="AU40" i="150"/>
  <c r="AU39" i="150"/>
  <c r="AU38" i="150"/>
  <c r="AU37" i="150"/>
  <c r="AU36" i="150"/>
  <c r="AU35" i="150"/>
  <c r="AU34" i="150"/>
  <c r="AU33" i="150"/>
  <c r="AU32" i="150"/>
  <c r="AU31" i="150"/>
  <c r="AU30" i="150"/>
  <c r="AU29" i="150"/>
  <c r="AU28" i="150"/>
  <c r="AU27" i="150"/>
  <c r="AU26" i="150"/>
  <c r="J24" i="150"/>
  <c r="K24" i="150" s="1"/>
  <c r="L24" i="150" s="1"/>
  <c r="S24" i="150" s="1"/>
  <c r="T24" i="150" s="1"/>
  <c r="U24" i="150" s="1"/>
  <c r="AA24" i="150" s="1"/>
  <c r="AB24" i="150" s="1"/>
  <c r="AC24" i="150" s="1"/>
  <c r="AE24" i="150" s="1"/>
  <c r="AF24" i="150" s="1"/>
  <c r="AG24" i="150" s="1"/>
  <c r="AH24" i="150" s="1"/>
  <c r="AI24" i="150" s="1"/>
  <c r="AJ24" i="150" s="1"/>
  <c r="AK24" i="150" s="1"/>
  <c r="AL24" i="150" s="1"/>
  <c r="AM24" i="150" s="1"/>
  <c r="AN24" i="150" s="1"/>
  <c r="AO24" i="150" s="1"/>
  <c r="AP24" i="150" s="1"/>
  <c r="AQ24" i="150" s="1"/>
  <c r="AR24" i="150" s="1"/>
  <c r="AS24" i="150" s="1"/>
  <c r="AT24" i="150" s="1"/>
  <c r="AT23" i="150"/>
  <c r="AS23" i="150"/>
  <c r="AR23" i="150"/>
  <c r="AQ23" i="150"/>
  <c r="AP23" i="150"/>
  <c r="AO23" i="150"/>
  <c r="AN23" i="150"/>
  <c r="AM23" i="150"/>
  <c r="AL23" i="150"/>
  <c r="AK23" i="150"/>
  <c r="AJ23" i="150"/>
  <c r="AI23" i="150"/>
  <c r="AH23" i="150"/>
  <c r="AG23" i="150"/>
  <c r="AF23" i="150"/>
  <c r="AE23" i="150"/>
  <c r="AC23" i="150"/>
  <c r="AB23" i="150"/>
  <c r="AA23" i="150"/>
  <c r="U23" i="150"/>
  <c r="T23" i="150"/>
  <c r="S23" i="150"/>
  <c r="L23" i="150"/>
  <c r="K23" i="150"/>
  <c r="J23" i="150"/>
  <c r="AU23" i="150"/>
  <c r="AU22" i="150"/>
  <c r="AU21" i="150"/>
  <c r="AU20" i="150"/>
  <c r="AU19" i="150"/>
  <c r="AU18" i="150"/>
  <c r="AU17" i="150"/>
  <c r="AU16" i="150"/>
  <c r="AU15" i="150"/>
  <c r="AU14" i="150"/>
  <c r="AU13" i="150"/>
  <c r="AU12" i="150"/>
  <c r="AU11" i="150"/>
  <c r="AU10" i="150"/>
  <c r="AU9" i="150"/>
  <c r="AU8" i="150"/>
  <c r="AU7" i="150"/>
  <c r="AU6" i="150"/>
  <c r="F4" i="150"/>
  <c r="G4" i="150" s="1"/>
  <c r="H4" i="150" s="1"/>
  <c r="I4" i="150" s="1"/>
  <c r="J4" i="150" s="1"/>
  <c r="K4" i="150" s="1"/>
  <c r="L4" i="150" s="1"/>
  <c r="M4" i="150" s="1"/>
  <c r="N4" i="150" s="1"/>
  <c r="O4" i="150" s="1"/>
  <c r="P4" i="150" s="1"/>
  <c r="Q4" i="150" s="1"/>
  <c r="R4" i="150" s="1"/>
  <c r="S4" i="150" s="1"/>
  <c r="T4" i="150" s="1"/>
  <c r="U4" i="150" s="1"/>
  <c r="V4" i="150" s="1"/>
  <c r="W4" i="150" s="1"/>
  <c r="X4" i="150" s="1"/>
  <c r="Y4" i="150" s="1"/>
  <c r="Z4" i="150" s="1"/>
  <c r="AA4" i="150" s="1"/>
  <c r="AB4" i="150" s="1"/>
  <c r="AC4" i="150" s="1"/>
  <c r="AD4" i="150" s="1"/>
  <c r="AE4" i="150" s="1"/>
  <c r="AF4" i="150" s="1"/>
  <c r="AG4" i="150" s="1"/>
  <c r="AH4" i="150" s="1"/>
  <c r="AI4" i="150" s="1"/>
  <c r="AJ4" i="150" s="1"/>
  <c r="AK4" i="150" s="1"/>
  <c r="AL4" i="150" s="1"/>
  <c r="AM4" i="150" s="1"/>
  <c r="AN4" i="150" s="1"/>
  <c r="AO4" i="150" s="1"/>
  <c r="AP4" i="150" s="1"/>
  <c r="AQ4" i="150" s="1"/>
  <c r="AR4" i="150" s="1"/>
  <c r="AS4" i="150" s="1"/>
  <c r="AT4" i="150" s="1"/>
  <c r="AT83" i="134"/>
  <c r="AS83" i="134"/>
  <c r="AR83" i="134"/>
  <c r="AQ83" i="134"/>
  <c r="AP83" i="134"/>
  <c r="AO83" i="134"/>
  <c r="AN83" i="134"/>
  <c r="AM83" i="134"/>
  <c r="AL83" i="134"/>
  <c r="AK83" i="134"/>
  <c r="AJ83" i="134"/>
  <c r="AI83" i="134"/>
  <c r="AH83" i="134"/>
  <c r="AG83" i="134"/>
  <c r="AF83" i="134"/>
  <c r="AE83" i="134"/>
  <c r="AD83" i="134"/>
  <c r="AC83" i="134"/>
  <c r="AB83" i="134"/>
  <c r="AA83" i="134"/>
  <c r="Z83" i="134"/>
  <c r="Y83" i="134"/>
  <c r="X83" i="134"/>
  <c r="W83" i="134"/>
  <c r="V83" i="134"/>
  <c r="U83" i="134"/>
  <c r="T83" i="134"/>
  <c r="S83" i="134"/>
  <c r="R83" i="134"/>
  <c r="Q83" i="134"/>
  <c r="P83" i="134"/>
  <c r="O83" i="134"/>
  <c r="N83" i="134"/>
  <c r="M83" i="134"/>
  <c r="L83" i="134"/>
  <c r="K83" i="134"/>
  <c r="J83" i="134"/>
  <c r="I83" i="134"/>
  <c r="AU83" i="134" s="1"/>
  <c r="H83" i="134"/>
  <c r="G83" i="134"/>
  <c r="F83" i="134"/>
  <c r="E83" i="134"/>
  <c r="AU82" i="134"/>
  <c r="AU81" i="134"/>
  <c r="AU80" i="134"/>
  <c r="AU79" i="134"/>
  <c r="AU78" i="134"/>
  <c r="AU77" i="134"/>
  <c r="AU76" i="134"/>
  <c r="AU75" i="134"/>
  <c r="AU74" i="134"/>
  <c r="AU73" i="134"/>
  <c r="AU72" i="134"/>
  <c r="AU71" i="134"/>
  <c r="AU70" i="134"/>
  <c r="AU69" i="134"/>
  <c r="AU68" i="134"/>
  <c r="AU67" i="134"/>
  <c r="AU66" i="134"/>
  <c r="F64" i="134"/>
  <c r="G64" i="134" s="1"/>
  <c r="H64" i="134" s="1"/>
  <c r="I64" i="134" s="1"/>
  <c r="J64" i="134" s="1"/>
  <c r="K64" i="134" s="1"/>
  <c r="L64" i="134" s="1"/>
  <c r="M64" i="134" s="1"/>
  <c r="N64" i="134" s="1"/>
  <c r="O64" i="134" s="1"/>
  <c r="P64" i="134" s="1"/>
  <c r="Q64" i="134" s="1"/>
  <c r="R64" i="134" s="1"/>
  <c r="S64" i="134" s="1"/>
  <c r="T64" i="134" s="1"/>
  <c r="U64" i="134" s="1"/>
  <c r="V64" i="134" s="1"/>
  <c r="W64" i="134" s="1"/>
  <c r="X64" i="134" s="1"/>
  <c r="Y64" i="134" s="1"/>
  <c r="Z64" i="134" s="1"/>
  <c r="AA64" i="134" s="1"/>
  <c r="AB64" i="134" s="1"/>
  <c r="AC64" i="134" s="1"/>
  <c r="AD64" i="134" s="1"/>
  <c r="AE64" i="134" s="1"/>
  <c r="AF64" i="134" s="1"/>
  <c r="AG64" i="134" s="1"/>
  <c r="AH64" i="134" s="1"/>
  <c r="AI64" i="134" s="1"/>
  <c r="AJ64" i="134" s="1"/>
  <c r="AK64" i="134" s="1"/>
  <c r="AL64" i="134" s="1"/>
  <c r="AM64" i="134" s="1"/>
  <c r="AN64" i="134" s="1"/>
  <c r="AO64" i="134" s="1"/>
  <c r="AP64" i="134" s="1"/>
  <c r="AQ64" i="134" s="1"/>
  <c r="AR64" i="134" s="1"/>
  <c r="AS64" i="134" s="1"/>
  <c r="AT64" i="134" s="1"/>
  <c r="AT63" i="134"/>
  <c r="AS63" i="134"/>
  <c r="AR63" i="134"/>
  <c r="AQ63" i="134"/>
  <c r="AP63" i="134"/>
  <c r="AO63" i="134"/>
  <c r="AN63" i="134"/>
  <c r="AM63" i="134"/>
  <c r="AL63" i="134"/>
  <c r="AK63" i="134"/>
  <c r="AJ63" i="134"/>
  <c r="AI63" i="134"/>
  <c r="AH63" i="134"/>
  <c r="AG63" i="134"/>
  <c r="AF63" i="134"/>
  <c r="AE63" i="134"/>
  <c r="AD63" i="134"/>
  <c r="AC63" i="134"/>
  <c r="AB63" i="134"/>
  <c r="AA63" i="134"/>
  <c r="Z63" i="134"/>
  <c r="Y63" i="134"/>
  <c r="X63" i="134"/>
  <c r="W63" i="134"/>
  <c r="V63" i="134"/>
  <c r="U63" i="134"/>
  <c r="T63" i="134"/>
  <c r="S63" i="134"/>
  <c r="R63" i="134"/>
  <c r="Q63" i="134"/>
  <c r="P63" i="134"/>
  <c r="O63" i="134"/>
  <c r="N63" i="134"/>
  <c r="M63" i="134"/>
  <c r="L63" i="134"/>
  <c r="K63" i="134"/>
  <c r="J63" i="134"/>
  <c r="I63" i="134"/>
  <c r="AU63" i="134" s="1"/>
  <c r="H63" i="134"/>
  <c r="G63" i="134"/>
  <c r="F63" i="134"/>
  <c r="E63" i="134"/>
  <c r="AU62" i="134"/>
  <c r="AU59" i="134"/>
  <c r="AU61" i="134"/>
  <c r="AU60" i="134"/>
  <c r="AU58" i="134"/>
  <c r="AU57" i="134"/>
  <c r="AU56" i="134"/>
  <c r="AU55" i="134"/>
  <c r="AU54" i="134"/>
  <c r="AU53" i="134"/>
  <c r="AU52" i="134"/>
  <c r="AU51" i="134"/>
  <c r="AU50" i="134"/>
  <c r="AU49" i="134"/>
  <c r="AU48" i="134"/>
  <c r="AU47" i="134"/>
  <c r="AU46" i="134"/>
  <c r="F44" i="134"/>
  <c r="G44" i="134" s="1"/>
  <c r="H44" i="134" s="1"/>
  <c r="I44" i="134" s="1"/>
  <c r="J44" i="134" s="1"/>
  <c r="K44" i="134" s="1"/>
  <c r="L44" i="134" s="1"/>
  <c r="M44" i="134" s="1"/>
  <c r="N44" i="134" s="1"/>
  <c r="O44" i="134" s="1"/>
  <c r="P44" i="134" s="1"/>
  <c r="Q44" i="134" s="1"/>
  <c r="R44" i="134" s="1"/>
  <c r="S44" i="134" s="1"/>
  <c r="T44" i="134" s="1"/>
  <c r="U44" i="134" s="1"/>
  <c r="V44" i="134" s="1"/>
  <c r="W44" i="134" s="1"/>
  <c r="X44" i="134" s="1"/>
  <c r="Y44" i="134" s="1"/>
  <c r="Z44" i="134" s="1"/>
  <c r="AA44" i="134" s="1"/>
  <c r="AB44" i="134" s="1"/>
  <c r="AC44" i="134" s="1"/>
  <c r="AD44" i="134" s="1"/>
  <c r="AE44" i="134" s="1"/>
  <c r="AF44" i="134" s="1"/>
  <c r="AG44" i="134" s="1"/>
  <c r="AH44" i="134" s="1"/>
  <c r="AI44" i="134" s="1"/>
  <c r="AJ44" i="134" s="1"/>
  <c r="AK44" i="134" s="1"/>
  <c r="AL44" i="134" s="1"/>
  <c r="AM44" i="134" s="1"/>
  <c r="AN44" i="134" s="1"/>
  <c r="AO44" i="134" s="1"/>
  <c r="AP44" i="134" s="1"/>
  <c r="AQ44" i="134" s="1"/>
  <c r="AR44" i="134" s="1"/>
  <c r="AS44" i="134" s="1"/>
  <c r="AT44" i="134" s="1"/>
  <c r="AT43" i="134"/>
  <c r="AS43" i="134"/>
  <c r="AR43" i="134"/>
  <c r="AQ43" i="134"/>
  <c r="AP43" i="134"/>
  <c r="AO43" i="134"/>
  <c r="AN43" i="134"/>
  <c r="AM43" i="134"/>
  <c r="AL43" i="134"/>
  <c r="AK43" i="134"/>
  <c r="AJ43" i="134"/>
  <c r="AI43" i="134"/>
  <c r="AH43" i="134"/>
  <c r="AG43" i="134"/>
  <c r="AF43" i="134"/>
  <c r="AE43" i="134"/>
  <c r="AD43" i="134"/>
  <c r="AC43" i="134"/>
  <c r="AB43" i="134"/>
  <c r="AA43" i="134"/>
  <c r="Z43" i="134"/>
  <c r="Y43" i="134"/>
  <c r="X43" i="134"/>
  <c r="W43" i="134"/>
  <c r="V43" i="134"/>
  <c r="U43" i="134"/>
  <c r="T43" i="134"/>
  <c r="S43" i="134"/>
  <c r="R43" i="134"/>
  <c r="Q43" i="134"/>
  <c r="P43" i="134"/>
  <c r="O43" i="134"/>
  <c r="N43" i="134"/>
  <c r="M43" i="134"/>
  <c r="L43" i="134"/>
  <c r="K43" i="134"/>
  <c r="J43" i="134"/>
  <c r="I43" i="134"/>
  <c r="AU43" i="134" s="1"/>
  <c r="H43" i="134"/>
  <c r="G43" i="134"/>
  <c r="F43" i="134"/>
  <c r="E43" i="134"/>
  <c r="AU42" i="134"/>
  <c r="AU41" i="134"/>
  <c r="AU40" i="134"/>
  <c r="AU39" i="134"/>
  <c r="AU38" i="134"/>
  <c r="AU37" i="134"/>
  <c r="AU36" i="134"/>
  <c r="AU35" i="134"/>
  <c r="AU34" i="134"/>
  <c r="AU33" i="134"/>
  <c r="AU32" i="134"/>
  <c r="AU31" i="134"/>
  <c r="AU30" i="134"/>
  <c r="AU29" i="134"/>
  <c r="AU28" i="134"/>
  <c r="AU27" i="134"/>
  <c r="AU26" i="134"/>
  <c r="F24" i="134"/>
  <c r="G24" i="134" s="1"/>
  <c r="H24" i="134" s="1"/>
  <c r="I24" i="134" s="1"/>
  <c r="J24" i="134" s="1"/>
  <c r="K24" i="134" s="1"/>
  <c r="L24" i="134" s="1"/>
  <c r="M24" i="134" s="1"/>
  <c r="N24" i="134" s="1"/>
  <c r="O24" i="134" s="1"/>
  <c r="P24" i="134" s="1"/>
  <c r="Q24" i="134" s="1"/>
  <c r="R24" i="134" s="1"/>
  <c r="S24" i="134" s="1"/>
  <c r="T24" i="134" s="1"/>
  <c r="U24" i="134" s="1"/>
  <c r="V24" i="134" s="1"/>
  <c r="W24" i="134" s="1"/>
  <c r="X24" i="134" s="1"/>
  <c r="Y24" i="134" s="1"/>
  <c r="Z24" i="134" s="1"/>
  <c r="AA24" i="134" s="1"/>
  <c r="AB24" i="134" s="1"/>
  <c r="AC24" i="134" s="1"/>
  <c r="AD24" i="134" s="1"/>
  <c r="AE24" i="134" s="1"/>
  <c r="AF24" i="134" s="1"/>
  <c r="AG24" i="134" s="1"/>
  <c r="AH24" i="134" s="1"/>
  <c r="AI24" i="134" s="1"/>
  <c r="AJ24" i="134" s="1"/>
  <c r="AK24" i="134" s="1"/>
  <c r="AL24" i="134" s="1"/>
  <c r="AM24" i="134" s="1"/>
  <c r="AN24" i="134" s="1"/>
  <c r="AO24" i="134" s="1"/>
  <c r="AP24" i="134" s="1"/>
  <c r="AQ24" i="134" s="1"/>
  <c r="AR24" i="134" s="1"/>
  <c r="AS24" i="134" s="1"/>
  <c r="AT24" i="134" s="1"/>
  <c r="AT23" i="134"/>
  <c r="AS23" i="134"/>
  <c r="AR23" i="134"/>
  <c r="AQ23" i="134"/>
  <c r="AP23" i="134"/>
  <c r="AO23" i="134"/>
  <c r="AN23" i="134"/>
  <c r="AM23" i="134"/>
  <c r="AL23" i="134"/>
  <c r="AK23" i="134"/>
  <c r="AJ23" i="134"/>
  <c r="AI23" i="134"/>
  <c r="AH23" i="134"/>
  <c r="AG23" i="134"/>
  <c r="AF23" i="134"/>
  <c r="AE23" i="134"/>
  <c r="AD23" i="134"/>
  <c r="AC23" i="134"/>
  <c r="AB23" i="134"/>
  <c r="AA23" i="134"/>
  <c r="Z23" i="134"/>
  <c r="Y23" i="134"/>
  <c r="X23" i="134"/>
  <c r="W23" i="134"/>
  <c r="V23" i="134"/>
  <c r="U23" i="134"/>
  <c r="T23" i="134"/>
  <c r="S23" i="134"/>
  <c r="R23" i="134"/>
  <c r="Q23" i="134"/>
  <c r="P23" i="134"/>
  <c r="O23" i="134"/>
  <c r="N23" i="134"/>
  <c r="M23" i="134"/>
  <c r="L23" i="134"/>
  <c r="K23" i="134"/>
  <c r="J23" i="134"/>
  <c r="I23" i="134"/>
  <c r="AU23" i="134" s="1"/>
  <c r="H23" i="134"/>
  <c r="G23" i="134"/>
  <c r="F23" i="134"/>
  <c r="E23" i="134"/>
  <c r="AU22" i="134"/>
  <c r="AU21" i="134"/>
  <c r="AU20" i="134"/>
  <c r="AU19" i="134"/>
  <c r="AU18" i="134"/>
  <c r="AU17" i="134"/>
  <c r="AU16" i="134"/>
  <c r="AU15" i="134"/>
  <c r="AU14" i="134"/>
  <c r="AU13" i="134"/>
  <c r="AU12" i="134"/>
  <c r="AU11" i="134"/>
  <c r="AU10" i="134"/>
  <c r="AU9" i="134"/>
  <c r="AU8" i="134"/>
  <c r="AU7" i="134"/>
  <c r="AU6" i="134"/>
  <c r="F4" i="134"/>
  <c r="G4" i="134" s="1"/>
  <c r="H4" i="134" s="1"/>
  <c r="I4" i="134" s="1"/>
  <c r="J4" i="134" s="1"/>
  <c r="K4" i="134" s="1"/>
  <c r="L4" i="134" s="1"/>
  <c r="M4" i="134" s="1"/>
  <c r="N4" i="134" s="1"/>
  <c r="O4" i="134" s="1"/>
  <c r="P4" i="134" s="1"/>
  <c r="Q4" i="134" s="1"/>
  <c r="R4" i="134" s="1"/>
  <c r="S4" i="134" s="1"/>
  <c r="T4" i="134" s="1"/>
  <c r="U4" i="134" s="1"/>
  <c r="V4" i="134" s="1"/>
  <c r="W4" i="134" s="1"/>
  <c r="X4" i="134" s="1"/>
  <c r="Y4" i="134" s="1"/>
  <c r="Z4" i="134" s="1"/>
  <c r="AA4" i="134" s="1"/>
  <c r="AB4" i="134" s="1"/>
  <c r="AC4" i="134" s="1"/>
  <c r="AD4" i="134" s="1"/>
  <c r="AE4" i="134" s="1"/>
  <c r="AF4" i="134" s="1"/>
  <c r="AG4" i="134" s="1"/>
  <c r="AH4" i="134" s="1"/>
  <c r="AI4" i="134" s="1"/>
  <c r="AJ4" i="134" s="1"/>
  <c r="AK4" i="134" s="1"/>
  <c r="AL4" i="134" s="1"/>
  <c r="AM4" i="134" s="1"/>
  <c r="AN4" i="134" s="1"/>
  <c r="AO4" i="134" s="1"/>
  <c r="AP4" i="134" s="1"/>
  <c r="AQ4" i="134" s="1"/>
  <c r="AR4" i="134" s="1"/>
  <c r="AS4" i="134" s="1"/>
  <c r="AT4" i="134" s="1"/>
  <c r="AU61" i="119"/>
  <c r="AU60" i="119"/>
  <c r="AU59" i="119"/>
  <c r="AU58" i="119"/>
  <c r="AU57" i="119"/>
  <c r="AU56" i="119"/>
  <c r="AU55" i="119"/>
  <c r="AU54" i="119"/>
  <c r="AU53" i="119"/>
  <c r="AU52" i="119"/>
  <c r="AU51" i="119"/>
  <c r="AU50" i="119"/>
  <c r="AU49" i="119"/>
  <c r="AU48" i="119"/>
  <c r="AU47" i="119"/>
  <c r="AU46" i="119"/>
  <c r="AU63" i="119" s="1"/>
  <c r="F43" i="119"/>
  <c r="G43" i="119" s="1"/>
  <c r="H43" i="119" s="1"/>
  <c r="I43" i="119" s="1"/>
  <c r="J43" i="119" s="1"/>
  <c r="K43" i="119" s="1"/>
  <c r="L43" i="119" s="1"/>
  <c r="M43" i="119" s="1"/>
  <c r="N43" i="119" s="1"/>
  <c r="O43" i="119" s="1"/>
  <c r="P43" i="119" s="1"/>
  <c r="Q43" i="119" s="1"/>
  <c r="R43" i="119" s="1"/>
  <c r="S43" i="119" s="1"/>
  <c r="T43" i="119" s="1"/>
  <c r="U43" i="119" s="1"/>
  <c r="V43" i="119" s="1"/>
  <c r="W43" i="119" s="1"/>
  <c r="X43" i="119" s="1"/>
  <c r="Y43" i="119" s="1"/>
  <c r="Z43" i="119" s="1"/>
  <c r="AA43" i="119" s="1"/>
  <c r="AB43" i="119" s="1"/>
  <c r="AC43" i="119" s="1"/>
  <c r="AD43" i="119" s="1"/>
  <c r="AE43" i="119" s="1"/>
  <c r="AF43" i="119" s="1"/>
  <c r="AG43" i="119" s="1"/>
  <c r="AH43" i="119" s="1"/>
  <c r="AI43" i="119" s="1"/>
  <c r="AJ43" i="119" s="1"/>
  <c r="AK43" i="119" s="1"/>
  <c r="AL43" i="119" s="1"/>
  <c r="AM43" i="119" s="1"/>
  <c r="AN43" i="119" s="1"/>
  <c r="AO43" i="119" s="1"/>
  <c r="AP43" i="119" s="1"/>
  <c r="AQ43" i="119" s="1"/>
  <c r="AR43" i="119" s="1"/>
  <c r="AS43" i="119" s="1"/>
  <c r="AT43" i="119" s="1"/>
  <c r="AT42" i="119"/>
  <c r="AS42" i="119"/>
  <c r="AR42" i="119"/>
  <c r="AQ42" i="119"/>
  <c r="AP42" i="119"/>
  <c r="AO42" i="119"/>
  <c r="AN42" i="119"/>
  <c r="AM42" i="119"/>
  <c r="AL42" i="119"/>
  <c r="AK42" i="119"/>
  <c r="AJ42" i="119"/>
  <c r="AI42" i="119"/>
  <c r="AH42" i="119"/>
  <c r="AG42" i="119"/>
  <c r="AF42" i="119"/>
  <c r="AE42" i="119"/>
  <c r="AD42" i="119"/>
  <c r="AC42" i="119"/>
  <c r="AB42" i="119"/>
  <c r="AA42" i="119"/>
  <c r="Z42" i="119"/>
  <c r="Y42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AU42" i="119" s="1"/>
  <c r="H42" i="119"/>
  <c r="G42" i="119"/>
  <c r="F42" i="119"/>
  <c r="E42" i="119"/>
  <c r="AU41" i="119"/>
  <c r="AU40" i="119"/>
  <c r="AU39" i="119"/>
  <c r="AU62" i="119"/>
  <c r="AU38" i="119"/>
  <c r="AU37" i="119"/>
  <c r="AU36" i="119"/>
  <c r="AU35" i="119"/>
  <c r="AU34" i="119"/>
  <c r="AU33" i="119"/>
  <c r="AU32" i="119"/>
  <c r="AU31" i="119"/>
  <c r="AU30" i="119"/>
  <c r="AU29" i="119"/>
  <c r="AU28" i="119"/>
  <c r="AU27" i="119"/>
  <c r="F24" i="119"/>
  <c r="G24" i="119" s="1"/>
  <c r="H24" i="119" s="1"/>
  <c r="I24" i="119" s="1"/>
  <c r="J24" i="119" s="1"/>
  <c r="K24" i="119" s="1"/>
  <c r="L24" i="119" s="1"/>
  <c r="M24" i="119" s="1"/>
  <c r="N24" i="119" s="1"/>
  <c r="O24" i="119" s="1"/>
  <c r="P24" i="119" s="1"/>
  <c r="Q24" i="119" s="1"/>
  <c r="R24" i="119" s="1"/>
  <c r="S24" i="119" s="1"/>
  <c r="T24" i="119" s="1"/>
  <c r="U24" i="119" s="1"/>
  <c r="V24" i="119" s="1"/>
  <c r="W24" i="119" s="1"/>
  <c r="X24" i="119" s="1"/>
  <c r="Y24" i="119" s="1"/>
  <c r="Z24" i="119" s="1"/>
  <c r="AA24" i="119" s="1"/>
  <c r="AB24" i="119" s="1"/>
  <c r="AC24" i="119" s="1"/>
  <c r="AD24" i="119" s="1"/>
  <c r="AE24" i="119" s="1"/>
  <c r="AF24" i="119" s="1"/>
  <c r="AG24" i="119" s="1"/>
  <c r="AH24" i="119" s="1"/>
  <c r="AI24" i="119" s="1"/>
  <c r="AJ24" i="119" s="1"/>
  <c r="AK24" i="119" s="1"/>
  <c r="AL24" i="119" s="1"/>
  <c r="AM24" i="119" s="1"/>
  <c r="AN24" i="119" s="1"/>
  <c r="AO24" i="119" s="1"/>
  <c r="AP24" i="119" s="1"/>
  <c r="AQ24" i="119" s="1"/>
  <c r="AR24" i="119" s="1"/>
  <c r="AS24" i="119" s="1"/>
  <c r="AT24" i="119" s="1"/>
  <c r="AT23" i="119"/>
  <c r="AS23" i="119"/>
  <c r="AR23" i="119"/>
  <c r="AQ23" i="119"/>
  <c r="AP23" i="119"/>
  <c r="AO23" i="119"/>
  <c r="AN23" i="119"/>
  <c r="AM23" i="119"/>
  <c r="AL23" i="119"/>
  <c r="AK23" i="119"/>
  <c r="AJ23" i="119"/>
  <c r="AI23" i="119"/>
  <c r="AH23" i="119"/>
  <c r="AG23" i="119"/>
  <c r="AF23" i="119"/>
  <c r="AE23" i="119"/>
  <c r="AD23" i="119"/>
  <c r="AC23" i="119"/>
  <c r="AB23" i="119"/>
  <c r="AA23" i="119"/>
  <c r="Z23" i="119"/>
  <c r="Y23" i="119"/>
  <c r="X23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AU23" i="119" s="1"/>
  <c r="H23" i="119"/>
  <c r="G23" i="119"/>
  <c r="F23" i="119"/>
  <c r="E23" i="119"/>
  <c r="AU22" i="119"/>
  <c r="AU21" i="119"/>
  <c r="AU20" i="119"/>
  <c r="AU19" i="119"/>
  <c r="AU18" i="119"/>
  <c r="AU17" i="119"/>
  <c r="AU16" i="119"/>
  <c r="AU15" i="119"/>
  <c r="AU14" i="119"/>
  <c r="AU13" i="119"/>
  <c r="AU12" i="119"/>
  <c r="AU11" i="119"/>
  <c r="AU10" i="119"/>
  <c r="AU9" i="119"/>
  <c r="AU8" i="119"/>
  <c r="AU7" i="119"/>
  <c r="F4" i="119"/>
  <c r="G4" i="119" s="1"/>
  <c r="H4" i="119" s="1"/>
  <c r="I4" i="119" s="1"/>
  <c r="J4" i="119" s="1"/>
  <c r="K4" i="119" s="1"/>
  <c r="L4" i="119" s="1"/>
  <c r="M4" i="119" s="1"/>
  <c r="N4" i="119" s="1"/>
  <c r="O4" i="119" s="1"/>
  <c r="P4" i="119" s="1"/>
  <c r="Q4" i="119" s="1"/>
  <c r="R4" i="119" s="1"/>
  <c r="S4" i="119" s="1"/>
  <c r="T4" i="119" s="1"/>
  <c r="U4" i="119" s="1"/>
  <c r="V4" i="119" s="1"/>
  <c r="W4" i="119" s="1"/>
  <c r="X4" i="119" s="1"/>
  <c r="Y4" i="119" s="1"/>
  <c r="Z4" i="119" s="1"/>
  <c r="AA4" i="119" s="1"/>
  <c r="AB4" i="119" s="1"/>
  <c r="AC4" i="119" s="1"/>
  <c r="AD4" i="119" s="1"/>
  <c r="AE4" i="119" s="1"/>
  <c r="AF4" i="119" s="1"/>
  <c r="AG4" i="119" s="1"/>
  <c r="AH4" i="119" s="1"/>
  <c r="AI4" i="119" s="1"/>
  <c r="AJ4" i="119" s="1"/>
  <c r="AK4" i="119" s="1"/>
  <c r="AL4" i="119" s="1"/>
  <c r="AM4" i="119" s="1"/>
  <c r="AN4" i="119" s="1"/>
  <c r="AO4" i="119" s="1"/>
  <c r="AP4" i="119" s="1"/>
  <c r="AQ4" i="119" s="1"/>
  <c r="AR4" i="119" s="1"/>
  <c r="AS4" i="119" s="1"/>
  <c r="AT4" i="119" s="1"/>
  <c r="E65" i="119"/>
  <c r="F65" i="119"/>
  <c r="G65" i="119"/>
  <c r="H65" i="119"/>
  <c r="I65" i="119"/>
  <c r="J65" i="119"/>
  <c r="K65" i="119"/>
  <c r="L65" i="119"/>
  <c r="M65" i="119"/>
  <c r="N65" i="119"/>
  <c r="O65" i="119"/>
  <c r="P65" i="119"/>
  <c r="Q65" i="119"/>
  <c r="S65" i="119"/>
  <c r="T65" i="119"/>
  <c r="U65" i="119"/>
  <c r="V65" i="119"/>
  <c r="W65" i="119"/>
  <c r="X65" i="119"/>
  <c r="Y65" i="119"/>
  <c r="Z65" i="119"/>
  <c r="AA65" i="119"/>
  <c r="AB65" i="119"/>
  <c r="AC65" i="119"/>
  <c r="AD65" i="119"/>
  <c r="AE65" i="119"/>
  <c r="AF65" i="119"/>
  <c r="AG65" i="119"/>
  <c r="AH65" i="119"/>
  <c r="AI65" i="119"/>
  <c r="AJ65" i="119"/>
  <c r="AK65" i="119"/>
  <c r="AL65" i="119"/>
  <c r="AM65" i="119"/>
  <c r="AN65" i="119"/>
  <c r="AO65" i="119"/>
  <c r="AP65" i="119"/>
  <c r="AU46" i="144"/>
  <c r="F44" i="144"/>
  <c r="G44" i="144" s="1"/>
  <c r="H44" i="144" s="1"/>
  <c r="I44" i="144" s="1"/>
  <c r="J44" i="144" s="1"/>
  <c r="K44" i="144" s="1"/>
  <c r="L44" i="144" s="1"/>
  <c r="M44" i="144" s="1"/>
  <c r="N44" i="144" s="1"/>
  <c r="O44" i="144" s="1"/>
  <c r="P44" i="144" s="1"/>
  <c r="Q44" i="144" s="1"/>
  <c r="R44" i="144" s="1"/>
  <c r="S44" i="144" s="1"/>
  <c r="T44" i="144" s="1"/>
  <c r="U44" i="144" s="1"/>
  <c r="V44" i="144" s="1"/>
  <c r="W44" i="144" s="1"/>
  <c r="X44" i="144" s="1"/>
  <c r="Y44" i="144" s="1"/>
  <c r="Z44" i="144" s="1"/>
  <c r="AA44" i="144" s="1"/>
  <c r="AB44" i="144" s="1"/>
  <c r="AC44" i="144" s="1"/>
  <c r="AD44" i="144" s="1"/>
  <c r="AE44" i="144" s="1"/>
  <c r="AF44" i="144" s="1"/>
  <c r="AG44" i="144" s="1"/>
  <c r="AH44" i="144" s="1"/>
  <c r="AI44" i="144" s="1"/>
  <c r="AJ44" i="144" s="1"/>
  <c r="AK44" i="144" s="1"/>
  <c r="AL44" i="144" s="1"/>
  <c r="AM44" i="144" s="1"/>
  <c r="AN44" i="144" s="1"/>
  <c r="AO44" i="144" s="1"/>
  <c r="AP44" i="144" s="1"/>
  <c r="AQ44" i="144" s="1"/>
  <c r="AR44" i="144" s="1"/>
  <c r="AS44" i="144" s="1"/>
  <c r="AT44" i="144" s="1"/>
  <c r="AT43" i="144"/>
  <c r="AS43" i="144"/>
  <c r="AR43" i="144"/>
  <c r="AQ43" i="144"/>
  <c r="AP43" i="144"/>
  <c r="AO43" i="144"/>
  <c r="AN43" i="144"/>
  <c r="AM43" i="144"/>
  <c r="AL43" i="144"/>
  <c r="AK43" i="144"/>
  <c r="AJ43" i="144"/>
  <c r="AI43" i="144"/>
  <c r="AH43" i="144"/>
  <c r="AG43" i="144"/>
  <c r="AF43" i="144"/>
  <c r="AD43" i="144"/>
  <c r="AC43" i="144"/>
  <c r="AB43" i="144"/>
  <c r="AA43" i="144"/>
  <c r="Z43" i="144"/>
  <c r="Y43" i="144"/>
  <c r="X43" i="144"/>
  <c r="W43" i="144"/>
  <c r="V43" i="144"/>
  <c r="U43" i="144"/>
  <c r="T43" i="144"/>
  <c r="S43" i="144"/>
  <c r="R43" i="144"/>
  <c r="Q43" i="144"/>
  <c r="P43" i="144"/>
  <c r="O43" i="144"/>
  <c r="N43" i="144"/>
  <c r="L43" i="144"/>
  <c r="K43" i="144"/>
  <c r="J43" i="144"/>
  <c r="I43" i="144"/>
  <c r="AU43" i="144" s="1"/>
  <c r="H43" i="144"/>
  <c r="G43" i="144"/>
  <c r="F43" i="144"/>
  <c r="E43" i="144"/>
  <c r="AU42" i="144"/>
  <c r="AU41" i="144"/>
  <c r="AU40" i="144"/>
  <c r="AU39" i="144"/>
  <c r="AU38" i="144"/>
  <c r="AU37" i="144"/>
  <c r="AU36" i="144"/>
  <c r="AU35" i="144"/>
  <c r="AU34" i="144"/>
  <c r="AU33" i="144"/>
  <c r="AU32" i="144"/>
  <c r="AU31" i="144"/>
  <c r="AU30" i="144"/>
  <c r="AU29" i="144"/>
  <c r="AU28" i="144"/>
  <c r="AU27" i="144"/>
  <c r="AU26" i="144"/>
  <c r="F24" i="144"/>
  <c r="G24" i="144" s="1"/>
  <c r="H24" i="144" s="1"/>
  <c r="I24" i="144" s="1"/>
  <c r="J24" i="144" s="1"/>
  <c r="K24" i="144" s="1"/>
  <c r="L24" i="144" s="1"/>
  <c r="M24" i="144" s="1"/>
  <c r="N24" i="144" s="1"/>
  <c r="O24" i="144" s="1"/>
  <c r="P24" i="144" s="1"/>
  <c r="Q24" i="144" s="1"/>
  <c r="R24" i="144" s="1"/>
  <c r="S24" i="144" s="1"/>
  <c r="T24" i="144" s="1"/>
  <c r="U24" i="144" s="1"/>
  <c r="V24" i="144" s="1"/>
  <c r="W24" i="144" s="1"/>
  <c r="X24" i="144" s="1"/>
  <c r="Y24" i="144" s="1"/>
  <c r="Z24" i="144" s="1"/>
  <c r="AA24" i="144" s="1"/>
  <c r="AB24" i="144" s="1"/>
  <c r="AC24" i="144" s="1"/>
  <c r="AD24" i="144" s="1"/>
  <c r="AE24" i="144" s="1"/>
  <c r="AF24" i="144" s="1"/>
  <c r="AG24" i="144" s="1"/>
  <c r="AH24" i="144" s="1"/>
  <c r="AI24" i="144" s="1"/>
  <c r="AJ24" i="144" s="1"/>
  <c r="AK24" i="144" s="1"/>
  <c r="AL24" i="144" s="1"/>
  <c r="AM24" i="144" s="1"/>
  <c r="AN24" i="144" s="1"/>
  <c r="AO24" i="144" s="1"/>
  <c r="AP24" i="144" s="1"/>
  <c r="AQ24" i="144" s="1"/>
  <c r="AR24" i="144" s="1"/>
  <c r="AS24" i="144" s="1"/>
  <c r="AT24" i="144" s="1"/>
  <c r="AT23" i="144"/>
  <c r="AS23" i="144"/>
  <c r="AR23" i="144"/>
  <c r="AQ23" i="144"/>
  <c r="AP23" i="144"/>
  <c r="AO23" i="144"/>
  <c r="AN23" i="144"/>
  <c r="AM23" i="144"/>
  <c r="AL23" i="144"/>
  <c r="AK23" i="144"/>
  <c r="AJ23" i="144"/>
  <c r="AI23" i="144"/>
  <c r="AH23" i="144"/>
  <c r="AG23" i="144"/>
  <c r="AF23" i="144"/>
  <c r="AE23" i="144"/>
  <c r="AD23" i="144"/>
  <c r="AC23" i="144"/>
  <c r="AB23" i="144"/>
  <c r="AA23" i="144"/>
  <c r="Z23" i="144"/>
  <c r="Y23" i="144"/>
  <c r="X23" i="144"/>
  <c r="W23" i="144"/>
  <c r="V23" i="144"/>
  <c r="U23" i="144"/>
  <c r="T23" i="144"/>
  <c r="S23" i="144"/>
  <c r="R23" i="144"/>
  <c r="Q23" i="144"/>
  <c r="P23" i="144"/>
  <c r="O23" i="144"/>
  <c r="N23" i="144"/>
  <c r="M23" i="144"/>
  <c r="L23" i="144"/>
  <c r="K23" i="144"/>
  <c r="J23" i="144"/>
  <c r="I23" i="144"/>
  <c r="AU23" i="144" s="1"/>
  <c r="H23" i="144"/>
  <c r="G23" i="144"/>
  <c r="F23" i="144"/>
  <c r="E23" i="144"/>
  <c r="AU22" i="144"/>
  <c r="AU21" i="144"/>
  <c r="AU20" i="144"/>
  <c r="AU19" i="144"/>
  <c r="AU18" i="144"/>
  <c r="AU17" i="144"/>
  <c r="AU16" i="144"/>
  <c r="AU15" i="144"/>
  <c r="AU14" i="144"/>
  <c r="AU13" i="144"/>
  <c r="AU12" i="144"/>
  <c r="AU11" i="144"/>
  <c r="AU10" i="144"/>
  <c r="AU9" i="144"/>
  <c r="AU8" i="144"/>
  <c r="AU7" i="144"/>
  <c r="AU6" i="144"/>
  <c r="F4" i="144"/>
  <c r="G4" i="144" s="1"/>
  <c r="H4" i="144" s="1"/>
  <c r="I4" i="144" s="1"/>
  <c r="J4" i="144" s="1"/>
  <c r="K4" i="144" s="1"/>
  <c r="L4" i="144" s="1"/>
  <c r="M4" i="144" s="1"/>
  <c r="N4" i="144" s="1"/>
  <c r="O4" i="144" s="1"/>
  <c r="P4" i="144" s="1"/>
  <c r="Q4" i="144" s="1"/>
  <c r="R4" i="144" s="1"/>
  <c r="S4" i="144" s="1"/>
  <c r="T4" i="144" s="1"/>
  <c r="U4" i="144" s="1"/>
  <c r="V4" i="144" s="1"/>
  <c r="W4" i="144" s="1"/>
  <c r="X4" i="144" s="1"/>
  <c r="Y4" i="144" s="1"/>
  <c r="Z4" i="144" s="1"/>
  <c r="AA4" i="144" s="1"/>
  <c r="AB4" i="144" s="1"/>
  <c r="AC4" i="144" s="1"/>
  <c r="AD4" i="144" s="1"/>
  <c r="AE4" i="144" s="1"/>
  <c r="AF4" i="144" s="1"/>
  <c r="AG4" i="144" s="1"/>
  <c r="AH4" i="144" s="1"/>
  <c r="AI4" i="144" s="1"/>
  <c r="AJ4" i="144" s="1"/>
  <c r="AK4" i="144" s="1"/>
  <c r="AL4" i="144" s="1"/>
  <c r="AM4" i="144" s="1"/>
  <c r="AN4" i="144" s="1"/>
  <c r="AO4" i="144" s="1"/>
  <c r="AP4" i="144" s="1"/>
  <c r="AQ4" i="144" s="1"/>
  <c r="AR4" i="144" s="1"/>
  <c r="AS4" i="144" s="1"/>
  <c r="AT4" i="144" s="1"/>
  <c r="AU22" i="122"/>
  <c r="AU26" i="122"/>
  <c r="AU27" i="122"/>
  <c r="AU28" i="122"/>
  <c r="AU29" i="122"/>
  <c r="AU30" i="122"/>
  <c r="AU31" i="122"/>
  <c r="AU32" i="122"/>
  <c r="AU33" i="122"/>
  <c r="AU34" i="122"/>
  <c r="AU35" i="122"/>
  <c r="AU36" i="122"/>
  <c r="AU37" i="122"/>
  <c r="AU38" i="122"/>
  <c r="AU39" i="122"/>
  <c r="AU40" i="122"/>
  <c r="AU41" i="122"/>
  <c r="AU42" i="122"/>
  <c r="AU46" i="122"/>
  <c r="AU47" i="122"/>
  <c r="AU48" i="122"/>
  <c r="AU49" i="122"/>
  <c r="AU50" i="122"/>
  <c r="AU51" i="122"/>
  <c r="AU52" i="122"/>
  <c r="AU53" i="122"/>
  <c r="AU54" i="122"/>
  <c r="AU55" i="122"/>
  <c r="AU56" i="122"/>
  <c r="AU57" i="122"/>
  <c r="AU58" i="122"/>
  <c r="AU59" i="122"/>
  <c r="AU60" i="122"/>
  <c r="AU61" i="122"/>
  <c r="AU62" i="122"/>
  <c r="AU21" i="122"/>
  <c r="AU20" i="122"/>
  <c r="AU19" i="122"/>
  <c r="AU18" i="122"/>
  <c r="AU17" i="122"/>
  <c r="AU16" i="122"/>
  <c r="AU15" i="122"/>
  <c r="AU14" i="122"/>
  <c r="AU13" i="122"/>
  <c r="AU12" i="122"/>
  <c r="AU11" i="122"/>
  <c r="AU10" i="122"/>
  <c r="AU9" i="122"/>
  <c r="AU8" i="122"/>
  <c r="AU7" i="122"/>
  <c r="AU6" i="122"/>
  <c r="AQ63" i="122"/>
  <c r="AR63" i="122"/>
  <c r="AS63" i="122"/>
  <c r="AT63" i="122"/>
  <c r="AQ43" i="122"/>
  <c r="AR43" i="122"/>
  <c r="AS43" i="122"/>
  <c r="AT43" i="122"/>
  <c r="F44" i="122"/>
  <c r="G44" i="122" s="1"/>
  <c r="H44" i="122" s="1"/>
  <c r="I44" i="122" s="1"/>
  <c r="J44" i="122" s="1"/>
  <c r="K44" i="122" s="1"/>
  <c r="L44" i="122" s="1"/>
  <c r="M44" i="122" s="1"/>
  <c r="N44" i="122" s="1"/>
  <c r="O44" i="122" s="1"/>
  <c r="P44" i="122" s="1"/>
  <c r="Q44" i="122" s="1"/>
  <c r="R44" i="122" s="1"/>
  <c r="S44" i="122" s="1"/>
  <c r="T44" i="122" s="1"/>
  <c r="U44" i="122" s="1"/>
  <c r="V44" i="122" s="1"/>
  <c r="W44" i="122" s="1"/>
  <c r="X44" i="122" s="1"/>
  <c r="Y44" i="122" s="1"/>
  <c r="Z44" i="122" s="1"/>
  <c r="AA44" i="122" s="1"/>
  <c r="AB44" i="122" s="1"/>
  <c r="AC44" i="122" s="1"/>
  <c r="AD44" i="122" s="1"/>
  <c r="AE44" i="122" s="1"/>
  <c r="AF44" i="122" s="1"/>
  <c r="AG44" i="122" s="1"/>
  <c r="AH44" i="122" s="1"/>
  <c r="AI44" i="122" s="1"/>
  <c r="AJ44" i="122" s="1"/>
  <c r="AK44" i="122" s="1"/>
  <c r="AL44" i="122" s="1"/>
  <c r="AM44" i="122" s="1"/>
  <c r="AN44" i="122" s="1"/>
  <c r="AO44" i="122" s="1"/>
  <c r="AP44" i="122" s="1"/>
  <c r="AQ44" i="122" s="1"/>
  <c r="AR44" i="122" s="1"/>
  <c r="AS44" i="122" s="1"/>
  <c r="AT44" i="122" s="1"/>
  <c r="F24" i="122"/>
  <c r="G24" i="122" s="1"/>
  <c r="H24" i="122" s="1"/>
  <c r="I24" i="122" s="1"/>
  <c r="J24" i="122" s="1"/>
  <c r="K24" i="122" s="1"/>
  <c r="L24" i="122" s="1"/>
  <c r="M24" i="122" s="1"/>
  <c r="N24" i="122" s="1"/>
  <c r="O24" i="122" s="1"/>
  <c r="P24" i="122" s="1"/>
  <c r="Q24" i="122" s="1"/>
  <c r="R24" i="122" s="1"/>
  <c r="S24" i="122" s="1"/>
  <c r="T24" i="122" s="1"/>
  <c r="U24" i="122" s="1"/>
  <c r="V24" i="122" s="1"/>
  <c r="W24" i="122" s="1"/>
  <c r="X24" i="122" s="1"/>
  <c r="Y24" i="122" s="1"/>
  <c r="Z24" i="122" s="1"/>
  <c r="AA24" i="122" s="1"/>
  <c r="AB24" i="122" s="1"/>
  <c r="AC24" i="122" s="1"/>
  <c r="AD24" i="122" s="1"/>
  <c r="AE24" i="122" s="1"/>
  <c r="AF24" i="122" s="1"/>
  <c r="AG24" i="122" s="1"/>
  <c r="AH24" i="122" s="1"/>
  <c r="AI24" i="122" s="1"/>
  <c r="AJ24" i="122" s="1"/>
  <c r="AK24" i="122" s="1"/>
  <c r="AL24" i="122" s="1"/>
  <c r="AM24" i="122" s="1"/>
  <c r="AN24" i="122" s="1"/>
  <c r="AO24" i="122" s="1"/>
  <c r="AP24" i="122" s="1"/>
  <c r="AQ24" i="122" s="1"/>
  <c r="AR24" i="122" s="1"/>
  <c r="AS24" i="122" s="1"/>
  <c r="AT24" i="122" s="1"/>
  <c r="AT23" i="122"/>
  <c r="AS23" i="122"/>
  <c r="AR23" i="122"/>
  <c r="AQ23" i="122"/>
  <c r="AP23" i="122"/>
  <c r="AO23" i="122"/>
  <c r="AN23" i="122"/>
  <c r="AM23" i="122"/>
  <c r="AL23" i="122"/>
  <c r="AK23" i="122"/>
  <c r="AJ23" i="122"/>
  <c r="AI23" i="122"/>
  <c r="AH23" i="122"/>
  <c r="AG23" i="122"/>
  <c r="AF23" i="122"/>
  <c r="AE23" i="122"/>
  <c r="AD23" i="122"/>
  <c r="AC23" i="122"/>
  <c r="AB23" i="122"/>
  <c r="AA23" i="122"/>
  <c r="Z23" i="122"/>
  <c r="Y23" i="122"/>
  <c r="X23" i="122"/>
  <c r="W23" i="122"/>
  <c r="V23" i="122"/>
  <c r="U23" i="122"/>
  <c r="T23" i="122"/>
  <c r="S23" i="122"/>
  <c r="R23" i="122"/>
  <c r="Q23" i="122"/>
  <c r="P23" i="122"/>
  <c r="O23" i="122"/>
  <c r="N23" i="122"/>
  <c r="M23" i="122"/>
  <c r="L23" i="122"/>
  <c r="K23" i="122"/>
  <c r="J23" i="122"/>
  <c r="I23" i="122"/>
  <c r="AU23" i="122" s="1"/>
  <c r="H23" i="122"/>
  <c r="G23" i="122"/>
  <c r="F23" i="122"/>
  <c r="E23" i="122"/>
  <c r="F4" i="122"/>
  <c r="G4" i="122" s="1"/>
  <c r="H4" i="122" s="1"/>
  <c r="I4" i="122" s="1"/>
  <c r="J4" i="122" s="1"/>
  <c r="K4" i="122" s="1"/>
  <c r="L4" i="122" s="1"/>
  <c r="M4" i="122" s="1"/>
  <c r="N4" i="122" s="1"/>
  <c r="O4" i="122" s="1"/>
  <c r="P4" i="122" s="1"/>
  <c r="Q4" i="122" s="1"/>
  <c r="R4" i="122" s="1"/>
  <c r="S4" i="122" s="1"/>
  <c r="T4" i="122" s="1"/>
  <c r="U4" i="122" s="1"/>
  <c r="V4" i="122" s="1"/>
  <c r="W4" i="122" s="1"/>
  <c r="X4" i="122" s="1"/>
  <c r="Y4" i="122" s="1"/>
  <c r="Z4" i="122" s="1"/>
  <c r="AA4" i="122" s="1"/>
  <c r="AB4" i="122" s="1"/>
  <c r="AC4" i="122" s="1"/>
  <c r="AD4" i="122" s="1"/>
  <c r="AE4" i="122" s="1"/>
  <c r="AF4" i="122" s="1"/>
  <c r="AG4" i="122" s="1"/>
  <c r="AH4" i="122" s="1"/>
  <c r="AI4" i="122" s="1"/>
  <c r="AJ4" i="122" s="1"/>
  <c r="AK4" i="122" s="1"/>
  <c r="AL4" i="122" s="1"/>
  <c r="AM4" i="122" s="1"/>
  <c r="AN4" i="122" s="1"/>
  <c r="AO4" i="122" s="1"/>
  <c r="AP4" i="122" s="1"/>
  <c r="AQ4" i="122" s="1"/>
  <c r="AR4" i="122" s="1"/>
  <c r="AS4" i="122" s="1"/>
  <c r="AT4" i="122" s="1"/>
  <c r="AQ43" i="97"/>
  <c r="AR43" i="97"/>
  <c r="AS43" i="97"/>
  <c r="AT43" i="97"/>
  <c r="AQ23" i="97"/>
  <c r="AR23" i="97"/>
  <c r="AS23" i="97"/>
  <c r="AT23" i="97"/>
  <c r="AU42" i="97"/>
  <c r="AU41" i="97"/>
  <c r="AU40" i="97"/>
  <c r="AU39" i="97"/>
  <c r="AU38" i="97"/>
  <c r="AU37" i="97"/>
  <c r="AU36" i="97"/>
  <c r="AU35" i="97"/>
  <c r="AU34" i="97"/>
  <c r="AU33" i="97"/>
  <c r="AU32" i="97"/>
  <c r="AU31" i="97"/>
  <c r="AU30" i="97"/>
  <c r="AU29" i="97"/>
  <c r="AU28" i="97"/>
  <c r="AU27" i="97"/>
  <c r="F24" i="97"/>
  <c r="G24" i="97" s="1"/>
  <c r="H24" i="97" s="1"/>
  <c r="I24" i="97" s="1"/>
  <c r="J24" i="97" s="1"/>
  <c r="K24" i="97" s="1"/>
  <c r="L24" i="97" s="1"/>
  <c r="M24" i="97" s="1"/>
  <c r="N24" i="97" s="1"/>
  <c r="O24" i="97" s="1"/>
  <c r="P24" i="97" s="1"/>
  <c r="Q24" i="97" s="1"/>
  <c r="R24" i="97" s="1"/>
  <c r="S24" i="97" s="1"/>
  <c r="T24" i="97" s="1"/>
  <c r="U24" i="97" s="1"/>
  <c r="V24" i="97" s="1"/>
  <c r="W24" i="97" s="1"/>
  <c r="X24" i="97" s="1"/>
  <c r="Y24" i="97" s="1"/>
  <c r="Z24" i="97" s="1"/>
  <c r="AA24" i="97" s="1"/>
  <c r="AB24" i="97" s="1"/>
  <c r="AC24" i="97" s="1"/>
  <c r="AD24" i="97" s="1"/>
  <c r="AE24" i="97" s="1"/>
  <c r="AF24" i="97" s="1"/>
  <c r="AG24" i="97" s="1"/>
  <c r="AH24" i="97" s="1"/>
  <c r="AI24" i="97" s="1"/>
  <c r="AJ24" i="97" s="1"/>
  <c r="AK24" i="97" s="1"/>
  <c r="AL24" i="97" s="1"/>
  <c r="AM24" i="97" s="1"/>
  <c r="AN24" i="97" s="1"/>
  <c r="AO24" i="97" s="1"/>
  <c r="AP24" i="97" s="1"/>
  <c r="AQ24" i="97" s="1"/>
  <c r="AR24" i="97" s="1"/>
  <c r="AS24" i="97" s="1"/>
  <c r="AT24" i="97" s="1"/>
  <c r="AP23" i="97"/>
  <c r="AO23" i="97"/>
  <c r="AN23" i="97"/>
  <c r="AM23" i="97"/>
  <c r="AL23" i="97"/>
  <c r="AK23" i="97"/>
  <c r="AJ23" i="97"/>
  <c r="AI23" i="97"/>
  <c r="AH23" i="97"/>
  <c r="AG23" i="97"/>
  <c r="AF23" i="97"/>
  <c r="AE23" i="97"/>
  <c r="AD23" i="97"/>
  <c r="AC23" i="97"/>
  <c r="AB23" i="97"/>
  <c r="AA23" i="97"/>
  <c r="Z23" i="97"/>
  <c r="Y23" i="97"/>
  <c r="X23" i="97"/>
  <c r="W23" i="97"/>
  <c r="V23" i="97"/>
  <c r="U23" i="97"/>
  <c r="T23" i="97"/>
  <c r="S23" i="97"/>
  <c r="R23" i="97"/>
  <c r="Q23" i="97"/>
  <c r="P23" i="97"/>
  <c r="O23" i="97"/>
  <c r="N23" i="97"/>
  <c r="M23" i="97"/>
  <c r="L23" i="97"/>
  <c r="K23" i="97"/>
  <c r="J23" i="97"/>
  <c r="I23" i="97"/>
  <c r="H23" i="97"/>
  <c r="G23" i="97"/>
  <c r="F23" i="97"/>
  <c r="E23" i="97"/>
  <c r="AU22" i="97"/>
  <c r="AU21" i="97"/>
  <c r="AU20" i="97"/>
  <c r="AU19" i="97"/>
  <c r="AU18" i="97"/>
  <c r="AU17" i="97"/>
  <c r="AU16" i="97"/>
  <c r="AU15" i="97"/>
  <c r="AU14" i="97"/>
  <c r="AU13" i="97"/>
  <c r="AU12" i="97"/>
  <c r="AU11" i="97"/>
  <c r="AU10" i="97"/>
  <c r="AU9" i="97"/>
  <c r="AU8" i="97"/>
  <c r="AU7" i="97"/>
  <c r="F4" i="97"/>
  <c r="G4" i="97" s="1"/>
  <c r="H4" i="97" s="1"/>
  <c r="I4" i="97" s="1"/>
  <c r="J4" i="97" s="1"/>
  <c r="K4" i="97" s="1"/>
  <c r="L4" i="97" s="1"/>
  <c r="M4" i="97" s="1"/>
  <c r="N4" i="97" s="1"/>
  <c r="O4" i="97" s="1"/>
  <c r="P4" i="97" s="1"/>
  <c r="Q4" i="97" s="1"/>
  <c r="R4" i="97" s="1"/>
  <c r="S4" i="97" s="1"/>
  <c r="T4" i="97" s="1"/>
  <c r="U4" i="97" s="1"/>
  <c r="V4" i="97" s="1"/>
  <c r="W4" i="97" s="1"/>
  <c r="X4" i="97" s="1"/>
  <c r="Y4" i="97" s="1"/>
  <c r="Z4" i="97" s="1"/>
  <c r="AA4" i="97" s="1"/>
  <c r="AB4" i="97" s="1"/>
  <c r="AC4" i="97" s="1"/>
  <c r="AD4" i="97" s="1"/>
  <c r="AE4" i="97" s="1"/>
  <c r="AF4" i="97" s="1"/>
  <c r="AG4" i="97" s="1"/>
  <c r="AH4" i="97" s="1"/>
  <c r="AI4" i="97" s="1"/>
  <c r="AJ4" i="97" s="1"/>
  <c r="AK4" i="97" s="1"/>
  <c r="AL4" i="97" s="1"/>
  <c r="AM4" i="97" s="1"/>
  <c r="AN4" i="97" s="1"/>
  <c r="AO4" i="97" s="1"/>
  <c r="AP4" i="97" s="1"/>
  <c r="AQ4" i="97" s="1"/>
  <c r="AR4" i="97" s="1"/>
  <c r="AS4" i="97" s="1"/>
  <c r="AT4" i="97" s="1"/>
  <c r="AU42" i="146"/>
  <c r="AU41" i="146"/>
  <c r="AU40" i="146"/>
  <c r="AU39" i="146"/>
  <c r="AU38" i="146"/>
  <c r="AU37" i="146"/>
  <c r="AU36" i="146"/>
  <c r="AU35" i="146"/>
  <c r="AU34" i="146"/>
  <c r="AU33" i="146"/>
  <c r="AU32" i="146"/>
  <c r="AU31" i="146"/>
  <c r="AU30" i="146"/>
  <c r="AU29" i="146"/>
  <c r="AU28" i="146"/>
  <c r="AU27" i="146"/>
  <c r="F24" i="146"/>
  <c r="G24" i="146" s="1"/>
  <c r="H24" i="146" s="1"/>
  <c r="I24" i="146" s="1"/>
  <c r="J24" i="146" s="1"/>
  <c r="K24" i="146" s="1"/>
  <c r="L24" i="146" s="1"/>
  <c r="M24" i="146" s="1"/>
  <c r="N24" i="146" s="1"/>
  <c r="O24" i="146" s="1"/>
  <c r="P24" i="146" s="1"/>
  <c r="Q24" i="146" s="1"/>
  <c r="R24" i="146" s="1"/>
  <c r="S24" i="146" s="1"/>
  <c r="T24" i="146" s="1"/>
  <c r="U24" i="146" s="1"/>
  <c r="V24" i="146" s="1"/>
  <c r="W24" i="146" s="1"/>
  <c r="X24" i="146" s="1"/>
  <c r="Y24" i="146" s="1"/>
  <c r="Z24" i="146" s="1"/>
  <c r="AA24" i="146" s="1"/>
  <c r="AB24" i="146" s="1"/>
  <c r="AC24" i="146" s="1"/>
  <c r="AD24" i="146" s="1"/>
  <c r="AE24" i="146" s="1"/>
  <c r="AF24" i="146" s="1"/>
  <c r="AG24" i="146" s="1"/>
  <c r="AH24" i="146" s="1"/>
  <c r="AI24" i="146" s="1"/>
  <c r="AJ24" i="146" s="1"/>
  <c r="AK24" i="146" s="1"/>
  <c r="AL24" i="146" s="1"/>
  <c r="AM24" i="146" s="1"/>
  <c r="AN24" i="146" s="1"/>
  <c r="AO24" i="146" s="1"/>
  <c r="AP24" i="146" s="1"/>
  <c r="AQ24" i="146" s="1"/>
  <c r="AR24" i="146" s="1"/>
  <c r="AS24" i="146" s="1"/>
  <c r="AT24" i="146" s="1"/>
  <c r="AU8" i="146"/>
  <c r="AU9" i="146"/>
  <c r="AU10" i="146"/>
  <c r="AU11" i="146"/>
  <c r="AU12" i="146"/>
  <c r="AU13" i="146"/>
  <c r="AU14" i="146"/>
  <c r="AU15" i="146"/>
  <c r="AU16" i="146"/>
  <c r="AU17" i="146"/>
  <c r="AU18" i="146"/>
  <c r="AU19" i="146"/>
  <c r="AU20" i="146"/>
  <c r="AU21" i="146"/>
  <c r="AU22" i="146"/>
  <c r="AU7" i="146"/>
  <c r="F4" i="146"/>
  <c r="G4" i="146" s="1"/>
  <c r="H4" i="146" s="1"/>
  <c r="I4" i="146" s="1"/>
  <c r="J4" i="146" s="1"/>
  <c r="K4" i="146" s="1"/>
  <c r="L4" i="146" s="1"/>
  <c r="M4" i="146" s="1"/>
  <c r="N4" i="146" s="1"/>
  <c r="O4" i="146" s="1"/>
  <c r="P4" i="146" s="1"/>
  <c r="Q4" i="146" s="1"/>
  <c r="R4" i="146" s="1"/>
  <c r="S4" i="146" s="1"/>
  <c r="T4" i="146" s="1"/>
  <c r="U4" i="146" s="1"/>
  <c r="V4" i="146" s="1"/>
  <c r="W4" i="146" s="1"/>
  <c r="X4" i="146" s="1"/>
  <c r="Y4" i="146" s="1"/>
  <c r="Z4" i="146" s="1"/>
  <c r="AA4" i="146" s="1"/>
  <c r="AB4" i="146" s="1"/>
  <c r="AC4" i="146" s="1"/>
  <c r="AD4" i="146" s="1"/>
  <c r="AE4" i="146" s="1"/>
  <c r="AF4" i="146" s="1"/>
  <c r="AG4" i="146" s="1"/>
  <c r="AH4" i="146" s="1"/>
  <c r="AI4" i="146" s="1"/>
  <c r="AJ4" i="146" s="1"/>
  <c r="AK4" i="146" s="1"/>
  <c r="AL4" i="146" s="1"/>
  <c r="AM4" i="146" s="1"/>
  <c r="AN4" i="146" s="1"/>
  <c r="AO4" i="146" s="1"/>
  <c r="AP4" i="146" s="1"/>
  <c r="AQ4" i="146" s="1"/>
  <c r="AR4" i="146" s="1"/>
  <c r="AS4" i="146" s="1"/>
  <c r="AT4" i="146" s="1"/>
  <c r="AT59" i="128"/>
  <c r="AS59" i="128"/>
  <c r="AR59" i="128"/>
  <c r="AQ59" i="128"/>
  <c r="AP59" i="128"/>
  <c r="AO59" i="128"/>
  <c r="AN59" i="128"/>
  <c r="AM59" i="128"/>
  <c r="AL59" i="128"/>
  <c r="AK59" i="128"/>
  <c r="AJ59" i="128"/>
  <c r="AI59" i="128"/>
  <c r="AH59" i="128"/>
  <c r="AG59" i="128"/>
  <c r="AF59" i="128"/>
  <c r="AE59" i="128"/>
  <c r="AD59" i="128"/>
  <c r="AC59" i="128"/>
  <c r="AB59" i="128"/>
  <c r="AA59" i="128"/>
  <c r="Z59" i="128"/>
  <c r="Y59" i="128"/>
  <c r="X59" i="128"/>
  <c r="W59" i="128"/>
  <c r="V59" i="128"/>
  <c r="U59" i="128"/>
  <c r="T59" i="128"/>
  <c r="S59" i="128"/>
  <c r="R59" i="128"/>
  <c r="Q59" i="128"/>
  <c r="P59" i="128"/>
  <c r="O59" i="128"/>
  <c r="N59" i="128"/>
  <c r="M59" i="128"/>
  <c r="L59" i="128"/>
  <c r="K59" i="128"/>
  <c r="J59" i="128"/>
  <c r="I59" i="128"/>
  <c r="H59" i="128"/>
  <c r="G59" i="128"/>
  <c r="F59" i="128"/>
  <c r="AT45" i="128"/>
  <c r="AS45" i="128"/>
  <c r="AR45" i="128"/>
  <c r="AQ45" i="128"/>
  <c r="AP45" i="128"/>
  <c r="AO45" i="128"/>
  <c r="AN45" i="128"/>
  <c r="AM45" i="128"/>
  <c r="AL45" i="128"/>
  <c r="AK45" i="128"/>
  <c r="AJ45" i="128"/>
  <c r="AI45" i="128"/>
  <c r="AH45" i="128"/>
  <c r="AG45" i="128"/>
  <c r="AF45" i="128"/>
  <c r="AE45" i="128"/>
  <c r="AD45" i="128"/>
  <c r="AC45" i="128"/>
  <c r="AB45" i="128"/>
  <c r="AA45" i="128"/>
  <c r="Z45" i="128"/>
  <c r="Y45" i="128"/>
  <c r="X45" i="128"/>
  <c r="W45" i="128"/>
  <c r="V45" i="128"/>
  <c r="U45" i="128"/>
  <c r="T45" i="128"/>
  <c r="S45" i="128"/>
  <c r="R45" i="128"/>
  <c r="Q45" i="128"/>
  <c r="P45" i="128"/>
  <c r="O45" i="128"/>
  <c r="N45" i="128"/>
  <c r="M45" i="128"/>
  <c r="L45" i="128"/>
  <c r="K45" i="128"/>
  <c r="J45" i="128"/>
  <c r="I45" i="128"/>
  <c r="H45" i="128"/>
  <c r="G45" i="128"/>
  <c r="F45" i="128"/>
  <c r="AT30" i="128"/>
  <c r="AS30" i="128"/>
  <c r="AR30" i="128"/>
  <c r="AQ30" i="128"/>
  <c r="AP30" i="128"/>
  <c r="AO30" i="128"/>
  <c r="AN30" i="128"/>
  <c r="AM30" i="128"/>
  <c r="AL30" i="128"/>
  <c r="AK30" i="128"/>
  <c r="AJ30" i="128"/>
  <c r="AI30" i="128"/>
  <c r="AH30" i="128"/>
  <c r="AG30" i="128"/>
  <c r="AF30" i="128"/>
  <c r="AE30" i="128"/>
  <c r="AD30" i="128"/>
  <c r="AC30" i="128"/>
  <c r="AB30" i="128"/>
  <c r="AA30" i="128"/>
  <c r="Z30" i="128"/>
  <c r="Y30" i="128"/>
  <c r="X30" i="128"/>
  <c r="W30" i="128"/>
  <c r="V30" i="128"/>
  <c r="U30" i="128"/>
  <c r="T30" i="128"/>
  <c r="S30" i="128"/>
  <c r="R30" i="128"/>
  <c r="Q30" i="128"/>
  <c r="P30" i="128"/>
  <c r="O30" i="128"/>
  <c r="N30" i="128"/>
  <c r="M30" i="128"/>
  <c r="L30" i="128"/>
  <c r="K30" i="128"/>
  <c r="J30" i="128"/>
  <c r="I30" i="128"/>
  <c r="H30" i="128"/>
  <c r="G30" i="128"/>
  <c r="F30" i="128"/>
  <c r="F32" i="128"/>
  <c r="G32" i="128" s="1"/>
  <c r="H32" i="128" s="1"/>
  <c r="I32" i="128" s="1"/>
  <c r="J32" i="128" s="1"/>
  <c r="K32" i="128" s="1"/>
  <c r="L32" i="128" s="1"/>
  <c r="M32" i="128" s="1"/>
  <c r="N32" i="128" s="1"/>
  <c r="O32" i="128" s="1"/>
  <c r="P32" i="128" s="1"/>
  <c r="Q32" i="128" s="1"/>
  <c r="R32" i="128" s="1"/>
  <c r="S32" i="128" s="1"/>
  <c r="T32" i="128" s="1"/>
  <c r="U32" i="128" s="1"/>
  <c r="V32" i="128" s="1"/>
  <c r="W32" i="128" s="1"/>
  <c r="X32" i="128" s="1"/>
  <c r="Y32" i="128" s="1"/>
  <c r="Z32" i="128" s="1"/>
  <c r="AA32" i="128" s="1"/>
  <c r="AB32" i="128" s="1"/>
  <c r="AC32" i="128" s="1"/>
  <c r="AD32" i="128" s="1"/>
  <c r="AE32" i="128" s="1"/>
  <c r="AF32" i="128" s="1"/>
  <c r="AG32" i="128" s="1"/>
  <c r="AH32" i="128" s="1"/>
  <c r="AI32" i="128" s="1"/>
  <c r="AJ32" i="128" s="1"/>
  <c r="AK32" i="128" s="1"/>
  <c r="AL32" i="128" s="1"/>
  <c r="AM32" i="128" s="1"/>
  <c r="AN32" i="128" s="1"/>
  <c r="AO32" i="128" s="1"/>
  <c r="AP32" i="128" s="1"/>
  <c r="AQ32" i="128" s="1"/>
  <c r="AR32" i="128" s="1"/>
  <c r="AS32" i="128" s="1"/>
  <c r="AT32" i="128" s="1"/>
  <c r="AU29" i="128"/>
  <c r="AU28" i="128"/>
  <c r="AU27" i="128"/>
  <c r="AU26" i="128"/>
  <c r="AU25" i="128"/>
  <c r="AU24" i="128"/>
  <c r="AU23" i="128"/>
  <c r="AU22" i="128"/>
  <c r="AU21" i="128"/>
  <c r="AU20" i="128"/>
  <c r="AQ17" i="128"/>
  <c r="AR17" i="128"/>
  <c r="AS17" i="128"/>
  <c r="AT17" i="128"/>
  <c r="AU8" i="128"/>
  <c r="AU9" i="128"/>
  <c r="AU10" i="128"/>
  <c r="AU11" i="128"/>
  <c r="AU12" i="128"/>
  <c r="AU13" i="128"/>
  <c r="AU14" i="128"/>
  <c r="AU15" i="128"/>
  <c r="AU16" i="128"/>
  <c r="AU7" i="128"/>
  <c r="F4" i="128"/>
  <c r="G4" i="128" s="1"/>
  <c r="H4" i="128" s="1"/>
  <c r="I4" i="128" s="1"/>
  <c r="J4" i="128" s="1"/>
  <c r="K4" i="128" s="1"/>
  <c r="L4" i="128" s="1"/>
  <c r="M4" i="128" s="1"/>
  <c r="N4" i="128" s="1"/>
  <c r="O4" i="128" s="1"/>
  <c r="P4" i="128" s="1"/>
  <c r="Q4" i="128" s="1"/>
  <c r="R4" i="128" s="1"/>
  <c r="S4" i="128" s="1"/>
  <c r="T4" i="128" s="1"/>
  <c r="U4" i="128" s="1"/>
  <c r="V4" i="128" s="1"/>
  <c r="W4" i="128" s="1"/>
  <c r="X4" i="128" s="1"/>
  <c r="Y4" i="128" s="1"/>
  <c r="Z4" i="128" s="1"/>
  <c r="AA4" i="128" s="1"/>
  <c r="AB4" i="128" s="1"/>
  <c r="AC4" i="128" s="1"/>
  <c r="AD4" i="128" s="1"/>
  <c r="AE4" i="128" s="1"/>
  <c r="AF4" i="128" s="1"/>
  <c r="AG4" i="128" s="1"/>
  <c r="AH4" i="128" s="1"/>
  <c r="AI4" i="128" s="1"/>
  <c r="AJ4" i="128" s="1"/>
  <c r="AK4" i="128" s="1"/>
  <c r="AL4" i="128" s="1"/>
  <c r="AM4" i="128" s="1"/>
  <c r="AN4" i="128" s="1"/>
  <c r="AO4" i="128" s="1"/>
  <c r="AP4" i="128" s="1"/>
  <c r="AQ4" i="128" s="1"/>
  <c r="AR4" i="128" s="1"/>
  <c r="AS4" i="128" s="1"/>
  <c r="AT4" i="128" s="1"/>
  <c r="AP63" i="144"/>
  <c r="AO63" i="144"/>
  <c r="AN63" i="144"/>
  <c r="AM63" i="144"/>
  <c r="AL63" i="144"/>
  <c r="AK63" i="144"/>
  <c r="AJ63" i="144"/>
  <c r="AI63" i="144"/>
  <c r="AH63" i="144"/>
  <c r="AG63" i="144"/>
  <c r="AF63" i="144"/>
  <c r="AE63" i="144"/>
  <c r="AD63" i="144"/>
  <c r="AC63" i="144"/>
  <c r="AB63" i="144"/>
  <c r="AA63" i="144"/>
  <c r="Z63" i="144"/>
  <c r="Y63" i="144"/>
  <c r="X63" i="144"/>
  <c r="W63" i="144"/>
  <c r="V63" i="144"/>
  <c r="U63" i="144"/>
  <c r="T63" i="144"/>
  <c r="S63" i="144"/>
  <c r="R63" i="144"/>
  <c r="Q63" i="144"/>
  <c r="P63" i="144"/>
  <c r="O63" i="144"/>
  <c r="N63" i="144"/>
  <c r="M63" i="144"/>
  <c r="L63" i="144"/>
  <c r="K63" i="144"/>
  <c r="J63" i="144"/>
  <c r="I63" i="144"/>
  <c r="H63" i="144"/>
  <c r="G63" i="144"/>
  <c r="F63" i="144"/>
  <c r="AP63" i="122"/>
  <c r="AO63" i="122"/>
  <c r="AN63" i="122"/>
  <c r="AM63" i="122"/>
  <c r="AL63" i="122"/>
  <c r="AK63" i="122"/>
  <c r="AJ63" i="122"/>
  <c r="AI63" i="122"/>
  <c r="AH63" i="122"/>
  <c r="AG63" i="122"/>
  <c r="AF63" i="122"/>
  <c r="AE63" i="122"/>
  <c r="AD63" i="122"/>
  <c r="AC63" i="122"/>
  <c r="AB63" i="122"/>
  <c r="AA63" i="122"/>
  <c r="Z63" i="122"/>
  <c r="Y63" i="122"/>
  <c r="X63" i="122"/>
  <c r="W63" i="122"/>
  <c r="V63" i="122"/>
  <c r="U63" i="122"/>
  <c r="T63" i="122"/>
  <c r="S63" i="122"/>
  <c r="R63" i="122"/>
  <c r="Q63" i="122"/>
  <c r="P63" i="122"/>
  <c r="O63" i="122"/>
  <c r="N63" i="122"/>
  <c r="M63" i="122"/>
  <c r="L63" i="122"/>
  <c r="K63" i="122"/>
  <c r="J63" i="122"/>
  <c r="I63" i="122"/>
  <c r="H63" i="122"/>
  <c r="G63" i="122"/>
  <c r="F63" i="122"/>
  <c r="E63" i="122"/>
  <c r="AP43" i="122"/>
  <c r="AO43" i="122"/>
  <c r="AN43" i="122"/>
  <c r="AM43" i="122"/>
  <c r="AL43" i="122"/>
  <c r="AK43" i="122"/>
  <c r="AJ43" i="122"/>
  <c r="AI43" i="122"/>
  <c r="AH43" i="122"/>
  <c r="AG43" i="122"/>
  <c r="AF43" i="122"/>
  <c r="AE43" i="122"/>
  <c r="AD43" i="122"/>
  <c r="AC43" i="122"/>
  <c r="AB43" i="122"/>
  <c r="AA43" i="122"/>
  <c r="Z43" i="122"/>
  <c r="Y43" i="122"/>
  <c r="X43" i="122"/>
  <c r="W43" i="122"/>
  <c r="V43" i="122"/>
  <c r="U43" i="122"/>
  <c r="T43" i="122"/>
  <c r="S43" i="122"/>
  <c r="R43" i="122"/>
  <c r="Q43" i="122"/>
  <c r="P43" i="122"/>
  <c r="O43" i="122"/>
  <c r="N43" i="122"/>
  <c r="M43" i="122"/>
  <c r="L43" i="122"/>
  <c r="K43" i="122"/>
  <c r="J43" i="122"/>
  <c r="I43" i="122"/>
  <c r="AU43" i="122" s="1"/>
  <c r="H43" i="122"/>
  <c r="G43" i="122"/>
  <c r="F43" i="122"/>
  <c r="E43" i="122"/>
  <c r="AP43" i="97"/>
  <c r="AO43" i="97"/>
  <c r="AN43" i="97"/>
  <c r="AM43" i="97"/>
  <c r="AL43" i="97"/>
  <c r="AK43" i="97"/>
  <c r="AJ43" i="97"/>
  <c r="AI43" i="97"/>
  <c r="AH43" i="97"/>
  <c r="AG43" i="97"/>
  <c r="AF43" i="97"/>
  <c r="AE43" i="97"/>
  <c r="AD43" i="97"/>
  <c r="AC43" i="97"/>
  <c r="AB43" i="97"/>
  <c r="AA43" i="97"/>
  <c r="Z43" i="97"/>
  <c r="Y43" i="97"/>
  <c r="X43" i="97"/>
  <c r="W43" i="97"/>
  <c r="V43" i="97"/>
  <c r="U43" i="97"/>
  <c r="T43" i="97"/>
  <c r="S43" i="97"/>
  <c r="R43" i="97"/>
  <c r="Q43" i="97"/>
  <c r="P43" i="97"/>
  <c r="O43" i="97"/>
  <c r="O45" i="97" s="1"/>
  <c r="N43" i="97"/>
  <c r="N45" i="97" s="1"/>
  <c r="M43" i="97"/>
  <c r="M45" i="97" s="1"/>
  <c r="L43" i="97"/>
  <c r="K43" i="97"/>
  <c r="J43" i="97"/>
  <c r="J45" i="97" s="1"/>
  <c r="I43" i="97"/>
  <c r="I45" i="97" s="1"/>
  <c r="H43" i="97"/>
  <c r="H45" i="97" s="1"/>
  <c r="G43" i="97"/>
  <c r="G45" i="97" s="1"/>
  <c r="F43" i="97"/>
  <c r="F45" i="97" s="1"/>
  <c r="E23" i="146"/>
  <c r="F23" i="146"/>
  <c r="G23" i="146"/>
  <c r="H23" i="146"/>
  <c r="I23" i="146"/>
  <c r="J23" i="146"/>
  <c r="K23" i="146"/>
  <c r="L23" i="146"/>
  <c r="M23" i="146"/>
  <c r="N23" i="146"/>
  <c r="O23" i="146"/>
  <c r="P23" i="146"/>
  <c r="Q23" i="146"/>
  <c r="R23" i="146"/>
  <c r="S23" i="146"/>
  <c r="T23" i="146"/>
  <c r="U23" i="146"/>
  <c r="V23" i="146"/>
  <c r="W23" i="146"/>
  <c r="X23" i="146"/>
  <c r="Y23" i="146"/>
  <c r="Z23" i="146"/>
  <c r="AA23" i="146"/>
  <c r="AB23" i="146"/>
  <c r="AC23" i="146"/>
  <c r="AD23" i="146"/>
  <c r="AE23" i="146"/>
  <c r="AF23" i="146"/>
  <c r="AG23" i="146"/>
  <c r="AH23" i="146"/>
  <c r="AI23" i="146"/>
  <c r="AJ23" i="146"/>
  <c r="AK23" i="146"/>
  <c r="AL23" i="146"/>
  <c r="E43" i="146"/>
  <c r="F43" i="146"/>
  <c r="G43" i="146"/>
  <c r="H43" i="146"/>
  <c r="I43" i="146"/>
  <c r="J43" i="146"/>
  <c r="K43" i="146"/>
  <c r="L43" i="146"/>
  <c r="M43" i="146"/>
  <c r="N43" i="146"/>
  <c r="O43" i="146"/>
  <c r="P43" i="146"/>
  <c r="Q43" i="146"/>
  <c r="R43" i="146"/>
  <c r="S43" i="146"/>
  <c r="T43" i="146"/>
  <c r="U43" i="146"/>
  <c r="V43" i="146"/>
  <c r="W43" i="146"/>
  <c r="X43" i="146"/>
  <c r="Y43" i="146"/>
  <c r="Z43" i="146"/>
  <c r="AA43" i="146"/>
  <c r="AB43" i="146"/>
  <c r="AC43" i="146"/>
  <c r="AD43" i="146"/>
  <c r="AE43" i="146"/>
  <c r="AF43" i="146"/>
  <c r="AG43" i="146"/>
  <c r="AH43" i="146"/>
  <c r="AI43" i="146"/>
  <c r="AJ43" i="146"/>
  <c r="AK43" i="146"/>
  <c r="AL43" i="146"/>
  <c r="AM23" i="146"/>
  <c r="AN23" i="146"/>
  <c r="AO23" i="146"/>
  <c r="AP23" i="146"/>
  <c r="AJ17" i="128"/>
  <c r="AK17" i="128"/>
  <c r="AL17" i="128"/>
  <c r="AM17" i="128"/>
  <c r="AN17" i="128"/>
  <c r="AO17" i="128"/>
  <c r="AP17" i="128"/>
  <c r="AI17" i="128"/>
  <c r="AH17" i="128"/>
  <c r="AP43" i="146"/>
  <c r="AO43" i="146"/>
  <c r="AN43" i="146"/>
  <c r="F17" i="128"/>
  <c r="G17" i="128"/>
  <c r="H17" i="128"/>
  <c r="I17" i="128"/>
  <c r="J17" i="128"/>
  <c r="K17" i="128"/>
  <c r="L17" i="128"/>
  <c r="M17" i="128"/>
  <c r="N17" i="128"/>
  <c r="O17" i="128"/>
  <c r="P17" i="128"/>
  <c r="Q17" i="128"/>
  <c r="R17" i="128"/>
  <c r="S17" i="128"/>
  <c r="T17" i="128"/>
  <c r="U17" i="128"/>
  <c r="V17" i="128"/>
  <c r="W17" i="128"/>
  <c r="X17" i="128"/>
  <c r="Y17" i="128"/>
  <c r="Z17" i="128"/>
  <c r="AA17" i="128"/>
  <c r="AB17" i="128"/>
  <c r="AC17" i="128"/>
  <c r="AD17" i="128"/>
  <c r="AE17" i="128"/>
  <c r="AF17" i="128"/>
  <c r="AG17" i="128"/>
  <c r="AM43" i="146"/>
  <c r="E45" i="97" l="1"/>
  <c r="D6" i="146"/>
  <c r="D6" i="152"/>
  <c r="D6" i="151"/>
  <c r="D6" i="150"/>
  <c r="D6" i="134"/>
  <c r="D6" i="119"/>
  <c r="D6" i="144"/>
  <c r="D6" i="122"/>
  <c r="D6" i="97"/>
  <c r="AU63" i="144"/>
  <c r="AQ65" i="119"/>
  <c r="AR65" i="119"/>
  <c r="AS65" i="119"/>
  <c r="R65" i="119"/>
  <c r="AU23" i="151"/>
  <c r="I44" i="151"/>
  <c r="Q45" i="97"/>
  <c r="Q46" i="97" s="1"/>
  <c r="O44" i="151"/>
</calcChain>
</file>

<file path=xl/sharedStrings.xml><?xml version="1.0" encoding="utf-8"?>
<sst xmlns="http://schemas.openxmlformats.org/spreadsheetml/2006/main" count="2047" uniqueCount="420">
  <si>
    <t>BABY SOCCER</t>
  </si>
  <si>
    <t>MAJ LISTE 11/03 : 12h15</t>
  </si>
  <si>
    <t>TOTAL INSCRIPTION EDF :</t>
  </si>
  <si>
    <t>MERCREDI 14h30</t>
  </si>
  <si>
    <t>S1</t>
  </si>
  <si>
    <t>S2</t>
  </si>
  <si>
    <t>S3</t>
  </si>
  <si>
    <t>S4</t>
  </si>
  <si>
    <t>S5</t>
  </si>
  <si>
    <t>S6</t>
  </si>
  <si>
    <t>V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</si>
  <si>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</si>
  <si>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</si>
  <si>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</si>
  <si>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</si>
  <si>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</si>
  <si>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</si>
  <si>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</si>
  <si>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</si>
  <si>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</si>
  <si>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</si>
  <si>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</si>
  <si>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</si>
  <si>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</si>
  <si>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</si>
  <si>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</si>
  <si>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</si>
  <si>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</si>
  <si>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</si>
  <si>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</si>
  <si>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</si>
  <si>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</si>
  <si>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</si>
  <si>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F</t>
  </si>
  <si>
    <t>S29</t>
  </si>
  <si>
    <t>S30</t>
  </si>
  <si>
    <t>S31</t>
  </si>
  <si>
    <t>S32</t>
  </si>
  <si>
    <t>S33</t>
  </si>
  <si>
    <t>AMARA Aylan</t>
  </si>
  <si>
    <t>U5</t>
  </si>
  <si>
    <t>MANGA Farell</t>
  </si>
  <si>
    <t>DIABY Ibrahima</t>
  </si>
  <si>
    <t>SONGABIMA NDOMBASI Braxton</t>
  </si>
  <si>
    <t>RAHMAOUI Ilyan</t>
  </si>
  <si>
    <t>BENNABI Issam</t>
  </si>
  <si>
    <t>ALTINSOY Kenan</t>
  </si>
  <si>
    <t>CALOIN Enzo</t>
  </si>
  <si>
    <t>TOTAL G1</t>
  </si>
  <si>
    <t>MERCREDI 17h30</t>
  </si>
  <si>
    <t>PILLAS Matéo</t>
  </si>
  <si>
    <t>BARGACH Adam</t>
  </si>
  <si>
    <t>ALMEIDA SOAVE Elikiah</t>
  </si>
  <si>
    <t>MARTIN TROYES Nathan</t>
  </si>
  <si>
    <t>SIMON Taïryk</t>
  </si>
  <si>
    <t>JAMALEDDINE Nail</t>
  </si>
  <si>
    <t>NGUEMA MEDANG Alpha</t>
  </si>
  <si>
    <t>BENZITOUNI Noham</t>
  </si>
  <si>
    <t>TOTAL G2</t>
  </si>
  <si>
    <t>SAMEDI 10h</t>
  </si>
  <si>
    <t>MARTIN Noah</t>
  </si>
  <si>
    <t>Annulé</t>
  </si>
  <si>
    <t xml:space="preserve">MICHOT DA CONCEICAO Keyian </t>
  </si>
  <si>
    <t>ADN</t>
  </si>
  <si>
    <t>PB éduc</t>
  </si>
  <si>
    <t>FRAIKIN Gaspard</t>
  </si>
  <si>
    <t>AHITOUR Youssef</t>
  </si>
  <si>
    <t>VANGOUT Isaiah</t>
  </si>
  <si>
    <t>FRANCOIS Noah</t>
  </si>
  <si>
    <t>KINANKAZI Kimya</t>
  </si>
  <si>
    <t>TOTAL G3</t>
  </si>
  <si>
    <t>SAMEDI 11h15</t>
  </si>
  <si>
    <t>KLAI Taha</t>
  </si>
  <si>
    <t>NETO Meho</t>
  </si>
  <si>
    <t>SOUISSI Hedi</t>
  </si>
  <si>
    <t>HAOUEL Adam</t>
  </si>
  <si>
    <t>BENDOUBA Haron</t>
  </si>
  <si>
    <t>BEJAOUI Helia</t>
  </si>
  <si>
    <t>MHENNI Emyr</t>
  </si>
  <si>
    <t>SAHL Milo</t>
  </si>
  <si>
    <t>MOHAMED Naïm</t>
  </si>
  <si>
    <t>SLIMAN Saïan</t>
  </si>
  <si>
    <t>SABRI Ryad</t>
  </si>
  <si>
    <t>ARRET</t>
  </si>
  <si>
    <t>TOTAL G4</t>
  </si>
  <si>
    <t>LUNDI 17H30</t>
  </si>
  <si>
    <t>1er groupe</t>
  </si>
  <si>
    <t>GRAY Louis</t>
  </si>
  <si>
    <t>U10</t>
  </si>
  <si>
    <t>LECEA Joseph</t>
  </si>
  <si>
    <t>SALAME Bassam</t>
  </si>
  <si>
    <t>GUILLETAT Seyf</t>
  </si>
  <si>
    <t>COINTE-FOURRIER Axel</t>
  </si>
  <si>
    <t>RODRIGUEZ Clément</t>
  </si>
  <si>
    <t>U11</t>
  </si>
  <si>
    <t>SUN Bastien</t>
  </si>
  <si>
    <t>MOUMEN Maher</t>
  </si>
  <si>
    <t>MOUMEN Wael</t>
  </si>
  <si>
    <t>AZARYOUH Ismael</t>
  </si>
  <si>
    <t>ZERROUKI Aymen</t>
  </si>
  <si>
    <t>FATY Noha</t>
  </si>
  <si>
    <t>U12</t>
  </si>
  <si>
    <t>CROSNIER Simon</t>
  </si>
  <si>
    <t>U13</t>
  </si>
  <si>
    <t>BECKER Kolja</t>
  </si>
  <si>
    <t>2è groupe</t>
  </si>
  <si>
    <t>NIEMBRO Pedro (Lille-Bondues)</t>
  </si>
  <si>
    <t>LEMOINE Marcel (Tlse Montaudran)</t>
  </si>
  <si>
    <t>MARDI 17H30</t>
  </si>
  <si>
    <t>GHACHI TAILLARD Naël</t>
  </si>
  <si>
    <t>U6</t>
  </si>
  <si>
    <t>PUJOL Elio</t>
  </si>
  <si>
    <t>BRUGAT Mathias</t>
  </si>
  <si>
    <t>MAGNIN Jade</t>
  </si>
  <si>
    <t>U7</t>
  </si>
  <si>
    <t>MAGNIN Sophie</t>
  </si>
  <si>
    <t>AMSELEM Ishay</t>
  </si>
  <si>
    <t>BENZITOUNI Kamïl</t>
  </si>
  <si>
    <t>Silvio (stage) - U7 - SD</t>
  </si>
  <si>
    <t>KHELIF Aaron</t>
  </si>
  <si>
    <t>U8</t>
  </si>
  <si>
    <t>HARZALLAH Zakaria</t>
  </si>
  <si>
    <t>SANCHEZ GUERRERO Lennys</t>
  </si>
  <si>
    <t>U9</t>
  </si>
  <si>
    <t>DANOT Maël</t>
  </si>
  <si>
    <t>OLVERA MARTINEZ Matias Andres</t>
  </si>
  <si>
    <t>CHALLUT Tom</t>
  </si>
  <si>
    <t>GUEDJ Joseph</t>
  </si>
  <si>
    <t>BENHADDOU Imrane</t>
  </si>
  <si>
    <t>GHACHI TAILLARD Noé</t>
  </si>
  <si>
    <t>PUJOL Timéo</t>
  </si>
  <si>
    <t>DINH Aaron</t>
  </si>
  <si>
    <t>MERCREDI 14H00</t>
  </si>
  <si>
    <t>BARCELO Pablo</t>
  </si>
  <si>
    <t>MORIN NGUYEN Milo</t>
  </si>
  <si>
    <t xml:space="preserve">GARCIA LOPEZ Carlos </t>
  </si>
  <si>
    <t>ANDRE Salomon</t>
  </si>
  <si>
    <t>RAMOS AMAT Paolo</t>
  </si>
  <si>
    <t>BALLET Akeem</t>
  </si>
  <si>
    <t xml:space="preserve">AZUELOS Marceau </t>
  </si>
  <si>
    <t>SYED Adem</t>
  </si>
  <si>
    <t>CARFANTAN Gaspar</t>
  </si>
  <si>
    <t>CALOIN Chris</t>
  </si>
  <si>
    <t>SABOUR Kamil</t>
  </si>
  <si>
    <t>GLANDIER Carl</t>
  </si>
  <si>
    <t>MITCHELL Arthur</t>
  </si>
  <si>
    <t>SALAH Gauthier</t>
  </si>
  <si>
    <t>COULIBALY Adam</t>
  </si>
  <si>
    <t>MEKDACH Riyad</t>
  </si>
  <si>
    <t>SI SALAH Mayas</t>
  </si>
  <si>
    <t>MAZOIN Matisse</t>
  </si>
  <si>
    <t>LABORIE Romain</t>
  </si>
  <si>
    <t>DESCUDE Ivan</t>
  </si>
  <si>
    <t>SCHMITT Baptiste</t>
  </si>
  <si>
    <t>COUTE Nolan</t>
  </si>
  <si>
    <t>DIALLO Adam</t>
  </si>
  <si>
    <t>DE BRITO Raphaël</t>
  </si>
  <si>
    <t>3è groupe</t>
  </si>
  <si>
    <t>COUDERC Antoine</t>
  </si>
  <si>
    <t>LEGRAND LHOPITAULT Louis</t>
  </si>
  <si>
    <t>DELEAU Axel</t>
  </si>
  <si>
    <t>ICARD Matéo</t>
  </si>
  <si>
    <t>MAL</t>
  </si>
  <si>
    <t>BOUYGUES Léopold</t>
  </si>
  <si>
    <t>CAZES Mathis</t>
  </si>
  <si>
    <t>PARRA-BRUGUIERE Victor</t>
  </si>
  <si>
    <t>ARBONA Raphaël</t>
  </si>
  <si>
    <t>MOREIRA Enzo</t>
  </si>
  <si>
    <t>MICHELLAND Marlon</t>
  </si>
  <si>
    <t>LASPALLES Paul</t>
  </si>
  <si>
    <t>MERCREDI 15H45</t>
  </si>
  <si>
    <t>ABOU LEYLA Youssef</t>
  </si>
  <si>
    <t>LEGRAND LHOPITAULT Gabriel</t>
  </si>
  <si>
    <t>NGUEMA MEDANG Seth</t>
  </si>
  <si>
    <t>MEDALE Joaquim</t>
  </si>
  <si>
    <t>BESNARD Noah</t>
  </si>
  <si>
    <t>DESPOISSE Louis</t>
  </si>
  <si>
    <t>SACADURA DOS SANTOS Thomas</t>
  </si>
  <si>
    <t>KARIMI Jad-Liam</t>
  </si>
  <si>
    <t>DELGADO Emiliano</t>
  </si>
  <si>
    <t>MANNA Gabriel</t>
  </si>
  <si>
    <t>FARSI Amir</t>
  </si>
  <si>
    <t>AMRI Souleymane</t>
  </si>
  <si>
    <t xml:space="preserve">MAHAMOUD IBRAHIM Zaïn </t>
  </si>
  <si>
    <t>NICOLLE Noah</t>
  </si>
  <si>
    <t>AMER Ayman</t>
  </si>
  <si>
    <t>AZIZA Sam</t>
  </si>
  <si>
    <t>MOREIRA Liam</t>
  </si>
  <si>
    <t>DEVOS Adam</t>
  </si>
  <si>
    <t>MOLINA NEGRE Ruben</t>
  </si>
  <si>
    <t>BEAUMONT Elie</t>
  </si>
  <si>
    <t>Bagare</t>
  </si>
  <si>
    <t>GOMIS Noam</t>
  </si>
  <si>
    <t>BAMBA Karim Christ Emmanuel</t>
  </si>
  <si>
    <t>ARBONA Florian</t>
  </si>
  <si>
    <t>MAGOSSOU Melphy Antoine</t>
  </si>
  <si>
    <t>ABOU LEYA Adam</t>
  </si>
  <si>
    <t>MARTIN CHOPINAUD Louis</t>
  </si>
  <si>
    <t>MOREIRA Lucas</t>
  </si>
  <si>
    <t>GUERRERO Nino</t>
  </si>
  <si>
    <t>GONCALVES Gabin</t>
  </si>
  <si>
    <t>GARBAA Ilyas</t>
  </si>
  <si>
    <t>DORNEVAL Sami, Keyann</t>
  </si>
  <si>
    <t>BOUVIER Victor</t>
  </si>
  <si>
    <t>THILLARD Jack</t>
  </si>
  <si>
    <t>CHAFIQ Yacine</t>
  </si>
  <si>
    <t>AMER Wael</t>
  </si>
  <si>
    <t>MARCOU Esteban</t>
  </si>
  <si>
    <t>U14</t>
  </si>
  <si>
    <t>PEREZ Sacha</t>
  </si>
  <si>
    <t>PEMBA MBOULET Omaël</t>
  </si>
  <si>
    <t>NOTTOLI Oscar</t>
  </si>
  <si>
    <t>U15</t>
  </si>
  <si>
    <t>LATHIERE Raphaël</t>
  </si>
  <si>
    <t>BANMASSOUD Yanis</t>
  </si>
  <si>
    <t>MAYOUCHE Maël</t>
  </si>
  <si>
    <t>U16</t>
  </si>
  <si>
    <t>ROCHE Maël</t>
  </si>
  <si>
    <t>BL (1)</t>
  </si>
  <si>
    <t>BL</t>
  </si>
  <si>
    <t>POURQUIER Simon</t>
  </si>
  <si>
    <t>Souhaite arreter, s'est mis au ping-pong</t>
  </si>
  <si>
    <t>VENDREDI 17H30</t>
  </si>
  <si>
    <t>TRIN Léo</t>
  </si>
  <si>
    <t>PEGUET Edgar</t>
  </si>
  <si>
    <t>AL HASSAN Yousef</t>
  </si>
  <si>
    <t>SIMON Gabriel</t>
  </si>
  <si>
    <t>SAFA Jad</t>
  </si>
  <si>
    <t>GRIMAL Johan</t>
  </si>
  <si>
    <t>TEIXEIRA RICHARD Paul</t>
  </si>
  <si>
    <t>BEN ABDELJELIL Zakarya</t>
  </si>
  <si>
    <t>SUN Jimmy</t>
  </si>
  <si>
    <t>ELKHALFIOUI Wakil</t>
  </si>
  <si>
    <t>MURILLO-NNABUIHE Caymmi</t>
  </si>
  <si>
    <t>LEMOINE Anatole</t>
  </si>
  <si>
    <t>PETITJEAN Maxance</t>
  </si>
  <si>
    <t>GASPARINI CASTRO Matteo</t>
  </si>
  <si>
    <t>LARBAOUI El Mehdi</t>
  </si>
  <si>
    <t>ZORGATI Ryan</t>
  </si>
  <si>
    <t>BRADAI Adam</t>
  </si>
  <si>
    <t>ALADWAN Shahim</t>
  </si>
  <si>
    <t>KATAOKA Ren</t>
  </si>
  <si>
    <t>BEN ABDELJELIL Skander</t>
  </si>
  <si>
    <t>SEMPE Soan</t>
  </si>
  <si>
    <t>KHASAEEBAH Adim</t>
  </si>
  <si>
    <t>PEGUET Achille</t>
  </si>
  <si>
    <t>GRIMAL Adria</t>
  </si>
  <si>
    <t>AMADIEU BALAVOINE Basile</t>
  </si>
  <si>
    <t>REGIS Noé</t>
  </si>
  <si>
    <t>AL HASSAN Karam</t>
  </si>
  <si>
    <t>BELFQUIH Amine</t>
  </si>
  <si>
    <t>ARIF Adam</t>
  </si>
  <si>
    <t>HAMICHE Maëlan</t>
  </si>
  <si>
    <t>MANAL Gabriel</t>
  </si>
  <si>
    <t>COURTEILLE Nahil</t>
  </si>
  <si>
    <t>COURTEILLE Ryan</t>
  </si>
  <si>
    <t>ZORGATI Adam</t>
  </si>
  <si>
    <t>MESTRALLET Téo</t>
  </si>
  <si>
    <t>BERNADETTE Loïc</t>
  </si>
  <si>
    <t>STIER Arthur</t>
  </si>
  <si>
    <t>PEREZ DÜRR Lukas</t>
  </si>
  <si>
    <t>SELLAOUTI Ahmed</t>
  </si>
  <si>
    <t>BOU ISSAC Marc</t>
  </si>
  <si>
    <t>VAZQUEZ Aaron</t>
  </si>
  <si>
    <t>SEMPE Ilyan</t>
  </si>
  <si>
    <t>LINCHEVSKYY Taras</t>
  </si>
  <si>
    <t>SAFA Mohamad</t>
  </si>
  <si>
    <t>RAOUX Maélan</t>
  </si>
  <si>
    <t>SAMEDI 09H30</t>
  </si>
  <si>
    <t>ABOU LEYLA Ilyes</t>
  </si>
  <si>
    <t>CALSAT Raphaël</t>
  </si>
  <si>
    <t>FONTAINE Erez</t>
  </si>
  <si>
    <t>DHAKAR Zayd</t>
  </si>
  <si>
    <t>GUENNECPINTOR Isaac</t>
  </si>
  <si>
    <t>MHIRA Yassir</t>
  </si>
  <si>
    <t>MARTIN Lonni</t>
  </si>
  <si>
    <t>BEN MAHMOUD Aylan</t>
  </si>
  <si>
    <t>FONTAINE Aaron</t>
  </si>
  <si>
    <t>FONTAINE Erwan</t>
  </si>
  <si>
    <t>VIALETTE Eden</t>
  </si>
  <si>
    <t>ANTIC MOREAU Jules</t>
  </si>
  <si>
    <t>AHITOUR Younes</t>
  </si>
  <si>
    <t>EL MOADDAM Amjad</t>
  </si>
  <si>
    <t>HAMMAMI Hedi</t>
  </si>
  <si>
    <t>SEFDAR Adam</t>
  </si>
  <si>
    <t>LEBORGNE Ayden</t>
  </si>
  <si>
    <t>DIVIEN Nathanaël</t>
  </si>
  <si>
    <t>CLAVEYROLAS Leeroy</t>
  </si>
  <si>
    <t>BOJOVIC Filip</t>
  </si>
  <si>
    <t>TALLAPRAGADE Riaan</t>
  </si>
  <si>
    <t>PEREIRA LELIEVRE Nino</t>
  </si>
  <si>
    <t>ALIAHMAD Karl</t>
  </si>
  <si>
    <t>CASENAVE Gabriel</t>
  </si>
  <si>
    <t>PARASCANDOLO Leonardo</t>
  </si>
  <si>
    <t>OUTASGA Adam</t>
  </si>
  <si>
    <t>LEMAITRE FOLIOT Corentin</t>
  </si>
  <si>
    <t>SYLLA Rachid</t>
  </si>
  <si>
    <t>YERANOSYAN Léo</t>
  </si>
  <si>
    <t>HAY Louka</t>
  </si>
  <si>
    <t>DUBOIS LAMBERTINI Gaspard</t>
  </si>
  <si>
    <t>GARCIA Sara</t>
  </si>
  <si>
    <t>D'HONT LECOMTE Yannik</t>
  </si>
  <si>
    <t>ROUSEVELT Louis</t>
  </si>
  <si>
    <t>LANDES David</t>
  </si>
  <si>
    <t>A</t>
  </si>
  <si>
    <t>LANDES Nathan</t>
  </si>
  <si>
    <t>GILAVERT Arthur</t>
  </si>
  <si>
    <t>UMAIR Yousaf</t>
  </si>
  <si>
    <t xml:space="preserve">LAGSSAIR Zakaria </t>
  </si>
  <si>
    <t>FERNANDES DOS REIS Luan</t>
  </si>
  <si>
    <t>DABBAJI Ayoub</t>
  </si>
  <si>
    <t>MIVEKANNIN Hugo</t>
  </si>
  <si>
    <t>GUERLAIS Clément</t>
  </si>
  <si>
    <t>Emilio 14h (changement créneau ?)</t>
  </si>
  <si>
    <t>Léo 14h (changement créneau ?)</t>
  </si>
  <si>
    <t>4è groupe</t>
  </si>
  <si>
    <t>DRISSI Ilyan</t>
  </si>
  <si>
    <t>SAMEDI 11H15</t>
  </si>
  <si>
    <t>DOYHARCABAL Andoni</t>
  </si>
  <si>
    <t>HAMZA Yanis</t>
  </si>
  <si>
    <t>AFCHARD MONTAIGNE Victor</t>
  </si>
  <si>
    <t>DZIEDZIC Théo</t>
  </si>
  <si>
    <t>CAMY Simon</t>
  </si>
  <si>
    <t>RENJITH Ritwik</t>
  </si>
  <si>
    <t>CALSAT Abel</t>
  </si>
  <si>
    <t>AHMED Khalil</t>
  </si>
  <si>
    <t>MECALIFF BERTRAND Martin</t>
  </si>
  <si>
    <t>RAMANANTSOA Nolan</t>
  </si>
  <si>
    <t>BLANCO Rayane</t>
  </si>
  <si>
    <t>CASTEL Emile</t>
  </si>
  <si>
    <t>LEPREUX Louis</t>
  </si>
  <si>
    <t>FAGOO DOREMUS Nolan</t>
  </si>
  <si>
    <t>ALBERT Kenan</t>
  </si>
  <si>
    <t>GRANFILS Stanislas</t>
  </si>
  <si>
    <t>BERTHELOT Adel</t>
  </si>
  <si>
    <t>BREHAULT Camille</t>
  </si>
  <si>
    <t>DELCROIX Raphaël</t>
  </si>
  <si>
    <t>VACHON LAFFORGUE Matthieu</t>
  </si>
  <si>
    <t>MAXENCE</t>
  </si>
  <si>
    <t>ROBERT Rayan</t>
  </si>
  <si>
    <t>VAINQUEUR PERITA Jayden</t>
  </si>
  <si>
    <t>CEDON Gabriel</t>
  </si>
  <si>
    <t>BIABIANY Soan</t>
  </si>
  <si>
    <t>XILLO Luca</t>
  </si>
  <si>
    <t>MAMRO Gustavo</t>
  </si>
  <si>
    <t>SABATTIER Théo</t>
  </si>
  <si>
    <t>CATIER Antoine</t>
  </si>
  <si>
    <t>BEDES Hugo</t>
  </si>
  <si>
    <t>PASTOR Paul Auguste</t>
  </si>
  <si>
    <t>ROSSEL Elvis</t>
  </si>
  <si>
    <t>MCCOMB LEGER Marley</t>
  </si>
  <si>
    <t>SAMEDI 14H00</t>
  </si>
  <si>
    <t>NOUNEMA Nassim haroun</t>
  </si>
  <si>
    <t>ZIANI Wael</t>
  </si>
  <si>
    <t>ALKALMA OUAHI Karam</t>
  </si>
  <si>
    <t>SOULA DROUET Léo (changement ?)</t>
  </si>
  <si>
    <t>ROQUES Gaspard</t>
  </si>
  <si>
    <t>ABID Zayn</t>
  </si>
  <si>
    <t>BOUTEFFAH Abdelkader</t>
  </si>
  <si>
    <t>GONZALEZ Guilhem Pau</t>
  </si>
  <si>
    <t>HAMADI Teym</t>
  </si>
  <si>
    <t>CHEMOUN Livio</t>
  </si>
  <si>
    <t>BENZITOUNI Kamil</t>
  </si>
  <si>
    <t>FEUILLERAT Nael</t>
  </si>
  <si>
    <t>BARRY Oumar Sinden</t>
  </si>
  <si>
    <t>KABOU Léon-Louis</t>
  </si>
  <si>
    <t>DEVJE Nesta</t>
  </si>
  <si>
    <t>BEN NACEUR Nael</t>
  </si>
  <si>
    <t>KAID Omar</t>
  </si>
  <si>
    <t>NDECKY Namaar</t>
  </si>
  <si>
    <t>AGUERSSIF Celyan</t>
  </si>
  <si>
    <t>ROSSI LE CAMUS Camille</t>
  </si>
  <si>
    <t>GONZALEZ Emilio (changement ?)</t>
  </si>
  <si>
    <t>MULLER Noham</t>
  </si>
  <si>
    <t>DJOUAD Adam</t>
  </si>
  <si>
    <t>SABIR Ilyâs</t>
  </si>
  <si>
    <t>MUHAMMAD Johan</t>
  </si>
  <si>
    <t>SAMEDI 15H45</t>
  </si>
  <si>
    <t>FOUTY Samuel</t>
  </si>
  <si>
    <t>RAOUX Mélan</t>
  </si>
  <si>
    <t>RODRIGUEZ Juan</t>
  </si>
  <si>
    <t>BOUTEFFAH Benaouda</t>
  </si>
  <si>
    <t>AYENOUE Ezéchiel</t>
  </si>
  <si>
    <t>LAGIER Joshua</t>
  </si>
  <si>
    <t>EDALLAL Rayan</t>
  </si>
  <si>
    <t>AYENOUE Denis-Alexandre</t>
  </si>
  <si>
    <t>LEFEBVRE Alban</t>
  </si>
  <si>
    <t>BENDEBICHE Zayd</t>
  </si>
  <si>
    <t>TAHI Ilyas</t>
  </si>
  <si>
    <t>ZEMRANI Zakaria</t>
  </si>
  <si>
    <t>COSTE Hélio</t>
  </si>
  <si>
    <t>LUNDI</t>
  </si>
  <si>
    <t>EDF 17h30</t>
  </si>
  <si>
    <t>TOTAL G1 - NICO</t>
  </si>
  <si>
    <t>MARDI</t>
  </si>
  <si>
    <t>TOTAL G1 - REMI</t>
  </si>
  <si>
    <t>TOTAL G2 - LOÏC</t>
  </si>
  <si>
    <t>MERCREDI</t>
  </si>
  <si>
    <t>EDF 14h30</t>
  </si>
  <si>
    <t>TOTAL G1 - FLO</t>
  </si>
  <si>
    <t xml:space="preserve">TOTAL G3 - </t>
  </si>
  <si>
    <t>EDF 15h45</t>
  </si>
  <si>
    <t>TOTAL G3 - NICO</t>
  </si>
  <si>
    <t>BABY 14h30</t>
  </si>
  <si>
    <t>BABY 17h30</t>
  </si>
  <si>
    <t>TOTAL G1 - LOÏC</t>
  </si>
  <si>
    <t>VENDREDI</t>
  </si>
  <si>
    <t>SAMEDI</t>
  </si>
  <si>
    <t>EDF 09h30</t>
  </si>
  <si>
    <t>TOTAL G1 - THEO</t>
  </si>
  <si>
    <t>TOTAL G2 - KEVIN</t>
  </si>
  <si>
    <t>TOTAL G3 - YOHAN</t>
  </si>
  <si>
    <t>EDF 11h15</t>
  </si>
  <si>
    <t>TOTAL G1 - KEVIN</t>
  </si>
  <si>
    <t>TOTAL G2 - THEO</t>
  </si>
  <si>
    <t>EDF 14h00</t>
  </si>
  <si>
    <t>TOTAL G2 - YOHAN</t>
  </si>
  <si>
    <t>1 SD - Edouard DIAZ U6</t>
  </si>
  <si>
    <t>BABY 10h00</t>
  </si>
  <si>
    <t>BABY 11h15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</si>
</sst>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;@"/>
    <numFmt numFmtId="165" formatCode="dd/mm/yy;@"/>
  </numFmts>
  <fonts count="3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theme="1"/>
      <name val="PSG"/>
      <family val="3"/>
    </font>
    <font>
      <b/>
      <sz val="16"/>
      <color rgb="FF002060"/>
      <name val="PSG"/>
      <family val="3"/>
    </font>
    <font>
      <sz val="11"/>
      <color rgb="FFC00000"/>
      <name val="PSG"/>
      <family val="3"/>
    </font>
    <font>
      <b/>
      <sz val="11"/>
      <name val="Calibri"/>
      <family val="2"/>
      <scheme val="minor"/>
    </font>
    <font>
      <b/>
      <sz val="14"/>
      <color rgb="FFC00000"/>
      <name val="PSG"/>
      <family val="3"/>
    </font>
    <font>
      <b/>
      <sz val="10"/>
      <color theme="1"/>
      <name val="PSG Light"/>
      <family val="3"/>
    </font>
    <font>
      <b/>
      <sz val="10"/>
      <color rgb="FF000000"/>
      <name val="PSG"/>
      <family val="3"/>
    </font>
    <font>
      <b/>
      <sz val="10"/>
      <color theme="1"/>
      <name val="PSG"/>
      <family val="3"/>
    </font>
    <font>
      <b/>
      <sz val="10"/>
      <color rgb="FF000000"/>
      <name val="PSG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PSG"/>
      <family val="3"/>
    </font>
    <font>
      <b/>
      <sz val="8"/>
      <color rgb="FF002060"/>
      <name val="PSG"/>
      <family val="3"/>
    </font>
    <font>
      <sz val="8"/>
      <color theme="1"/>
      <name val="PSG"/>
      <family val="3"/>
    </font>
    <font>
      <sz val="8"/>
      <color theme="1"/>
      <name val="Calibri"/>
      <family val="2"/>
      <scheme val="minor"/>
    </font>
    <font>
      <sz val="8"/>
      <color rgb="FFC00000"/>
      <name val="PSG"/>
      <family val="3"/>
    </font>
    <font>
      <sz val="11"/>
      <color theme="0"/>
      <name val="PSG"/>
      <family val="3"/>
    </font>
    <font>
      <b/>
      <sz val="10"/>
      <color theme="1"/>
      <name val="PSG"/>
    </font>
    <font>
      <b/>
      <sz val="11"/>
      <color rgb="FF000000"/>
      <name val="Calibri"/>
      <family val="2"/>
      <scheme val="minor"/>
    </font>
    <font>
      <sz val="11"/>
      <color rgb="FF000000"/>
      <name val="PSG"/>
      <family val="3"/>
    </font>
    <font>
      <sz val="11"/>
      <color rgb="FF000000"/>
      <name val="Calibri"/>
      <family val="2"/>
      <scheme val="minor"/>
    </font>
    <font>
      <b/>
      <sz val="11"/>
      <color theme="0"/>
      <name val="PSG"/>
      <family val="3"/>
    </font>
    <font>
      <b/>
      <i/>
      <sz val="11"/>
      <color theme="0"/>
      <name val="Calibri"/>
      <family val="2"/>
      <scheme val="minor"/>
    </font>
    <font>
      <b/>
      <sz val="48"/>
      <color theme="1"/>
      <name val="Calibri"/>
      <scheme val="minor"/>
    </font>
    <font>
      <sz val="11"/>
      <color rgb="FFC00000"/>
      <name val="Calibri"/>
      <scheme val="minor"/>
    </font>
    <font>
      <b/>
      <sz val="10"/>
      <color theme="0"/>
      <name val="Calibri"/>
      <scheme val="minor"/>
    </font>
    <font>
      <b/>
      <sz val="10"/>
      <color rgb="FF000000"/>
      <name val="Calibri"/>
      <scheme val="minor"/>
    </font>
    <font>
      <b/>
      <sz val="10"/>
      <color theme="1"/>
      <name val="Calibri"/>
      <scheme val="minor"/>
    </font>
    <font>
      <b/>
      <sz val="14"/>
      <color theme="0"/>
      <name val="Calibri"/>
      <scheme val="minor"/>
    </font>
    <font>
      <b/>
      <sz val="14"/>
      <color rgb="FFC00000"/>
      <name val="Calibri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PSG Light"/>
      <family val="3"/>
    </font>
    <font>
      <b/>
      <sz val="8"/>
      <color rgb="FF000000"/>
      <name val="PSG"/>
      <family val="3"/>
    </font>
    <font>
      <b/>
      <sz val="11"/>
      <color theme="0"/>
      <name val="Calibri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5A9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Border="0"/>
    <xf numFmtId="0" fontId="2" fillId="0" borderId="0" applyBorder="0"/>
  </cellStyleXfs>
  <cellXfs count="124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 textRotation="90"/>
    </xf>
    <xf numFmtId="0" fontId="8" fillId="0" borderId="0" xfId="0" applyFont="1"/>
    <xf numFmtId="0" fontId="7" fillId="0" borderId="0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17" fillId="0" borderId="0" xfId="0" applyFont="1"/>
    <xf numFmtId="0" fontId="14" fillId="0" borderId="0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0" xfId="0" applyFill="1"/>
    <xf numFmtId="0" fontId="21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3" fillId="9" borderId="0" xfId="0" applyFont="1" applyFill="1"/>
    <xf numFmtId="0" fontId="13" fillId="10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27" fillId="0" borderId="0" xfId="0" applyFont="1" applyAlignment="1">
      <alignment horizontal="center" vertical="center" textRotation="90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7" fillId="0" borderId="0" xfId="0" applyFont="1"/>
    <xf numFmtId="0" fontId="30" fillId="3" borderId="4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2" fillId="0" borderId="0" xfId="2" applyFont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30" fillId="13" borderId="4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36" fillId="9" borderId="0" xfId="2" applyFont="1" applyFill="1" applyBorder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9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  <xf numFmtId="0" fontId="37" fillId="14" borderId="10" xfId="0" applyFont="1" applyFill="1" applyBorder="1" applyAlignment="1">
      <alignment horizontal="center" vertical="center"/>
    </xf>
    <xf numFmtId="0" fontId="37" fillId="14" borderId="4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 textRotation="90"/>
    </xf>
    <xf numFmtId="0" fontId="24" fillId="4" borderId="1" xfId="0" applyFont="1" applyFill="1" applyBorder="1" applyAlignment="1">
      <alignment horizontal="center" vertical="center" textRotation="90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 textRotation="45"/>
    </xf>
    <xf numFmtId="165" fontId="15" fillId="0" borderId="5" xfId="0" applyNumberFormat="1" applyFont="1" applyBorder="1" applyAlignment="1">
      <alignment horizontal="center" vertical="center" textRotation="45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37" fillId="14" borderId="8" xfId="0" applyFont="1" applyFill="1" applyBorder="1" applyAlignment="1">
      <alignment horizontal="center" vertical="center"/>
    </xf>
    <xf numFmtId="0" fontId="37" fillId="14" borderId="10" xfId="0" applyFont="1" applyFill="1" applyBorder="1" applyAlignment="1">
      <alignment horizontal="center" vertical="center"/>
    </xf>
    <xf numFmtId="0" fontId="37" fillId="14" borderId="4" xfId="0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 textRotation="45"/>
    </xf>
    <xf numFmtId="164" fontId="15" fillId="0" borderId="5" xfId="0" applyNumberFormat="1" applyFont="1" applyBorder="1" applyAlignment="1">
      <alignment horizontal="center" vertical="center" textRotation="45"/>
    </xf>
    <xf numFmtId="0" fontId="31" fillId="4" borderId="8" xfId="2" applyFont="1" applyFill="1" applyBorder="1" applyAlignment="1">
      <alignment horizontal="center" vertical="center"/>
    </xf>
    <xf numFmtId="0" fontId="31" fillId="4" borderId="10" xfId="2" applyFont="1" applyFill="1" applyBorder="1" applyAlignment="1">
      <alignment horizontal="center" vertical="center"/>
    </xf>
    <xf numFmtId="0" fontId="31" fillId="4" borderId="4" xfId="2" applyFont="1" applyFill="1" applyBorder="1" applyAlignment="1">
      <alignment horizontal="center" vertical="center"/>
    </xf>
    <xf numFmtId="0" fontId="26" fillId="3" borderId="0" xfId="2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 textRotation="90"/>
    </xf>
    <xf numFmtId="0" fontId="28" fillId="12" borderId="8" xfId="0" applyFont="1" applyFill="1" applyBorder="1" applyAlignment="1">
      <alignment horizontal="center" vertical="center"/>
    </xf>
    <xf numFmtId="0" fontId="28" fillId="12" borderId="10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textRotation="90"/>
    </xf>
    <xf numFmtId="0" fontId="28" fillId="12" borderId="1" xfId="0" applyFont="1" applyFill="1" applyBorder="1" applyAlignment="1">
      <alignment horizontal="center" vertical="center"/>
    </xf>
    <xf numFmtId="0" fontId="31" fillId="4" borderId="1" xfId="2" applyFont="1" applyFill="1" applyBorder="1" applyAlignment="1">
      <alignment horizontal="center" vertical="center"/>
    </xf>
    <xf numFmtId="0" fontId="1" fillId="0" borderId="0" xfId="0" applyFont="1"/>
    <xf numFmtId="0" fontId="1" fillId="6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Normal" xfId="0" builtinId="0"/>
    <cellStyle name="Normal 2" xfId="2" xr:uid="{5F156B6F-9D08-40BF-A752-57578E469A18}"/>
    <cellStyle name="Normal 3" xfId="1" xr:uid="{51F61C70-60C5-4608-8C18-7F3142DCF87C}"/>
  </cellStyles>
  <dxfs count="0"/>
  <tableStyles count="0" defaultTableStyle="TableStyleMedium2" defaultPivotStyle="PivotStyleLight16"/>
  <colors>
    <mruColors>
      <color rgb="FFF5A9CE"/>
      <color rgb="FFF084B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F54F-61DD-4802-A36F-008CE154C61E}">
  <sheetPr>
    <tabColor rgb="FFF084B8"/>
    <pageSetUpPr fitToPage="1"/>
  </sheetPr>
  <dimension ref="A1:AU62"/>
  <sheetViews>
    <sheetView workbookViewId="0">
      <selection activeCell="AG28" sqref="AG28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26" bestFit="1" customWidth="1"/>
    <col min="4" max="4" width="6.42578125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7" ht="14.45" customHeight="1">
      <c r="C1" s="101" t="s">
        <v>0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7" ht="21" customHeight="1">
      <c r="A4" s="3"/>
      <c r="B4" s="3"/>
      <c r="C4" s="32" t="s">
        <v>1</v>
      </c>
      <c r="D4" s="5"/>
      <c r="E4" s="99">
        <v>45910</v>
      </c>
      <c r="F4" s="99">
        <f>E4+7</f>
        <v>45917</v>
      </c>
      <c r="G4" s="99">
        <f t="shared" ref="G4:AP4" si="0">F4+7</f>
        <v>45924</v>
      </c>
      <c r="H4" s="99">
        <f t="shared" si="0"/>
        <v>45931</v>
      </c>
      <c r="I4" s="99">
        <f t="shared" si="0"/>
        <v>45938</v>
      </c>
      <c r="J4" s="99">
        <f t="shared" si="0"/>
        <v>45945</v>
      </c>
      <c r="K4" s="99">
        <f t="shared" si="0"/>
        <v>45952</v>
      </c>
      <c r="L4" s="99">
        <f t="shared" si="0"/>
        <v>45959</v>
      </c>
      <c r="M4" s="99">
        <f t="shared" si="0"/>
        <v>45966</v>
      </c>
      <c r="N4" s="99">
        <f t="shared" si="0"/>
        <v>45973</v>
      </c>
      <c r="O4" s="99">
        <f t="shared" si="0"/>
        <v>45980</v>
      </c>
      <c r="P4" s="99">
        <f t="shared" si="0"/>
        <v>45987</v>
      </c>
      <c r="Q4" s="99">
        <f t="shared" si="0"/>
        <v>45994</v>
      </c>
      <c r="R4" s="99">
        <f t="shared" si="0"/>
        <v>46001</v>
      </c>
      <c r="S4" s="99">
        <f t="shared" si="0"/>
        <v>46008</v>
      </c>
      <c r="T4" s="99">
        <f t="shared" si="0"/>
        <v>46015</v>
      </c>
      <c r="U4" s="99">
        <f t="shared" si="0"/>
        <v>46022</v>
      </c>
      <c r="V4" s="99">
        <f t="shared" si="0"/>
        <v>46029</v>
      </c>
      <c r="W4" s="99">
        <f t="shared" si="0"/>
        <v>46036</v>
      </c>
      <c r="X4" s="99">
        <f t="shared" si="0"/>
        <v>46043</v>
      </c>
      <c r="Y4" s="99">
        <f t="shared" si="0"/>
        <v>46050</v>
      </c>
      <c r="Z4" s="99">
        <f t="shared" si="0"/>
        <v>46057</v>
      </c>
      <c r="AA4" s="99">
        <f t="shared" si="0"/>
        <v>46064</v>
      </c>
      <c r="AB4" s="99">
        <f t="shared" si="0"/>
        <v>46071</v>
      </c>
      <c r="AC4" s="99">
        <f t="shared" si="0"/>
        <v>46078</v>
      </c>
      <c r="AD4" s="99">
        <f t="shared" si="0"/>
        <v>46085</v>
      </c>
      <c r="AE4" s="99">
        <f t="shared" si="0"/>
        <v>46092</v>
      </c>
      <c r="AF4" s="99">
        <f t="shared" si="0"/>
        <v>46099</v>
      </c>
      <c r="AG4" s="99">
        <f t="shared" si="0"/>
        <v>46106</v>
      </c>
      <c r="AH4" s="99">
        <f t="shared" si="0"/>
        <v>46113</v>
      </c>
      <c r="AI4" s="99">
        <f t="shared" si="0"/>
        <v>46120</v>
      </c>
      <c r="AJ4" s="99">
        <f t="shared" si="0"/>
        <v>46127</v>
      </c>
      <c r="AK4" s="99">
        <f t="shared" si="0"/>
        <v>46134</v>
      </c>
      <c r="AL4" s="99">
        <f t="shared" si="0"/>
        <v>46141</v>
      </c>
      <c r="AM4" s="99">
        <f t="shared" si="0"/>
        <v>46148</v>
      </c>
      <c r="AN4" s="99">
        <f t="shared" si="0"/>
        <v>46155</v>
      </c>
      <c r="AO4" s="99">
        <f t="shared" si="0"/>
        <v>46162</v>
      </c>
      <c r="AP4" s="99">
        <f t="shared" si="0"/>
        <v>46169</v>
      </c>
      <c r="AQ4" s="99">
        <f t="shared" ref="AQ4:AT4" si="1">AP4+7</f>
        <v>46176</v>
      </c>
      <c r="AR4" s="99">
        <f t="shared" si="1"/>
        <v>46183</v>
      </c>
      <c r="AS4" s="99">
        <f t="shared" si="1"/>
        <v>46190</v>
      </c>
      <c r="AT4" s="99">
        <f t="shared" si="1"/>
        <v>46197</v>
      </c>
    </row>
    <row r="5" spans="1:47" ht="21" customHeight="1">
      <c r="A5" s="3"/>
      <c r="B5" s="3"/>
      <c r="C5" s="67" t="s">
        <v>2</v>
      </c>
      <c r="D5" s="70">
        <f>C62+'LUNDI 17H30 Présence'!C45+'MARDI 17H30 Présence'!C45+'MERCREDI 14h Présence'!C65+'MERCREDI 15h45 Présence '!C65+'VENDREDI 17h30 Présence'!C65+'SAMEDI 9h30 Présence'!C85+'SAMEDI 11h15 Présence'!C85+'SAMEDI 14h00 Présence'!C45+'SAMEDI 15h45 Présence'!C45</f>
        <v>321</v>
      </c>
      <c r="E5" s="100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>
      <c r="A6" s="94" t="s">
        <v>3</v>
      </c>
      <c r="B6" s="95" t="s">
        <v>3</v>
      </c>
      <c r="C6" s="96"/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</row>
    <row r="7" spans="1:47" ht="15" customHeight="1">
      <c r="A7" s="94"/>
      <c r="B7" s="34">
        <v>1</v>
      </c>
      <c r="C7" s="54" t="s">
        <v>39</v>
      </c>
      <c r="D7" s="54" t="s">
        <v>40</v>
      </c>
      <c r="E7" s="50">
        <v>1</v>
      </c>
      <c r="F7" s="50">
        <v>0</v>
      </c>
      <c r="G7" s="47">
        <v>1</v>
      </c>
      <c r="H7" s="47">
        <v>1</v>
      </c>
      <c r="I7" s="47">
        <v>1</v>
      </c>
      <c r="J7" s="47">
        <v>1</v>
      </c>
      <c r="K7" s="49"/>
      <c r="L7" s="49"/>
      <c r="M7" s="47">
        <v>1</v>
      </c>
      <c r="N7" s="47">
        <v>1</v>
      </c>
      <c r="O7" s="47">
        <v>1</v>
      </c>
      <c r="P7" s="47">
        <v>1</v>
      </c>
      <c r="Q7" s="47">
        <v>1</v>
      </c>
      <c r="R7" s="47">
        <v>1</v>
      </c>
      <c r="S7" s="47">
        <v>1</v>
      </c>
      <c r="T7" s="49"/>
      <c r="U7" s="49"/>
      <c r="V7" s="47">
        <v>0</v>
      </c>
      <c r="W7" s="47">
        <v>1</v>
      </c>
      <c r="X7" s="47">
        <v>0</v>
      </c>
      <c r="Y7" s="47">
        <v>0</v>
      </c>
      <c r="Z7" s="47">
        <v>1</v>
      </c>
      <c r="AA7" s="47">
        <v>1</v>
      </c>
      <c r="AB7" s="47">
        <v>1</v>
      </c>
      <c r="AC7" s="49"/>
      <c r="AD7" s="49">
        <v>1</v>
      </c>
      <c r="AE7" s="47">
        <v>1</v>
      </c>
      <c r="AF7" s="47">
        <v>1</v>
      </c>
      <c r="AG7" s="47">
        <v>0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>SUM(E7:AT7)</f>
        <v>19</v>
      </c>
    </row>
    <row r="8" spans="1:47" ht="15" customHeight="1">
      <c r="A8" s="94"/>
      <c r="B8" s="34">
        <v>2</v>
      </c>
      <c r="C8" s="54" t="s">
        <v>41</v>
      </c>
      <c r="D8" s="54" t="s">
        <v>40</v>
      </c>
      <c r="E8" s="50">
        <v>1</v>
      </c>
      <c r="F8" s="50">
        <v>1</v>
      </c>
      <c r="G8" s="50">
        <v>1</v>
      </c>
      <c r="H8" s="50">
        <v>1</v>
      </c>
      <c r="I8" s="50">
        <v>0</v>
      </c>
      <c r="J8" s="50">
        <v>1</v>
      </c>
      <c r="K8" s="52"/>
      <c r="L8" s="52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0</v>
      </c>
      <c r="S8" s="50">
        <v>1</v>
      </c>
      <c r="T8" s="52"/>
      <c r="U8" s="52"/>
      <c r="V8" s="50">
        <v>1</v>
      </c>
      <c r="W8" s="50">
        <v>1</v>
      </c>
      <c r="X8" s="50">
        <v>1</v>
      </c>
      <c r="Y8" s="50">
        <v>1</v>
      </c>
      <c r="Z8" s="50">
        <v>0</v>
      </c>
      <c r="AA8" s="50">
        <v>1</v>
      </c>
      <c r="AB8" s="50">
        <v>1</v>
      </c>
      <c r="AC8" s="52"/>
      <c r="AD8" s="52">
        <v>0</v>
      </c>
      <c r="AE8" s="50">
        <v>1</v>
      </c>
      <c r="AF8" s="50">
        <v>1</v>
      </c>
      <c r="AG8" s="50">
        <v>1</v>
      </c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>SUM(E8:AT8)</f>
        <v>20</v>
      </c>
    </row>
    <row r="9" spans="1:47" ht="15" customHeight="1">
      <c r="A9" s="94"/>
      <c r="B9" s="34">
        <v>3</v>
      </c>
      <c r="C9" s="54" t="s">
        <v>42</v>
      </c>
      <c r="D9" s="54" t="s">
        <v>40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50">
        <v>1</v>
      </c>
      <c r="K9" s="52"/>
      <c r="L9" s="52"/>
      <c r="M9" s="50">
        <v>1</v>
      </c>
      <c r="N9" s="50">
        <v>1</v>
      </c>
      <c r="O9" s="50">
        <v>0</v>
      </c>
      <c r="P9" s="50">
        <v>1</v>
      </c>
      <c r="Q9" s="50">
        <v>1</v>
      </c>
      <c r="R9" s="50">
        <v>1</v>
      </c>
      <c r="S9" s="50">
        <v>0</v>
      </c>
      <c r="T9" s="52"/>
      <c r="U9" s="52"/>
      <c r="V9" s="50">
        <v>1</v>
      </c>
      <c r="W9" s="50">
        <v>0</v>
      </c>
      <c r="X9" s="50">
        <v>0</v>
      </c>
      <c r="Y9" s="50">
        <v>1</v>
      </c>
      <c r="Z9" s="50">
        <v>1</v>
      </c>
      <c r="AA9" s="50">
        <v>1</v>
      </c>
      <c r="AB9" s="50">
        <v>1</v>
      </c>
      <c r="AC9" s="52"/>
      <c r="AD9" s="52">
        <v>1</v>
      </c>
      <c r="AE9" s="50">
        <v>1</v>
      </c>
      <c r="AF9" s="50">
        <v>1</v>
      </c>
      <c r="AG9" s="50">
        <v>1</v>
      </c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>SUM(E9:AT9)</f>
        <v>20</v>
      </c>
    </row>
    <row r="10" spans="1:47" ht="15" customHeight="1">
      <c r="A10" s="94"/>
      <c r="B10" s="34">
        <v>4</v>
      </c>
      <c r="C10" s="54" t="s">
        <v>43</v>
      </c>
      <c r="D10" s="54" t="s">
        <v>40</v>
      </c>
      <c r="E10" s="50">
        <v>0</v>
      </c>
      <c r="F10" s="50">
        <v>1</v>
      </c>
      <c r="G10" s="50">
        <v>1</v>
      </c>
      <c r="H10" s="50">
        <v>1</v>
      </c>
      <c r="I10" s="50">
        <v>1</v>
      </c>
      <c r="J10" s="50">
        <v>1</v>
      </c>
      <c r="K10" s="52"/>
      <c r="L10" s="52"/>
      <c r="M10" s="50">
        <v>1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2"/>
      <c r="U10" s="52"/>
      <c r="V10" s="50">
        <v>1</v>
      </c>
      <c r="W10" s="50">
        <v>1</v>
      </c>
      <c r="X10" s="50">
        <v>1</v>
      </c>
      <c r="Y10" s="50">
        <v>1</v>
      </c>
      <c r="Z10" s="50">
        <v>1</v>
      </c>
      <c r="AA10" s="50">
        <v>1</v>
      </c>
      <c r="AB10" s="50">
        <v>1</v>
      </c>
      <c r="AC10" s="52"/>
      <c r="AD10" s="52">
        <v>0</v>
      </c>
      <c r="AE10" s="50">
        <v>1</v>
      </c>
      <c r="AF10" s="50">
        <v>1</v>
      </c>
      <c r="AG10" s="50">
        <v>1</v>
      </c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>SUM(E10:AT10)</f>
        <v>22</v>
      </c>
    </row>
    <row r="11" spans="1:47" ht="15" customHeight="1">
      <c r="A11" s="94"/>
      <c r="B11" s="34">
        <v>5</v>
      </c>
      <c r="C11" s="54" t="s">
        <v>44</v>
      </c>
      <c r="D11" s="54" t="s">
        <v>40</v>
      </c>
      <c r="E11" s="50">
        <v>1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2"/>
      <c r="L11" s="52"/>
      <c r="M11" s="50">
        <v>1</v>
      </c>
      <c r="N11" s="50">
        <v>1</v>
      </c>
      <c r="O11" s="50">
        <v>1</v>
      </c>
      <c r="P11" s="50">
        <v>1</v>
      </c>
      <c r="Q11" s="50">
        <v>1</v>
      </c>
      <c r="R11" s="50">
        <v>0</v>
      </c>
      <c r="S11" s="50">
        <v>1</v>
      </c>
      <c r="T11" s="52"/>
      <c r="U11" s="52"/>
      <c r="V11" s="50">
        <v>1</v>
      </c>
      <c r="W11" s="50">
        <v>1</v>
      </c>
      <c r="X11" s="50">
        <v>1</v>
      </c>
      <c r="Y11" s="50">
        <v>1</v>
      </c>
      <c r="Z11" s="50">
        <v>1</v>
      </c>
      <c r="AA11" s="50">
        <v>1</v>
      </c>
      <c r="AB11" s="50">
        <v>1</v>
      </c>
      <c r="AC11" s="52"/>
      <c r="AD11" s="52">
        <v>0</v>
      </c>
      <c r="AE11" s="50">
        <v>1</v>
      </c>
      <c r="AF11" s="50">
        <v>1</v>
      </c>
      <c r="AG11" s="50">
        <v>1</v>
      </c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>SUM(E11:AT11)</f>
        <v>18</v>
      </c>
    </row>
    <row r="12" spans="1:47" ht="15" customHeight="1">
      <c r="A12" s="94"/>
      <c r="B12" s="34">
        <v>6</v>
      </c>
      <c r="C12" s="54" t="s">
        <v>45</v>
      </c>
      <c r="D12" s="54" t="s">
        <v>40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2"/>
      <c r="L12" s="52"/>
      <c r="M12" s="50">
        <v>0</v>
      </c>
      <c r="N12" s="50">
        <v>0</v>
      </c>
      <c r="O12" s="50">
        <v>0</v>
      </c>
      <c r="P12" s="50">
        <v>1</v>
      </c>
      <c r="Q12" s="50">
        <v>1</v>
      </c>
      <c r="R12" s="50">
        <v>1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0</v>
      </c>
      <c r="AC12" s="52"/>
      <c r="AD12" s="52"/>
      <c r="AE12" s="50">
        <v>0</v>
      </c>
      <c r="AF12" s="50">
        <v>0</v>
      </c>
      <c r="AG12" s="50">
        <v>1</v>
      </c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>SUM(E12:AT12)</f>
        <v>11</v>
      </c>
    </row>
    <row r="13" spans="1:47" ht="15" customHeight="1">
      <c r="A13" s="94"/>
      <c r="B13" s="34">
        <v>7</v>
      </c>
      <c r="C13" s="54" t="s">
        <v>46</v>
      </c>
      <c r="D13" s="54" t="s">
        <v>40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2"/>
      <c r="L13" s="52"/>
      <c r="M13" s="50">
        <v>0</v>
      </c>
      <c r="N13" s="50">
        <v>1</v>
      </c>
      <c r="O13" s="50">
        <v>1</v>
      </c>
      <c r="P13" s="50">
        <v>0</v>
      </c>
      <c r="Q13" s="50">
        <v>0</v>
      </c>
      <c r="R13" s="50">
        <v>0</v>
      </c>
      <c r="S13" s="50">
        <v>0</v>
      </c>
      <c r="T13" s="52"/>
      <c r="U13" s="52"/>
      <c r="V13" s="50">
        <v>0</v>
      </c>
      <c r="W13" s="50">
        <v>0</v>
      </c>
      <c r="X13" s="50">
        <v>1</v>
      </c>
      <c r="Y13" s="50">
        <v>0</v>
      </c>
      <c r="Z13" s="50">
        <v>0</v>
      </c>
      <c r="AA13" s="50">
        <v>0</v>
      </c>
      <c r="AB13" s="50">
        <v>0</v>
      </c>
      <c r="AC13" s="52"/>
      <c r="AD13" s="52"/>
      <c r="AE13" s="50">
        <v>0</v>
      </c>
      <c r="AF13" s="50">
        <v>0</v>
      </c>
      <c r="AG13" s="50">
        <v>0</v>
      </c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>SUM(E13:AT13)</f>
        <v>3</v>
      </c>
    </row>
    <row r="14" spans="1:47" ht="15" customHeight="1">
      <c r="A14" s="94"/>
      <c r="B14" s="34">
        <v>8</v>
      </c>
      <c r="C14" s="54" t="s">
        <v>47</v>
      </c>
      <c r="D14" s="54" t="s">
        <v>40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2"/>
      <c r="L14" s="52"/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2"/>
      <c r="U14" s="52"/>
      <c r="V14" s="50">
        <v>0</v>
      </c>
      <c r="W14" s="50">
        <v>0</v>
      </c>
      <c r="X14" s="50">
        <v>0</v>
      </c>
      <c r="Y14" s="50">
        <v>1</v>
      </c>
      <c r="Z14" s="50">
        <v>1</v>
      </c>
      <c r="AA14" s="50">
        <v>1</v>
      </c>
      <c r="AB14" s="50">
        <v>1</v>
      </c>
      <c r="AC14" s="52"/>
      <c r="AD14" s="52"/>
      <c r="AE14" s="50">
        <v>1</v>
      </c>
      <c r="AF14" s="50">
        <v>1</v>
      </c>
      <c r="AG14" s="50">
        <v>1</v>
      </c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>SUM(E14:AT14)</f>
        <v>7</v>
      </c>
    </row>
    <row r="15" spans="1:47">
      <c r="A15" s="94"/>
      <c r="B15" s="35">
        <v>9</v>
      </c>
      <c r="C15" s="55"/>
      <c r="D15" s="55"/>
      <c r="E15" s="56"/>
      <c r="F15" s="56"/>
      <c r="G15" s="56"/>
      <c r="H15" s="56"/>
      <c r="I15" s="56"/>
      <c r="J15" s="56"/>
      <c r="K15" s="52"/>
      <c r="L15" s="52"/>
      <c r="M15" s="56"/>
      <c r="N15" s="56"/>
      <c r="O15" s="56"/>
      <c r="P15" s="56"/>
      <c r="Q15" s="56"/>
      <c r="R15" s="57"/>
      <c r="S15" s="57"/>
      <c r="T15" s="52"/>
      <c r="U15" s="52"/>
      <c r="V15" s="56"/>
      <c r="W15" s="56"/>
      <c r="X15" s="56"/>
      <c r="Y15" s="56"/>
      <c r="Z15" s="56"/>
      <c r="AA15" s="56"/>
      <c r="AB15" s="56"/>
      <c r="AC15" s="52"/>
      <c r="AD15" s="52"/>
      <c r="AE15" s="56"/>
      <c r="AF15" s="56"/>
      <c r="AG15" s="56"/>
      <c r="AH15" s="56"/>
      <c r="AI15" s="56"/>
      <c r="AJ15" s="56"/>
      <c r="AK15" s="52"/>
      <c r="AL15" s="52"/>
      <c r="AM15" s="56"/>
      <c r="AN15" s="57"/>
      <c r="AO15" s="57"/>
      <c r="AP15" s="57"/>
      <c r="AQ15" s="57"/>
      <c r="AR15" s="57"/>
      <c r="AS15" s="57"/>
      <c r="AT15" s="57"/>
      <c r="AU15" s="1">
        <f>SUM(E15:AT15)</f>
        <v>0</v>
      </c>
    </row>
    <row r="16" spans="1:47">
      <c r="A16" s="94"/>
      <c r="B16" s="35">
        <v>10</v>
      </c>
      <c r="C16" s="58"/>
      <c r="D16" s="58"/>
      <c r="E16" s="57"/>
      <c r="F16" s="57"/>
      <c r="G16" s="57"/>
      <c r="H16" s="57"/>
      <c r="I16" s="57"/>
      <c r="J16" s="57"/>
      <c r="K16" s="52"/>
      <c r="L16" s="52"/>
      <c r="M16" s="57"/>
      <c r="N16" s="57"/>
      <c r="O16" s="57"/>
      <c r="P16" s="57"/>
      <c r="Q16" s="57"/>
      <c r="R16" s="57"/>
      <c r="S16" s="57"/>
      <c r="T16" s="52"/>
      <c r="U16" s="52"/>
      <c r="V16" s="57"/>
      <c r="W16" s="57"/>
      <c r="X16" s="57"/>
      <c r="Y16" s="57"/>
      <c r="Z16" s="57"/>
      <c r="AA16" s="57"/>
      <c r="AB16" s="57"/>
      <c r="AC16" s="52"/>
      <c r="AD16" s="52"/>
      <c r="AE16" s="57"/>
      <c r="AF16" s="57"/>
      <c r="AG16" s="57"/>
      <c r="AH16" s="57"/>
      <c r="AI16" s="57"/>
      <c r="AJ16" s="57"/>
      <c r="AK16" s="52"/>
      <c r="AL16" s="52"/>
      <c r="AM16" s="57"/>
      <c r="AN16" s="57"/>
      <c r="AO16" s="57"/>
      <c r="AP16" s="57"/>
      <c r="AQ16" s="57"/>
      <c r="AR16" s="57"/>
      <c r="AS16" s="57"/>
      <c r="AT16" s="57"/>
      <c r="AU16" s="1">
        <f>SUM(E16:AT16)</f>
        <v>0</v>
      </c>
    </row>
    <row r="17" spans="1:47" ht="19.5">
      <c r="A17" s="3"/>
      <c r="B17" s="68">
        <v>8</v>
      </c>
      <c r="C17" s="12" t="s">
        <v>48</v>
      </c>
      <c r="D17" s="7"/>
      <c r="E17" s="8">
        <f>SUM(E7:E16)</f>
        <v>4</v>
      </c>
      <c r="F17" s="8">
        <f t="shared" ref="F17:AG17" si="2">SUM(F7:F16)</f>
        <v>3</v>
      </c>
      <c r="G17" s="8">
        <f t="shared" si="2"/>
        <v>5</v>
      </c>
      <c r="H17" s="8">
        <f t="shared" si="2"/>
        <v>4</v>
      </c>
      <c r="I17" s="8">
        <f t="shared" si="2"/>
        <v>3</v>
      </c>
      <c r="J17" s="8">
        <f t="shared" si="2"/>
        <v>4</v>
      </c>
      <c r="K17" s="8">
        <f t="shared" si="2"/>
        <v>0</v>
      </c>
      <c r="L17" s="8">
        <f t="shared" si="2"/>
        <v>0</v>
      </c>
      <c r="M17" s="8">
        <f t="shared" si="2"/>
        <v>5</v>
      </c>
      <c r="N17" s="8">
        <f t="shared" si="2"/>
        <v>6</v>
      </c>
      <c r="O17" s="8">
        <f t="shared" si="2"/>
        <v>5</v>
      </c>
      <c r="P17" s="8">
        <f t="shared" si="2"/>
        <v>6</v>
      </c>
      <c r="Q17" s="8">
        <f t="shared" si="2"/>
        <v>6</v>
      </c>
      <c r="R17" s="8">
        <f t="shared" si="2"/>
        <v>4</v>
      </c>
      <c r="S17" s="8">
        <f t="shared" si="2"/>
        <v>5</v>
      </c>
      <c r="T17" s="8">
        <f t="shared" si="2"/>
        <v>0</v>
      </c>
      <c r="U17" s="8">
        <f t="shared" si="2"/>
        <v>0</v>
      </c>
      <c r="V17" s="8">
        <f t="shared" si="2"/>
        <v>5</v>
      </c>
      <c r="W17" s="8">
        <f t="shared" si="2"/>
        <v>5</v>
      </c>
      <c r="X17" s="8">
        <f t="shared" si="2"/>
        <v>5</v>
      </c>
      <c r="Y17" s="8">
        <f t="shared" si="2"/>
        <v>6</v>
      </c>
      <c r="Z17" s="8">
        <f t="shared" si="2"/>
        <v>6</v>
      </c>
      <c r="AA17" s="8">
        <f t="shared" si="2"/>
        <v>7</v>
      </c>
      <c r="AB17" s="8">
        <f t="shared" si="2"/>
        <v>6</v>
      </c>
      <c r="AC17" s="8">
        <f t="shared" si="2"/>
        <v>0</v>
      </c>
      <c r="AD17" s="8">
        <f t="shared" si="2"/>
        <v>2</v>
      </c>
      <c r="AE17" s="8">
        <f t="shared" si="2"/>
        <v>6</v>
      </c>
      <c r="AF17" s="8">
        <f t="shared" si="2"/>
        <v>6</v>
      </c>
      <c r="AG17" s="8">
        <f t="shared" si="2"/>
        <v>6</v>
      </c>
      <c r="AH17" s="8">
        <f t="shared" ref="AH17:AP17" si="3">SUM(AH7:AH16)</f>
        <v>0</v>
      </c>
      <c r="AI17" s="8">
        <f t="shared" si="3"/>
        <v>0</v>
      </c>
      <c r="AJ17" s="8">
        <f t="shared" si="3"/>
        <v>0</v>
      </c>
      <c r="AK17" s="8">
        <f t="shared" si="3"/>
        <v>0</v>
      </c>
      <c r="AL17" s="8">
        <f t="shared" si="3"/>
        <v>0</v>
      </c>
      <c r="AM17" s="8">
        <f t="shared" si="3"/>
        <v>0</v>
      </c>
      <c r="AN17" s="8">
        <f t="shared" si="3"/>
        <v>0</v>
      </c>
      <c r="AO17" s="8">
        <f t="shared" si="3"/>
        <v>0</v>
      </c>
      <c r="AP17" s="8">
        <f t="shared" si="3"/>
        <v>0</v>
      </c>
      <c r="AQ17" s="8">
        <f t="shared" ref="AQ17:AT17" si="4">SUM(AQ7:AQ16)</f>
        <v>0</v>
      </c>
      <c r="AR17" s="8">
        <f t="shared" si="4"/>
        <v>0</v>
      </c>
      <c r="AS17" s="8">
        <f t="shared" si="4"/>
        <v>0</v>
      </c>
      <c r="AT17" s="8">
        <f t="shared" si="4"/>
        <v>0</v>
      </c>
    </row>
    <row r="18" spans="1:47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</row>
    <row r="19" spans="1:47" ht="15" customHeight="1">
      <c r="A19" s="94" t="s">
        <v>49</v>
      </c>
      <c r="B19" s="95" t="s">
        <v>49</v>
      </c>
      <c r="C19" s="96"/>
      <c r="E19" s="6" t="s">
        <v>4</v>
      </c>
      <c r="F19" s="15" t="s">
        <v>5</v>
      </c>
      <c r="G19" s="6" t="s">
        <v>6</v>
      </c>
      <c r="H19" s="15" t="s">
        <v>7</v>
      </c>
      <c r="I19" s="6" t="s">
        <v>8</v>
      </c>
      <c r="J19" s="15" t="s">
        <v>9</v>
      </c>
      <c r="K19" s="27" t="s">
        <v>10</v>
      </c>
      <c r="L19" s="27" t="s">
        <v>10</v>
      </c>
      <c r="M19" s="6" t="s">
        <v>11</v>
      </c>
      <c r="N19" s="15" t="s">
        <v>12</v>
      </c>
      <c r="O19" s="6" t="s">
        <v>13</v>
      </c>
      <c r="P19" s="15" t="s">
        <v>14</v>
      </c>
      <c r="Q19" s="6" t="s">
        <v>15</v>
      </c>
      <c r="R19" s="6" t="s">
        <v>16</v>
      </c>
      <c r="S19" s="6" t="s">
        <v>17</v>
      </c>
      <c r="T19" s="27" t="s">
        <v>10</v>
      </c>
      <c r="U19" s="27" t="s">
        <v>10</v>
      </c>
      <c r="V19" s="15" t="s">
        <v>18</v>
      </c>
      <c r="W19" s="6" t="s">
        <v>19</v>
      </c>
      <c r="X19" s="15" t="s">
        <v>20</v>
      </c>
      <c r="Y19" s="6" t="s">
        <v>21</v>
      </c>
      <c r="Z19" s="15" t="s">
        <v>22</v>
      </c>
      <c r="AA19" s="6" t="s">
        <v>23</v>
      </c>
      <c r="AB19" s="15" t="s">
        <v>24</v>
      </c>
      <c r="AC19" s="27" t="s">
        <v>10</v>
      </c>
      <c r="AD19" s="27" t="s">
        <v>10</v>
      </c>
      <c r="AE19" s="6" t="s">
        <v>25</v>
      </c>
      <c r="AF19" s="15" t="s">
        <v>26</v>
      </c>
      <c r="AG19" s="6" t="s">
        <v>27</v>
      </c>
      <c r="AH19" s="6" t="s">
        <v>28</v>
      </c>
      <c r="AI19" s="15" t="s">
        <v>29</v>
      </c>
      <c r="AJ19" s="6" t="s">
        <v>30</v>
      </c>
      <c r="AK19" s="27" t="s">
        <v>10</v>
      </c>
      <c r="AL19" s="27" t="s">
        <v>10</v>
      </c>
      <c r="AM19" s="15" t="s">
        <v>31</v>
      </c>
      <c r="AN19" s="14" t="s">
        <v>32</v>
      </c>
      <c r="AO19" s="15" t="s">
        <v>33</v>
      </c>
      <c r="AP19" s="14" t="s">
        <v>34</v>
      </c>
      <c r="AQ19" s="14" t="s">
        <v>35</v>
      </c>
      <c r="AR19" s="14" t="s">
        <v>36</v>
      </c>
      <c r="AS19" s="14" t="s">
        <v>37</v>
      </c>
      <c r="AT19" s="14" t="s">
        <v>38</v>
      </c>
    </row>
    <row r="20" spans="1:47" ht="15" customHeight="1">
      <c r="A20" s="94"/>
      <c r="B20" s="34">
        <v>1</v>
      </c>
      <c r="C20" s="54" t="s">
        <v>50</v>
      </c>
      <c r="D20" s="54" t="s">
        <v>40</v>
      </c>
      <c r="E20" s="47">
        <v>1</v>
      </c>
      <c r="F20" s="47">
        <v>1</v>
      </c>
      <c r="G20" s="47">
        <v>1</v>
      </c>
      <c r="H20" s="47">
        <v>1</v>
      </c>
      <c r="I20" s="47">
        <v>1</v>
      </c>
      <c r="J20" s="47">
        <v>1</v>
      </c>
      <c r="K20" s="49"/>
      <c r="L20" s="49"/>
      <c r="M20" s="47">
        <v>1</v>
      </c>
      <c r="N20" s="47">
        <v>0</v>
      </c>
      <c r="O20" s="47">
        <v>1</v>
      </c>
      <c r="P20" s="47">
        <v>1</v>
      </c>
      <c r="Q20" s="47">
        <v>0</v>
      </c>
      <c r="R20" s="47">
        <v>1</v>
      </c>
      <c r="S20" s="47"/>
      <c r="T20" s="49"/>
      <c r="U20" s="49"/>
      <c r="V20" s="47">
        <v>0</v>
      </c>
      <c r="W20" s="47">
        <v>1</v>
      </c>
      <c r="X20" s="47">
        <v>1</v>
      </c>
      <c r="Y20" s="47">
        <v>1</v>
      </c>
      <c r="Z20" s="47">
        <v>1</v>
      </c>
      <c r="AA20" s="47">
        <v>1</v>
      </c>
      <c r="AB20" s="47">
        <v>0</v>
      </c>
      <c r="AC20" s="49"/>
      <c r="AD20" s="49"/>
      <c r="AE20" s="47">
        <v>1</v>
      </c>
      <c r="AF20" s="47">
        <v>1</v>
      </c>
      <c r="AG20" s="47">
        <v>1</v>
      </c>
      <c r="AH20" s="48"/>
      <c r="AI20" s="48"/>
      <c r="AJ20" s="48"/>
      <c r="AK20" s="49"/>
      <c r="AL20" s="49"/>
      <c r="AM20" s="48"/>
      <c r="AN20" s="48"/>
      <c r="AO20" s="48"/>
      <c r="AP20" s="48"/>
      <c r="AQ20" s="48"/>
      <c r="AR20" s="48"/>
      <c r="AS20" s="48"/>
      <c r="AT20" s="48"/>
      <c r="AU20" s="1">
        <f>SUM(E20:AT20)</f>
        <v>18</v>
      </c>
    </row>
    <row r="21" spans="1:47" ht="15" customHeight="1">
      <c r="A21" s="94"/>
      <c r="B21" s="34">
        <v>2</v>
      </c>
      <c r="C21" s="54" t="s">
        <v>51</v>
      </c>
      <c r="D21" s="54" t="s">
        <v>40</v>
      </c>
      <c r="E21" s="50">
        <v>1</v>
      </c>
      <c r="F21" s="50">
        <v>1</v>
      </c>
      <c r="G21" s="50">
        <v>1</v>
      </c>
      <c r="H21" s="50">
        <v>1</v>
      </c>
      <c r="I21" s="50">
        <v>1</v>
      </c>
      <c r="J21" s="50">
        <v>1</v>
      </c>
      <c r="K21" s="52"/>
      <c r="L21" s="52"/>
      <c r="M21" s="50">
        <v>1</v>
      </c>
      <c r="N21" s="50">
        <v>1</v>
      </c>
      <c r="O21" s="50">
        <v>1</v>
      </c>
      <c r="P21" s="50">
        <v>1</v>
      </c>
      <c r="Q21" s="50">
        <v>1</v>
      </c>
      <c r="R21" s="50">
        <v>1</v>
      </c>
      <c r="S21" s="50"/>
      <c r="T21" s="52"/>
      <c r="U21" s="52"/>
      <c r="V21" s="50">
        <v>1</v>
      </c>
      <c r="W21" s="50">
        <v>1</v>
      </c>
      <c r="X21" s="50">
        <v>1</v>
      </c>
      <c r="Y21" s="50">
        <v>1</v>
      </c>
      <c r="Z21" s="50">
        <v>1</v>
      </c>
      <c r="AA21" s="50">
        <v>1</v>
      </c>
      <c r="AB21" s="50">
        <v>1</v>
      </c>
      <c r="AC21" s="52"/>
      <c r="AD21" s="52"/>
      <c r="AE21" s="50">
        <v>1</v>
      </c>
      <c r="AF21" s="50">
        <v>1</v>
      </c>
      <c r="AG21" s="50">
        <v>1</v>
      </c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>SUM(E21:AT21)</f>
        <v>22</v>
      </c>
    </row>
    <row r="22" spans="1:47" ht="15" customHeight="1">
      <c r="A22" s="94"/>
      <c r="B22" s="34">
        <v>3</v>
      </c>
      <c r="C22" s="54" t="s">
        <v>52</v>
      </c>
      <c r="D22" s="54" t="s">
        <v>40</v>
      </c>
      <c r="E22" s="50">
        <v>1</v>
      </c>
      <c r="F22" s="50">
        <v>1</v>
      </c>
      <c r="G22" s="50">
        <v>1</v>
      </c>
      <c r="H22" s="50">
        <v>1</v>
      </c>
      <c r="I22" s="50">
        <v>1</v>
      </c>
      <c r="J22" s="50">
        <v>1</v>
      </c>
      <c r="K22" s="52"/>
      <c r="L22" s="52"/>
      <c r="M22" s="50">
        <v>1</v>
      </c>
      <c r="N22" s="50">
        <v>1</v>
      </c>
      <c r="O22" s="50">
        <v>1</v>
      </c>
      <c r="P22" s="50">
        <v>1</v>
      </c>
      <c r="Q22" s="50">
        <v>1</v>
      </c>
      <c r="R22" s="50">
        <v>1</v>
      </c>
      <c r="S22" s="50"/>
      <c r="T22" s="52"/>
      <c r="U22" s="52"/>
      <c r="V22" s="50">
        <v>1</v>
      </c>
      <c r="W22" s="50">
        <v>1</v>
      </c>
      <c r="X22" s="50">
        <v>1</v>
      </c>
      <c r="Y22" s="50">
        <v>0</v>
      </c>
      <c r="Z22" s="50">
        <v>1</v>
      </c>
      <c r="AA22" s="50">
        <v>1</v>
      </c>
      <c r="AB22" s="50">
        <v>1</v>
      </c>
      <c r="AC22" s="52"/>
      <c r="AD22" s="52"/>
      <c r="AE22" s="50">
        <v>1</v>
      </c>
      <c r="AF22" s="50">
        <v>1</v>
      </c>
      <c r="AG22" s="50">
        <v>1</v>
      </c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>SUM(E22:AT22)</f>
        <v>21</v>
      </c>
    </row>
    <row r="23" spans="1:47" ht="15" customHeight="1">
      <c r="A23" s="94"/>
      <c r="B23" s="34">
        <v>4</v>
      </c>
      <c r="C23" s="54" t="s">
        <v>53</v>
      </c>
      <c r="D23" s="54" t="s">
        <v>40</v>
      </c>
      <c r="E23" s="50">
        <v>0</v>
      </c>
      <c r="F23" s="50">
        <v>1</v>
      </c>
      <c r="G23" s="50">
        <v>1</v>
      </c>
      <c r="H23" s="50">
        <v>1</v>
      </c>
      <c r="I23" s="50">
        <v>1</v>
      </c>
      <c r="J23" s="50">
        <v>1</v>
      </c>
      <c r="K23" s="52"/>
      <c r="L23" s="52"/>
      <c r="M23" s="50">
        <v>1</v>
      </c>
      <c r="N23" s="50">
        <v>1</v>
      </c>
      <c r="O23" s="50">
        <v>1</v>
      </c>
      <c r="P23" s="50">
        <v>1</v>
      </c>
      <c r="Q23" s="50">
        <v>0</v>
      </c>
      <c r="R23" s="50">
        <v>1</v>
      </c>
      <c r="S23" s="50"/>
      <c r="T23" s="52"/>
      <c r="U23" s="52"/>
      <c r="V23" s="50">
        <v>1</v>
      </c>
      <c r="W23" s="50">
        <v>1</v>
      </c>
      <c r="X23" s="50">
        <v>1</v>
      </c>
      <c r="Y23" s="50">
        <v>0</v>
      </c>
      <c r="Z23" s="50">
        <v>1</v>
      </c>
      <c r="AA23" s="50">
        <v>1</v>
      </c>
      <c r="AB23" s="50">
        <v>1</v>
      </c>
      <c r="AC23" s="52"/>
      <c r="AD23" s="52"/>
      <c r="AE23" s="50">
        <v>1</v>
      </c>
      <c r="AF23" s="50">
        <v>0</v>
      </c>
      <c r="AG23" s="50">
        <v>1</v>
      </c>
      <c r="AH23" s="51"/>
      <c r="AI23" s="51"/>
      <c r="AJ23" s="51"/>
      <c r="AK23" s="52"/>
      <c r="AL23" s="52"/>
      <c r="AM23" s="51"/>
      <c r="AN23" s="51"/>
      <c r="AO23" s="51"/>
      <c r="AP23" s="51"/>
      <c r="AQ23" s="51"/>
      <c r="AR23" s="51"/>
      <c r="AS23" s="51"/>
      <c r="AT23" s="51"/>
      <c r="AU23" s="1">
        <f>SUM(E23:AT23)</f>
        <v>18</v>
      </c>
    </row>
    <row r="24" spans="1:47" ht="15" customHeight="1">
      <c r="A24" s="94"/>
      <c r="B24" s="34">
        <v>5</v>
      </c>
      <c r="C24" s="54" t="s">
        <v>54</v>
      </c>
      <c r="D24" s="54" t="s">
        <v>40</v>
      </c>
      <c r="E24" s="50">
        <v>1</v>
      </c>
      <c r="F24" s="50">
        <v>1</v>
      </c>
      <c r="G24" s="50">
        <v>1</v>
      </c>
      <c r="H24" s="50">
        <v>1</v>
      </c>
      <c r="I24" s="50">
        <v>1</v>
      </c>
      <c r="J24" s="50">
        <v>1</v>
      </c>
      <c r="K24" s="52"/>
      <c r="L24" s="52"/>
      <c r="M24" s="50">
        <v>1</v>
      </c>
      <c r="N24" s="50">
        <v>0</v>
      </c>
      <c r="O24" s="50">
        <v>1</v>
      </c>
      <c r="P24" s="50">
        <v>1</v>
      </c>
      <c r="Q24" s="50">
        <v>1</v>
      </c>
      <c r="R24" s="50">
        <v>1</v>
      </c>
      <c r="S24" s="50"/>
      <c r="T24" s="52"/>
      <c r="U24" s="52"/>
      <c r="V24" s="50">
        <v>1</v>
      </c>
      <c r="W24" s="50">
        <v>1</v>
      </c>
      <c r="X24" s="50">
        <v>1</v>
      </c>
      <c r="Y24" s="50">
        <v>1</v>
      </c>
      <c r="Z24" s="50">
        <v>0</v>
      </c>
      <c r="AA24" s="50">
        <v>1</v>
      </c>
      <c r="AB24" s="50">
        <v>1</v>
      </c>
      <c r="AC24" s="52"/>
      <c r="AD24" s="52"/>
      <c r="AE24" s="50">
        <v>1</v>
      </c>
      <c r="AF24" s="50">
        <v>1</v>
      </c>
      <c r="AG24" s="50">
        <v>1</v>
      </c>
      <c r="AH24" s="51"/>
      <c r="AI24" s="51"/>
      <c r="AJ24" s="51"/>
      <c r="AK24" s="52"/>
      <c r="AL24" s="52"/>
      <c r="AM24" s="51"/>
      <c r="AN24" s="51"/>
      <c r="AO24" s="51"/>
      <c r="AP24" s="51"/>
      <c r="AQ24" s="51"/>
      <c r="AR24" s="51"/>
      <c r="AS24" s="51"/>
      <c r="AT24" s="51"/>
      <c r="AU24" s="1">
        <f>SUM(E24:AT24)</f>
        <v>20</v>
      </c>
    </row>
    <row r="25" spans="1:47" ht="15" customHeight="1">
      <c r="A25" s="94"/>
      <c r="B25" s="34">
        <v>6</v>
      </c>
      <c r="C25" s="54" t="s">
        <v>55</v>
      </c>
      <c r="D25" s="54" t="s">
        <v>40</v>
      </c>
      <c r="E25" s="50">
        <v>1</v>
      </c>
      <c r="F25" s="50">
        <v>1</v>
      </c>
      <c r="G25" s="50">
        <v>0</v>
      </c>
      <c r="H25" s="50">
        <v>1</v>
      </c>
      <c r="I25" s="50">
        <v>1</v>
      </c>
      <c r="J25" s="50">
        <v>1</v>
      </c>
      <c r="K25" s="52"/>
      <c r="L25" s="52"/>
      <c r="M25" s="50">
        <v>1</v>
      </c>
      <c r="N25" s="50">
        <v>1</v>
      </c>
      <c r="O25" s="50">
        <v>0</v>
      </c>
      <c r="P25" s="50">
        <v>0</v>
      </c>
      <c r="Q25" s="50">
        <v>1</v>
      </c>
      <c r="R25" s="50">
        <v>0</v>
      </c>
      <c r="S25" s="50"/>
      <c r="T25" s="52"/>
      <c r="U25" s="52"/>
      <c r="V25" s="50">
        <v>0</v>
      </c>
      <c r="W25" s="50">
        <v>1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2"/>
      <c r="AD25" s="52"/>
      <c r="AE25" s="50">
        <v>0</v>
      </c>
      <c r="AF25" s="50">
        <v>0</v>
      </c>
      <c r="AG25" s="50">
        <v>0</v>
      </c>
      <c r="AH25" s="51"/>
      <c r="AI25" s="51"/>
      <c r="AJ25" s="51"/>
      <c r="AK25" s="52"/>
      <c r="AL25" s="52"/>
      <c r="AM25" s="51"/>
      <c r="AN25" s="51"/>
      <c r="AO25" s="51"/>
      <c r="AP25" s="51"/>
      <c r="AQ25" s="51"/>
      <c r="AR25" s="51"/>
      <c r="AS25" s="51"/>
      <c r="AT25" s="51"/>
      <c r="AU25" s="1">
        <f>SUM(E25:AT25)</f>
        <v>9</v>
      </c>
    </row>
    <row r="26" spans="1:47" ht="15" customHeight="1">
      <c r="A26" s="94"/>
      <c r="B26" s="34">
        <v>7</v>
      </c>
      <c r="C26" s="54" t="s">
        <v>56</v>
      </c>
      <c r="D26" s="54" t="s">
        <v>40</v>
      </c>
      <c r="E26" s="50">
        <v>1</v>
      </c>
      <c r="F26" s="50">
        <v>1</v>
      </c>
      <c r="G26" s="50">
        <v>0</v>
      </c>
      <c r="H26" s="50">
        <v>1</v>
      </c>
      <c r="I26" s="50">
        <v>1</v>
      </c>
      <c r="J26" s="50">
        <v>0</v>
      </c>
      <c r="K26" s="52"/>
      <c r="L26" s="52"/>
      <c r="M26" s="50">
        <v>1</v>
      </c>
      <c r="N26" s="50">
        <v>1</v>
      </c>
      <c r="O26" s="50">
        <v>1</v>
      </c>
      <c r="P26" s="50">
        <v>0</v>
      </c>
      <c r="Q26" s="50">
        <v>1</v>
      </c>
      <c r="R26" s="50">
        <v>1</v>
      </c>
      <c r="S26" s="50"/>
      <c r="T26" s="52"/>
      <c r="U26" s="52"/>
      <c r="V26" s="50">
        <v>1</v>
      </c>
      <c r="W26" s="50">
        <v>0</v>
      </c>
      <c r="X26" s="50">
        <v>0</v>
      </c>
      <c r="Y26" s="50">
        <v>0</v>
      </c>
      <c r="Z26" s="50">
        <v>0</v>
      </c>
      <c r="AA26" s="50">
        <v>1</v>
      </c>
      <c r="AB26" s="50">
        <v>0</v>
      </c>
      <c r="AC26" s="52"/>
      <c r="AD26" s="52"/>
      <c r="AE26" s="50">
        <v>0</v>
      </c>
      <c r="AF26" s="50">
        <v>0</v>
      </c>
      <c r="AG26" s="50">
        <v>0</v>
      </c>
      <c r="AH26" s="51"/>
      <c r="AI26" s="51"/>
      <c r="AJ26" s="51"/>
      <c r="AK26" s="52"/>
      <c r="AL26" s="52"/>
      <c r="AM26" s="51"/>
      <c r="AN26" s="51"/>
      <c r="AO26" s="51"/>
      <c r="AP26" s="51"/>
      <c r="AQ26" s="51"/>
      <c r="AR26" s="51"/>
      <c r="AS26" s="51"/>
      <c r="AT26" s="51"/>
      <c r="AU26" s="1">
        <f>SUM(E26:AT26)</f>
        <v>11</v>
      </c>
    </row>
    <row r="27" spans="1:47" ht="15" customHeight="1">
      <c r="A27" s="94"/>
      <c r="B27" s="34">
        <v>8</v>
      </c>
      <c r="C27" s="54" t="s">
        <v>57</v>
      </c>
      <c r="D27" s="54" t="s">
        <v>40</v>
      </c>
      <c r="E27" s="50">
        <v>0</v>
      </c>
      <c r="F27" s="50">
        <v>1</v>
      </c>
      <c r="G27" s="50">
        <v>1</v>
      </c>
      <c r="H27" s="50">
        <v>1</v>
      </c>
      <c r="I27" s="50">
        <v>1</v>
      </c>
      <c r="J27" s="50">
        <v>1</v>
      </c>
      <c r="K27" s="52"/>
      <c r="L27" s="52"/>
      <c r="M27" s="50">
        <v>0</v>
      </c>
      <c r="N27" s="50">
        <v>1</v>
      </c>
      <c r="O27" s="50">
        <v>1</v>
      </c>
      <c r="P27" s="50">
        <v>1</v>
      </c>
      <c r="Q27" s="50">
        <v>1</v>
      </c>
      <c r="R27" s="50">
        <v>1</v>
      </c>
      <c r="S27" s="50"/>
      <c r="T27" s="52"/>
      <c r="U27" s="52"/>
      <c r="V27" s="50">
        <v>1</v>
      </c>
      <c r="W27" s="50">
        <v>1</v>
      </c>
      <c r="X27" s="50">
        <v>1</v>
      </c>
      <c r="Y27" s="50">
        <v>1</v>
      </c>
      <c r="Z27" s="50">
        <v>1</v>
      </c>
      <c r="AA27" s="50">
        <v>1</v>
      </c>
      <c r="AB27" s="50">
        <v>1</v>
      </c>
      <c r="AC27" s="52"/>
      <c r="AD27" s="52"/>
      <c r="AE27" s="50">
        <v>0</v>
      </c>
      <c r="AF27" s="50">
        <v>0</v>
      </c>
      <c r="AG27" s="50">
        <v>1</v>
      </c>
      <c r="AH27" s="51"/>
      <c r="AI27" s="51"/>
      <c r="AJ27" s="51"/>
      <c r="AK27" s="52"/>
      <c r="AL27" s="52"/>
      <c r="AM27" s="51"/>
      <c r="AN27" s="51"/>
      <c r="AO27" s="51"/>
      <c r="AP27" s="51"/>
      <c r="AQ27" s="51"/>
      <c r="AR27" s="51"/>
      <c r="AS27" s="51"/>
      <c r="AT27" s="51"/>
      <c r="AU27" s="1">
        <f>SUM(E27:AT27)</f>
        <v>18</v>
      </c>
    </row>
    <row r="28" spans="1:47">
      <c r="A28" s="94"/>
      <c r="B28" s="35">
        <v>9</v>
      </c>
      <c r="C28" s="55"/>
      <c r="D28" s="55"/>
      <c r="E28" s="56"/>
      <c r="F28" s="56"/>
      <c r="G28" s="56"/>
      <c r="H28" s="56"/>
      <c r="I28" s="56"/>
      <c r="J28" s="56"/>
      <c r="K28" s="52"/>
      <c r="L28" s="52"/>
      <c r="M28" s="56"/>
      <c r="N28" s="56"/>
      <c r="O28" s="56"/>
      <c r="P28" s="56"/>
      <c r="Q28" s="56"/>
      <c r="R28" s="57"/>
      <c r="S28" s="57"/>
      <c r="T28" s="52"/>
      <c r="U28" s="52"/>
      <c r="V28" s="56"/>
      <c r="W28" s="56"/>
      <c r="X28" s="56"/>
      <c r="Y28" s="56"/>
      <c r="Z28" s="56"/>
      <c r="AA28" s="56"/>
      <c r="AB28" s="56"/>
      <c r="AC28" s="52"/>
      <c r="AD28" s="52"/>
      <c r="AE28" s="56"/>
      <c r="AF28" s="56"/>
      <c r="AG28" s="56"/>
      <c r="AH28" s="56"/>
      <c r="AI28" s="56"/>
      <c r="AJ28" s="56"/>
      <c r="AK28" s="52"/>
      <c r="AL28" s="52"/>
      <c r="AM28" s="56"/>
      <c r="AN28" s="57"/>
      <c r="AO28" s="57"/>
      <c r="AP28" s="57"/>
      <c r="AQ28" s="57"/>
      <c r="AR28" s="57"/>
      <c r="AS28" s="57"/>
      <c r="AT28" s="57"/>
      <c r="AU28" s="1">
        <f>SUM(E28:AT28)</f>
        <v>0</v>
      </c>
    </row>
    <row r="29" spans="1:47">
      <c r="A29" s="94"/>
      <c r="B29" s="35">
        <v>10</v>
      </c>
      <c r="C29" s="58"/>
      <c r="D29" s="58"/>
      <c r="E29" s="57"/>
      <c r="F29" s="57"/>
      <c r="G29" s="57"/>
      <c r="H29" s="57"/>
      <c r="I29" s="57"/>
      <c r="J29" s="57"/>
      <c r="K29" s="52"/>
      <c r="L29" s="52"/>
      <c r="M29" s="57"/>
      <c r="N29" s="57"/>
      <c r="O29" s="57"/>
      <c r="P29" s="57"/>
      <c r="Q29" s="57"/>
      <c r="R29" s="57"/>
      <c r="S29" s="57"/>
      <c r="T29" s="52"/>
      <c r="U29" s="52"/>
      <c r="V29" s="57"/>
      <c r="W29" s="57"/>
      <c r="X29" s="57"/>
      <c r="Y29" s="57"/>
      <c r="Z29" s="57"/>
      <c r="AA29" s="57"/>
      <c r="AB29" s="57"/>
      <c r="AC29" s="52"/>
      <c r="AD29" s="52"/>
      <c r="AE29" s="57"/>
      <c r="AF29" s="57"/>
      <c r="AG29" s="57"/>
      <c r="AH29" s="57"/>
      <c r="AI29" s="57"/>
      <c r="AJ29" s="57"/>
      <c r="AK29" s="52"/>
      <c r="AL29" s="52"/>
      <c r="AM29" s="57"/>
      <c r="AN29" s="57"/>
      <c r="AO29" s="57"/>
      <c r="AP29" s="57"/>
      <c r="AQ29" s="57"/>
      <c r="AR29" s="57"/>
      <c r="AS29" s="57"/>
      <c r="AT29" s="57"/>
      <c r="AU29" s="1">
        <f>SUM(E29:AT29)</f>
        <v>0</v>
      </c>
    </row>
    <row r="30" spans="1:47" ht="19.5">
      <c r="A30" s="3"/>
      <c r="B30" s="68">
        <v>8</v>
      </c>
      <c r="C30" s="12" t="s">
        <v>58</v>
      </c>
      <c r="D30" s="7"/>
      <c r="E30" s="8">
        <f>SUM(E20:E29)</f>
        <v>6</v>
      </c>
      <c r="F30" s="8">
        <f t="shared" ref="F30:AT30" si="5">SUM(F20:F29)</f>
        <v>8</v>
      </c>
      <c r="G30" s="8">
        <f t="shared" si="5"/>
        <v>6</v>
      </c>
      <c r="H30" s="8">
        <f t="shared" si="5"/>
        <v>8</v>
      </c>
      <c r="I30" s="8">
        <f t="shared" si="5"/>
        <v>8</v>
      </c>
      <c r="J30" s="8">
        <f t="shared" si="5"/>
        <v>7</v>
      </c>
      <c r="K30" s="8">
        <f t="shared" si="5"/>
        <v>0</v>
      </c>
      <c r="L30" s="8">
        <f t="shared" si="5"/>
        <v>0</v>
      </c>
      <c r="M30" s="8">
        <f t="shared" si="5"/>
        <v>7</v>
      </c>
      <c r="N30" s="8">
        <f t="shared" si="5"/>
        <v>6</v>
      </c>
      <c r="O30" s="8">
        <f t="shared" si="5"/>
        <v>7</v>
      </c>
      <c r="P30" s="8">
        <f t="shared" si="5"/>
        <v>6</v>
      </c>
      <c r="Q30" s="8">
        <f t="shared" si="5"/>
        <v>6</v>
      </c>
      <c r="R30" s="8">
        <f t="shared" si="5"/>
        <v>7</v>
      </c>
      <c r="S30" s="8">
        <f t="shared" si="5"/>
        <v>0</v>
      </c>
      <c r="T30" s="8">
        <f t="shared" si="5"/>
        <v>0</v>
      </c>
      <c r="U30" s="8">
        <f t="shared" si="5"/>
        <v>0</v>
      </c>
      <c r="V30" s="8">
        <f t="shared" si="5"/>
        <v>6</v>
      </c>
      <c r="W30" s="8">
        <f t="shared" si="5"/>
        <v>7</v>
      </c>
      <c r="X30" s="8">
        <f t="shared" si="5"/>
        <v>6</v>
      </c>
      <c r="Y30" s="8">
        <f t="shared" si="5"/>
        <v>4</v>
      </c>
      <c r="Z30" s="8">
        <f t="shared" si="5"/>
        <v>5</v>
      </c>
      <c r="AA30" s="8">
        <f t="shared" si="5"/>
        <v>7</v>
      </c>
      <c r="AB30" s="8">
        <f t="shared" si="5"/>
        <v>5</v>
      </c>
      <c r="AC30" s="8">
        <f t="shared" si="5"/>
        <v>0</v>
      </c>
      <c r="AD30" s="8">
        <f t="shared" si="5"/>
        <v>0</v>
      </c>
      <c r="AE30" s="8">
        <f t="shared" si="5"/>
        <v>5</v>
      </c>
      <c r="AF30" s="8">
        <f t="shared" si="5"/>
        <v>4</v>
      </c>
      <c r="AG30" s="8">
        <f t="shared" si="5"/>
        <v>6</v>
      </c>
      <c r="AH30" s="8">
        <f t="shared" si="5"/>
        <v>0</v>
      </c>
      <c r="AI30" s="8">
        <f t="shared" si="5"/>
        <v>0</v>
      </c>
      <c r="AJ30" s="8">
        <f t="shared" si="5"/>
        <v>0</v>
      </c>
      <c r="AK30" s="8">
        <f t="shared" si="5"/>
        <v>0</v>
      </c>
      <c r="AL30" s="8">
        <f t="shared" si="5"/>
        <v>0</v>
      </c>
      <c r="AM30" s="8">
        <f t="shared" si="5"/>
        <v>0</v>
      </c>
      <c r="AN30" s="8">
        <f t="shared" si="5"/>
        <v>0</v>
      </c>
      <c r="AO30" s="8">
        <f t="shared" si="5"/>
        <v>0</v>
      </c>
      <c r="AP30" s="8">
        <f t="shared" si="5"/>
        <v>0</v>
      </c>
      <c r="AQ30" s="8">
        <f t="shared" si="5"/>
        <v>0</v>
      </c>
      <c r="AR30" s="8">
        <f t="shared" si="5"/>
        <v>0</v>
      </c>
      <c r="AS30" s="8">
        <f t="shared" si="5"/>
        <v>0</v>
      </c>
      <c r="AT30" s="8">
        <f t="shared" si="5"/>
        <v>0</v>
      </c>
    </row>
    <row r="31" spans="1:47" s="31" customForma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0"/>
    </row>
    <row r="32" spans="1:47" ht="15" customHeight="1">
      <c r="A32" s="21"/>
      <c r="B32" s="21"/>
      <c r="C32" s="21"/>
      <c r="D32" s="21"/>
      <c r="E32" s="99">
        <v>45913</v>
      </c>
      <c r="F32" s="99">
        <f>E32+7</f>
        <v>45920</v>
      </c>
      <c r="G32" s="99">
        <f t="shared" ref="G32:AT32" si="6">F32+7</f>
        <v>45927</v>
      </c>
      <c r="H32" s="99">
        <f t="shared" si="6"/>
        <v>45934</v>
      </c>
      <c r="I32" s="99">
        <f t="shared" si="6"/>
        <v>45941</v>
      </c>
      <c r="J32" s="99">
        <f t="shared" si="6"/>
        <v>45948</v>
      </c>
      <c r="K32" s="99">
        <f t="shared" si="6"/>
        <v>45955</v>
      </c>
      <c r="L32" s="99">
        <f t="shared" si="6"/>
        <v>45962</v>
      </c>
      <c r="M32" s="99">
        <f t="shared" si="6"/>
        <v>45969</v>
      </c>
      <c r="N32" s="99">
        <f t="shared" si="6"/>
        <v>45976</v>
      </c>
      <c r="O32" s="99">
        <f t="shared" si="6"/>
        <v>45983</v>
      </c>
      <c r="P32" s="99">
        <f t="shared" si="6"/>
        <v>45990</v>
      </c>
      <c r="Q32" s="99">
        <f t="shared" si="6"/>
        <v>45997</v>
      </c>
      <c r="R32" s="99">
        <f t="shared" si="6"/>
        <v>46004</v>
      </c>
      <c r="S32" s="99">
        <f t="shared" si="6"/>
        <v>46011</v>
      </c>
      <c r="T32" s="99">
        <f t="shared" si="6"/>
        <v>46018</v>
      </c>
      <c r="U32" s="99">
        <f t="shared" si="6"/>
        <v>46025</v>
      </c>
      <c r="V32" s="99">
        <f t="shared" si="6"/>
        <v>46032</v>
      </c>
      <c r="W32" s="99">
        <f t="shared" si="6"/>
        <v>46039</v>
      </c>
      <c r="X32" s="99">
        <f t="shared" si="6"/>
        <v>46046</v>
      </c>
      <c r="Y32" s="99">
        <f t="shared" si="6"/>
        <v>46053</v>
      </c>
      <c r="Z32" s="99">
        <f t="shared" si="6"/>
        <v>46060</v>
      </c>
      <c r="AA32" s="99">
        <f t="shared" si="6"/>
        <v>46067</v>
      </c>
      <c r="AB32" s="99">
        <f t="shared" si="6"/>
        <v>46074</v>
      </c>
      <c r="AC32" s="99">
        <f t="shared" si="6"/>
        <v>46081</v>
      </c>
      <c r="AD32" s="99">
        <f t="shared" si="6"/>
        <v>46088</v>
      </c>
      <c r="AE32" s="99">
        <f t="shared" si="6"/>
        <v>46095</v>
      </c>
      <c r="AF32" s="99">
        <f t="shared" si="6"/>
        <v>46102</v>
      </c>
      <c r="AG32" s="99">
        <f t="shared" si="6"/>
        <v>46109</v>
      </c>
      <c r="AH32" s="99">
        <f t="shared" si="6"/>
        <v>46116</v>
      </c>
      <c r="AI32" s="99">
        <f t="shared" si="6"/>
        <v>46123</v>
      </c>
      <c r="AJ32" s="99">
        <f t="shared" si="6"/>
        <v>46130</v>
      </c>
      <c r="AK32" s="99">
        <f t="shared" si="6"/>
        <v>46137</v>
      </c>
      <c r="AL32" s="99">
        <f t="shared" si="6"/>
        <v>46144</v>
      </c>
      <c r="AM32" s="99">
        <f t="shared" si="6"/>
        <v>46151</v>
      </c>
      <c r="AN32" s="99">
        <f t="shared" si="6"/>
        <v>46158</v>
      </c>
      <c r="AO32" s="99">
        <f t="shared" si="6"/>
        <v>46165</v>
      </c>
      <c r="AP32" s="99">
        <f t="shared" si="6"/>
        <v>46172</v>
      </c>
      <c r="AQ32" s="99">
        <f t="shared" si="6"/>
        <v>46179</v>
      </c>
      <c r="AR32" s="99">
        <f t="shared" si="6"/>
        <v>46186</v>
      </c>
      <c r="AS32" s="99">
        <f t="shared" si="6"/>
        <v>46193</v>
      </c>
      <c r="AT32" s="99">
        <f t="shared" si="6"/>
        <v>46200</v>
      </c>
    </row>
    <row r="33" spans="1:47" ht="15" customHeight="1">
      <c r="A33" s="21"/>
      <c r="B33" s="21"/>
      <c r="C33" s="21"/>
      <c r="D33" s="21"/>
      <c r="E33" s="100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</row>
    <row r="34" spans="1:47" ht="15" customHeight="1">
      <c r="A34" s="93" t="s">
        <v>59</v>
      </c>
      <c r="B34" s="97" t="s">
        <v>59</v>
      </c>
      <c r="C34" s="98"/>
      <c r="E34" s="6" t="s">
        <v>4</v>
      </c>
      <c r="F34" s="15" t="s">
        <v>5</v>
      </c>
      <c r="G34" s="6" t="s">
        <v>6</v>
      </c>
      <c r="H34" s="15" t="s">
        <v>7</v>
      </c>
      <c r="I34" s="6" t="s">
        <v>8</v>
      </c>
      <c r="J34" s="15" t="s">
        <v>9</v>
      </c>
      <c r="K34" s="27" t="s">
        <v>10</v>
      </c>
      <c r="L34" s="27" t="s">
        <v>10</v>
      </c>
      <c r="M34" s="6" t="s">
        <v>11</v>
      </c>
      <c r="N34" s="15" t="s">
        <v>12</v>
      </c>
      <c r="O34" s="6" t="s">
        <v>13</v>
      </c>
      <c r="P34" s="15" t="s">
        <v>14</v>
      </c>
      <c r="Q34" s="6" t="s">
        <v>15</v>
      </c>
      <c r="R34" s="6" t="s">
        <v>16</v>
      </c>
      <c r="S34" s="6" t="s">
        <v>17</v>
      </c>
      <c r="T34" s="27" t="s">
        <v>10</v>
      </c>
      <c r="U34" s="27" t="s">
        <v>10</v>
      </c>
      <c r="V34" s="15" t="s">
        <v>18</v>
      </c>
      <c r="W34" s="6" t="s">
        <v>19</v>
      </c>
      <c r="X34" s="15" t="s">
        <v>20</v>
      </c>
      <c r="Y34" s="6" t="s">
        <v>21</v>
      </c>
      <c r="Z34" s="15" t="s">
        <v>22</v>
      </c>
      <c r="AA34" s="6" t="s">
        <v>23</v>
      </c>
      <c r="AB34" s="15" t="s">
        <v>24</v>
      </c>
      <c r="AC34" s="27" t="s">
        <v>10</v>
      </c>
      <c r="AD34" s="27" t="s">
        <v>10</v>
      </c>
      <c r="AE34" s="6" t="s">
        <v>25</v>
      </c>
      <c r="AF34" s="15" t="s">
        <v>26</v>
      </c>
      <c r="AG34" s="6" t="s">
        <v>27</v>
      </c>
      <c r="AH34" s="6" t="s">
        <v>28</v>
      </c>
      <c r="AI34" s="15" t="s">
        <v>29</v>
      </c>
      <c r="AJ34" s="6" t="s">
        <v>30</v>
      </c>
      <c r="AK34" s="27" t="s">
        <v>10</v>
      </c>
      <c r="AL34" s="27" t="s">
        <v>10</v>
      </c>
      <c r="AM34" s="15" t="s">
        <v>31</v>
      </c>
      <c r="AN34" s="14" t="s">
        <v>32</v>
      </c>
      <c r="AO34" s="15" t="s">
        <v>33</v>
      </c>
      <c r="AP34" s="14" t="s">
        <v>34</v>
      </c>
      <c r="AQ34" s="14" t="s">
        <v>35</v>
      </c>
      <c r="AR34" s="14" t="s">
        <v>36</v>
      </c>
      <c r="AS34" s="14" t="s">
        <v>37</v>
      </c>
      <c r="AT34" s="14" t="s">
        <v>38</v>
      </c>
      <c r="AU34" s="1">
        <f>SUM(E34:AT34)</f>
        <v>0</v>
      </c>
    </row>
    <row r="35" spans="1:47" ht="18" customHeight="1">
      <c r="A35" s="93"/>
      <c r="B35" s="34">
        <v>1</v>
      </c>
      <c r="C35" s="54" t="s">
        <v>60</v>
      </c>
      <c r="D35" s="54" t="s">
        <v>40</v>
      </c>
      <c r="E35" s="47">
        <v>1</v>
      </c>
      <c r="F35" s="47">
        <v>1</v>
      </c>
      <c r="G35" s="47">
        <v>0</v>
      </c>
      <c r="H35" s="47">
        <v>1</v>
      </c>
      <c r="I35" s="47">
        <v>1</v>
      </c>
      <c r="J35" s="47">
        <v>1</v>
      </c>
      <c r="K35" s="49"/>
      <c r="L35" s="49"/>
      <c r="M35" s="47">
        <v>1</v>
      </c>
      <c r="N35" s="47">
        <v>1</v>
      </c>
      <c r="O35" s="47">
        <v>1</v>
      </c>
      <c r="P35" s="47">
        <v>1</v>
      </c>
      <c r="Q35" s="47">
        <v>1</v>
      </c>
      <c r="R35" s="85" t="s">
        <v>61</v>
      </c>
      <c r="S35" s="47">
        <v>1</v>
      </c>
      <c r="T35" s="49"/>
      <c r="U35" s="49"/>
      <c r="V35" s="47">
        <v>1</v>
      </c>
      <c r="W35" s="47">
        <v>1</v>
      </c>
      <c r="X35" s="47">
        <v>1</v>
      </c>
      <c r="Y35" s="85" t="s">
        <v>61</v>
      </c>
      <c r="Z35" s="47">
        <v>1</v>
      </c>
      <c r="AA35" s="47">
        <v>0</v>
      </c>
      <c r="AB35" s="47">
        <v>1</v>
      </c>
      <c r="AC35" s="49"/>
      <c r="AD35" s="49"/>
      <c r="AE35" s="47">
        <v>1</v>
      </c>
      <c r="AF35" s="47">
        <v>1</v>
      </c>
      <c r="AG35" s="47">
        <v>1</v>
      </c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>SUM(E35:AT35)</f>
        <v>19</v>
      </c>
    </row>
    <row r="36" spans="1:47" ht="15" customHeight="1">
      <c r="A36" s="93"/>
      <c r="B36" s="34">
        <v>2</v>
      </c>
      <c r="C36" s="54" t="s">
        <v>62</v>
      </c>
      <c r="D36" s="54" t="s">
        <v>40</v>
      </c>
      <c r="E36" s="50">
        <v>1</v>
      </c>
      <c r="F36" s="50">
        <v>1</v>
      </c>
      <c r="G36" s="50">
        <v>0</v>
      </c>
      <c r="H36" s="50">
        <v>1</v>
      </c>
      <c r="I36" s="50">
        <v>1</v>
      </c>
      <c r="J36" s="50">
        <v>1</v>
      </c>
      <c r="K36" s="52"/>
      <c r="L36" s="52"/>
      <c r="M36" s="50">
        <v>0</v>
      </c>
      <c r="N36" s="50">
        <v>1</v>
      </c>
      <c r="O36" s="50">
        <v>1</v>
      </c>
      <c r="P36" s="50">
        <v>1</v>
      </c>
      <c r="Q36" s="50">
        <v>0</v>
      </c>
      <c r="R36" s="86" t="s">
        <v>63</v>
      </c>
      <c r="S36" s="50">
        <v>0</v>
      </c>
      <c r="T36" s="52"/>
      <c r="U36" s="52"/>
      <c r="V36" s="50">
        <v>0</v>
      </c>
      <c r="W36" s="50">
        <v>0</v>
      </c>
      <c r="X36" s="50">
        <v>0</v>
      </c>
      <c r="Y36" s="86" t="s">
        <v>64</v>
      </c>
      <c r="Z36" s="50">
        <v>1</v>
      </c>
      <c r="AA36" s="50">
        <v>1</v>
      </c>
      <c r="AB36" s="50">
        <v>1</v>
      </c>
      <c r="AC36" s="52"/>
      <c r="AD36" s="52"/>
      <c r="AE36" s="50">
        <v>1</v>
      </c>
      <c r="AF36" s="50">
        <v>1</v>
      </c>
      <c r="AG36" s="50">
        <v>1</v>
      </c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>SUM(E36:AT36)</f>
        <v>14</v>
      </c>
    </row>
    <row r="37" spans="1:47" ht="15" customHeight="1">
      <c r="A37" s="93"/>
      <c r="B37" s="34">
        <v>3</v>
      </c>
      <c r="C37" s="54" t="s">
        <v>65</v>
      </c>
      <c r="D37" s="54" t="s">
        <v>40</v>
      </c>
      <c r="E37" s="50">
        <v>1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2"/>
      <c r="L37" s="52"/>
      <c r="M37" s="50">
        <v>0</v>
      </c>
      <c r="N37" s="50">
        <v>1</v>
      </c>
      <c r="O37" s="50">
        <v>1</v>
      </c>
      <c r="P37" s="50">
        <v>1</v>
      </c>
      <c r="Q37" s="50">
        <v>1</v>
      </c>
      <c r="R37" s="78"/>
      <c r="S37" s="50">
        <v>0</v>
      </c>
      <c r="T37" s="52"/>
      <c r="U37" s="52"/>
      <c r="V37" s="50">
        <v>0</v>
      </c>
      <c r="W37" s="50">
        <v>1</v>
      </c>
      <c r="X37" s="50">
        <v>1</v>
      </c>
      <c r="Y37" s="78"/>
      <c r="Z37" s="50">
        <v>1</v>
      </c>
      <c r="AA37" s="50">
        <v>1</v>
      </c>
      <c r="AB37" s="50">
        <v>1</v>
      </c>
      <c r="AC37" s="52"/>
      <c r="AD37" s="52"/>
      <c r="AE37" s="50">
        <v>1</v>
      </c>
      <c r="AF37" s="50">
        <v>1</v>
      </c>
      <c r="AG37" s="50">
        <v>1</v>
      </c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>SUM(E37:AT37)</f>
        <v>18</v>
      </c>
    </row>
    <row r="38" spans="1:47" ht="15" customHeight="1">
      <c r="A38" s="93"/>
      <c r="B38" s="34">
        <v>4</v>
      </c>
      <c r="C38" s="54" t="s">
        <v>54</v>
      </c>
      <c r="D38" s="54" t="s">
        <v>40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J38" s="50">
        <v>0</v>
      </c>
      <c r="K38" s="52"/>
      <c r="L38" s="52"/>
      <c r="M38" s="50">
        <v>0</v>
      </c>
      <c r="N38" s="50">
        <v>1</v>
      </c>
      <c r="O38" s="50">
        <v>1</v>
      </c>
      <c r="P38" s="50">
        <v>0</v>
      </c>
      <c r="Q38" s="50">
        <v>1</v>
      </c>
      <c r="R38" s="78"/>
      <c r="S38" s="50">
        <v>0</v>
      </c>
      <c r="T38" s="52"/>
      <c r="U38" s="52"/>
      <c r="V38" s="50">
        <v>0</v>
      </c>
      <c r="W38" s="50">
        <v>1</v>
      </c>
      <c r="X38" s="50">
        <v>0</v>
      </c>
      <c r="Y38" s="78"/>
      <c r="Z38" s="50">
        <v>1</v>
      </c>
      <c r="AA38" s="50">
        <v>0</v>
      </c>
      <c r="AB38" s="50">
        <v>0</v>
      </c>
      <c r="AC38" s="52"/>
      <c r="AD38" s="52"/>
      <c r="AE38" s="50">
        <v>0</v>
      </c>
      <c r="AF38" s="50">
        <v>1</v>
      </c>
      <c r="AG38" s="50">
        <v>1</v>
      </c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>SUM(E38:AT38)</f>
        <v>12</v>
      </c>
    </row>
    <row r="39" spans="1:47" ht="15" customHeight="1">
      <c r="A39" s="93"/>
      <c r="B39" s="34">
        <v>5</v>
      </c>
      <c r="C39" s="54" t="s">
        <v>66</v>
      </c>
      <c r="D39" s="54" t="s">
        <v>40</v>
      </c>
      <c r="E39" s="50">
        <v>1</v>
      </c>
      <c r="F39" s="50">
        <v>1</v>
      </c>
      <c r="G39" s="50">
        <v>1</v>
      </c>
      <c r="H39" s="50">
        <v>1</v>
      </c>
      <c r="I39" s="50">
        <v>1</v>
      </c>
      <c r="J39" s="50">
        <v>1</v>
      </c>
      <c r="K39" s="52"/>
      <c r="L39" s="52"/>
      <c r="M39" s="50">
        <v>1</v>
      </c>
      <c r="N39" s="50">
        <v>1</v>
      </c>
      <c r="O39" s="50">
        <v>1</v>
      </c>
      <c r="P39" s="50">
        <v>1</v>
      </c>
      <c r="Q39" s="50">
        <v>1</v>
      </c>
      <c r="R39" s="78"/>
      <c r="S39" s="50">
        <v>1</v>
      </c>
      <c r="T39" s="52"/>
      <c r="U39" s="52"/>
      <c r="V39" s="50">
        <v>1</v>
      </c>
      <c r="W39" s="50">
        <v>1</v>
      </c>
      <c r="X39" s="50">
        <v>1</v>
      </c>
      <c r="Y39" s="78"/>
      <c r="Z39" s="50">
        <v>1</v>
      </c>
      <c r="AA39" s="50">
        <v>1</v>
      </c>
      <c r="AB39" s="50">
        <v>1</v>
      </c>
      <c r="AC39" s="52"/>
      <c r="AD39" s="52"/>
      <c r="AE39" s="50">
        <v>1</v>
      </c>
      <c r="AF39" s="50">
        <v>1</v>
      </c>
      <c r="AG39" s="50">
        <v>1</v>
      </c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>SUM(E39:AT39)</f>
        <v>21</v>
      </c>
    </row>
    <row r="40" spans="1:47" ht="15" customHeight="1">
      <c r="A40" s="93"/>
      <c r="B40" s="34">
        <v>6</v>
      </c>
      <c r="C40" s="54" t="s">
        <v>67</v>
      </c>
      <c r="D40" s="54" t="s">
        <v>40</v>
      </c>
      <c r="E40" s="50">
        <v>1</v>
      </c>
      <c r="F40" s="50">
        <v>1</v>
      </c>
      <c r="G40" s="50">
        <v>1</v>
      </c>
      <c r="H40" s="50">
        <v>1</v>
      </c>
      <c r="I40" s="50">
        <v>1</v>
      </c>
      <c r="J40" s="50">
        <v>1</v>
      </c>
      <c r="K40" s="52"/>
      <c r="L40" s="52"/>
      <c r="M40" s="50">
        <v>1</v>
      </c>
      <c r="N40" s="50">
        <v>1</v>
      </c>
      <c r="O40" s="50">
        <v>1</v>
      </c>
      <c r="P40" s="50">
        <v>1</v>
      </c>
      <c r="Q40" s="50">
        <v>1</v>
      </c>
      <c r="R40" s="78"/>
      <c r="S40" s="50">
        <v>1</v>
      </c>
      <c r="T40" s="52"/>
      <c r="U40" s="52"/>
      <c r="V40" s="50">
        <v>1</v>
      </c>
      <c r="W40" s="50">
        <v>1</v>
      </c>
      <c r="X40" s="50">
        <v>1</v>
      </c>
      <c r="Y40" s="78"/>
      <c r="Z40" s="50">
        <v>1</v>
      </c>
      <c r="AA40" s="50">
        <v>1</v>
      </c>
      <c r="AB40" s="50">
        <v>1</v>
      </c>
      <c r="AC40" s="52"/>
      <c r="AD40" s="52"/>
      <c r="AE40" s="50">
        <v>1</v>
      </c>
      <c r="AF40" s="50">
        <v>1</v>
      </c>
      <c r="AG40" s="50">
        <v>1</v>
      </c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>SUM(E40:AT40)</f>
        <v>21</v>
      </c>
    </row>
    <row r="41" spans="1:47" ht="15" customHeight="1">
      <c r="A41" s="93"/>
      <c r="B41" s="34">
        <v>7</v>
      </c>
      <c r="C41" s="54" t="s">
        <v>68</v>
      </c>
      <c r="D41" s="54" t="s">
        <v>40</v>
      </c>
      <c r="E41" s="50">
        <v>1</v>
      </c>
      <c r="F41" s="50">
        <v>1</v>
      </c>
      <c r="G41" s="50">
        <v>1</v>
      </c>
      <c r="H41" s="50">
        <v>1</v>
      </c>
      <c r="I41" s="50">
        <v>1</v>
      </c>
      <c r="J41" s="50">
        <v>1</v>
      </c>
      <c r="K41" s="52"/>
      <c r="L41" s="52"/>
      <c r="M41" s="50">
        <v>1</v>
      </c>
      <c r="N41" s="50">
        <v>1</v>
      </c>
      <c r="O41" s="50">
        <v>1</v>
      </c>
      <c r="P41" s="50">
        <v>1</v>
      </c>
      <c r="Q41" s="50">
        <v>1</v>
      </c>
      <c r="R41" s="78"/>
      <c r="S41" s="50">
        <v>1</v>
      </c>
      <c r="T41" s="52"/>
      <c r="U41" s="52"/>
      <c r="V41" s="50">
        <v>1</v>
      </c>
      <c r="W41" s="50">
        <v>1</v>
      </c>
      <c r="X41" s="50">
        <v>1</v>
      </c>
      <c r="Y41" s="78"/>
      <c r="Z41" s="50">
        <v>1</v>
      </c>
      <c r="AA41" s="50">
        <v>1</v>
      </c>
      <c r="AB41" s="50">
        <v>1</v>
      </c>
      <c r="AC41" s="52"/>
      <c r="AD41" s="52"/>
      <c r="AE41" s="50">
        <v>1</v>
      </c>
      <c r="AF41" s="50">
        <v>1</v>
      </c>
      <c r="AG41" s="50">
        <v>1</v>
      </c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>SUM(E41:AT41)</f>
        <v>21</v>
      </c>
    </row>
    <row r="42" spans="1:47" ht="15" customHeight="1">
      <c r="A42" s="93"/>
      <c r="B42" s="34">
        <v>8</v>
      </c>
      <c r="C42" s="54" t="s">
        <v>69</v>
      </c>
      <c r="D42" s="54" t="s">
        <v>40</v>
      </c>
      <c r="E42" s="50">
        <v>1</v>
      </c>
      <c r="F42" s="50">
        <v>1</v>
      </c>
      <c r="G42" s="50">
        <v>0</v>
      </c>
      <c r="H42" s="50">
        <v>1</v>
      </c>
      <c r="I42" s="50">
        <v>1</v>
      </c>
      <c r="J42" s="50">
        <v>0</v>
      </c>
      <c r="K42" s="52"/>
      <c r="L42" s="52"/>
      <c r="M42" s="50">
        <v>1</v>
      </c>
      <c r="N42" s="50">
        <v>1</v>
      </c>
      <c r="O42" s="50">
        <v>1</v>
      </c>
      <c r="P42" s="50">
        <v>1</v>
      </c>
      <c r="Q42" s="50">
        <v>0</v>
      </c>
      <c r="R42" s="78"/>
      <c r="S42" s="50">
        <v>0</v>
      </c>
      <c r="T42" s="52"/>
      <c r="U42" s="52"/>
      <c r="V42" s="50">
        <v>1</v>
      </c>
      <c r="W42" s="50">
        <v>1</v>
      </c>
      <c r="X42" s="50">
        <v>0</v>
      </c>
      <c r="Y42" s="78"/>
      <c r="Z42" s="50">
        <v>1</v>
      </c>
      <c r="AA42" s="50">
        <v>1</v>
      </c>
      <c r="AB42" s="50">
        <v>0</v>
      </c>
      <c r="AC42" s="52"/>
      <c r="AD42" s="52"/>
      <c r="AE42" s="50">
        <v>0</v>
      </c>
      <c r="AF42" s="50">
        <v>1</v>
      </c>
      <c r="AG42" s="50">
        <v>1</v>
      </c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>SUM(E42:AT42)</f>
        <v>14</v>
      </c>
    </row>
    <row r="43" spans="1:47" ht="15" customHeight="1">
      <c r="A43" s="93"/>
      <c r="B43" s="35">
        <v>9</v>
      </c>
      <c r="C43" s="55"/>
      <c r="D43" s="55"/>
      <c r="E43" s="56"/>
      <c r="F43" s="56"/>
      <c r="G43" s="56"/>
      <c r="H43" s="56"/>
      <c r="I43" s="56"/>
      <c r="J43" s="56"/>
      <c r="K43" s="52"/>
      <c r="L43" s="52"/>
      <c r="M43" s="56"/>
      <c r="N43" s="56"/>
      <c r="O43" s="56"/>
      <c r="P43" s="56"/>
      <c r="Q43" s="56"/>
      <c r="R43" s="57"/>
      <c r="S43" s="57"/>
      <c r="T43" s="52"/>
      <c r="U43" s="52"/>
      <c r="V43" s="56"/>
      <c r="W43" s="56"/>
      <c r="X43" s="56"/>
      <c r="Y43" s="56"/>
      <c r="Z43" s="56"/>
      <c r="AA43" s="56"/>
      <c r="AB43" s="56"/>
      <c r="AC43" s="52"/>
      <c r="AD43" s="52"/>
      <c r="AE43" s="56"/>
      <c r="AF43" s="56"/>
      <c r="AG43" s="56"/>
      <c r="AH43" s="56"/>
      <c r="AI43" s="56"/>
      <c r="AJ43" s="56"/>
      <c r="AK43" s="52"/>
      <c r="AL43" s="52"/>
      <c r="AM43" s="56"/>
      <c r="AN43" s="57"/>
      <c r="AO43" s="57"/>
      <c r="AP43" s="57"/>
      <c r="AQ43" s="57"/>
      <c r="AR43" s="57"/>
      <c r="AS43" s="57"/>
      <c r="AT43" s="57"/>
      <c r="AU43" s="1">
        <f>SUM(E43:AT43)</f>
        <v>0</v>
      </c>
    </row>
    <row r="44" spans="1:47" ht="15" customHeight="1">
      <c r="A44" s="93"/>
      <c r="B44" s="35">
        <v>10</v>
      </c>
      <c r="C44" s="58"/>
      <c r="D44" s="58"/>
      <c r="E44" s="57"/>
      <c r="F44" s="57"/>
      <c r="G44" s="57"/>
      <c r="H44" s="57"/>
      <c r="I44" s="57"/>
      <c r="J44" s="57"/>
      <c r="K44" s="52"/>
      <c r="L44" s="52"/>
      <c r="M44" s="57"/>
      <c r="N44" s="57"/>
      <c r="O44" s="57"/>
      <c r="P44" s="57"/>
      <c r="Q44" s="57"/>
      <c r="R44" s="57"/>
      <c r="S44" s="57"/>
      <c r="T44" s="52"/>
      <c r="U44" s="52"/>
      <c r="V44" s="57"/>
      <c r="W44" s="57"/>
      <c r="X44" s="57"/>
      <c r="Y44" s="57"/>
      <c r="Z44" s="57"/>
      <c r="AA44" s="57"/>
      <c r="AB44" s="57"/>
      <c r="AC44" s="52"/>
      <c r="AD44" s="52"/>
      <c r="AE44" s="57"/>
      <c r="AF44" s="57"/>
      <c r="AG44" s="57"/>
      <c r="AH44" s="57"/>
      <c r="AI44" s="57"/>
      <c r="AJ44" s="57"/>
      <c r="AK44" s="52"/>
      <c r="AL44" s="52"/>
      <c r="AM44" s="57"/>
      <c r="AN44" s="57"/>
      <c r="AO44" s="57"/>
      <c r="AP44" s="57"/>
      <c r="AQ44" s="57"/>
      <c r="AR44" s="57"/>
      <c r="AS44" s="57"/>
      <c r="AT44" s="57"/>
    </row>
    <row r="45" spans="1:47" ht="19.5">
      <c r="A45" s="3"/>
      <c r="B45" s="68">
        <v>8</v>
      </c>
      <c r="C45" s="12" t="s">
        <v>70</v>
      </c>
      <c r="D45" s="7"/>
      <c r="E45" s="8">
        <f>SUM(E35:E44)</f>
        <v>8</v>
      </c>
      <c r="F45" s="8">
        <f t="shared" ref="F45:AT45" si="7">SUM(F35:F44)</f>
        <v>8</v>
      </c>
      <c r="G45" s="8">
        <f t="shared" si="7"/>
        <v>5</v>
      </c>
      <c r="H45" s="8">
        <f t="shared" si="7"/>
        <v>8</v>
      </c>
      <c r="I45" s="8">
        <f t="shared" si="7"/>
        <v>8</v>
      </c>
      <c r="J45" s="8">
        <f t="shared" si="7"/>
        <v>6</v>
      </c>
      <c r="K45" s="8">
        <f t="shared" si="7"/>
        <v>0</v>
      </c>
      <c r="L45" s="8">
        <f t="shared" si="7"/>
        <v>0</v>
      </c>
      <c r="M45" s="8">
        <f t="shared" si="7"/>
        <v>5</v>
      </c>
      <c r="N45" s="8">
        <f t="shared" si="7"/>
        <v>8</v>
      </c>
      <c r="O45" s="8">
        <f t="shared" si="7"/>
        <v>8</v>
      </c>
      <c r="P45" s="8">
        <f t="shared" si="7"/>
        <v>7</v>
      </c>
      <c r="Q45" s="8">
        <f t="shared" si="7"/>
        <v>6</v>
      </c>
      <c r="R45" s="8">
        <f t="shared" si="7"/>
        <v>0</v>
      </c>
      <c r="S45" s="8">
        <f t="shared" si="7"/>
        <v>4</v>
      </c>
      <c r="T45" s="8">
        <f t="shared" si="7"/>
        <v>0</v>
      </c>
      <c r="U45" s="8">
        <f t="shared" si="7"/>
        <v>0</v>
      </c>
      <c r="V45" s="8">
        <f t="shared" si="7"/>
        <v>5</v>
      </c>
      <c r="W45" s="8">
        <f t="shared" si="7"/>
        <v>7</v>
      </c>
      <c r="X45" s="8">
        <f t="shared" si="7"/>
        <v>5</v>
      </c>
      <c r="Y45" s="8">
        <f t="shared" si="7"/>
        <v>0</v>
      </c>
      <c r="Z45" s="8">
        <f t="shared" si="7"/>
        <v>8</v>
      </c>
      <c r="AA45" s="8">
        <f t="shared" si="7"/>
        <v>6</v>
      </c>
      <c r="AB45" s="8">
        <f t="shared" si="7"/>
        <v>6</v>
      </c>
      <c r="AC45" s="8">
        <f t="shared" si="7"/>
        <v>0</v>
      </c>
      <c r="AD45" s="8">
        <f t="shared" si="7"/>
        <v>0</v>
      </c>
      <c r="AE45" s="8">
        <f t="shared" si="7"/>
        <v>6</v>
      </c>
      <c r="AF45" s="8">
        <f t="shared" si="7"/>
        <v>8</v>
      </c>
      <c r="AG45" s="8">
        <f t="shared" si="7"/>
        <v>8</v>
      </c>
      <c r="AH45" s="8">
        <f t="shared" si="7"/>
        <v>0</v>
      </c>
      <c r="AI45" s="8">
        <f t="shared" si="7"/>
        <v>0</v>
      </c>
      <c r="AJ45" s="8">
        <f t="shared" si="7"/>
        <v>0</v>
      </c>
      <c r="AK45" s="8">
        <f t="shared" si="7"/>
        <v>0</v>
      </c>
      <c r="AL45" s="8">
        <f t="shared" si="7"/>
        <v>0</v>
      </c>
      <c r="AM45" s="8">
        <f t="shared" si="7"/>
        <v>0</v>
      </c>
      <c r="AN45" s="8">
        <f t="shared" si="7"/>
        <v>0</v>
      </c>
      <c r="AO45" s="8">
        <f t="shared" si="7"/>
        <v>0</v>
      </c>
      <c r="AP45" s="8">
        <f t="shared" si="7"/>
        <v>0</v>
      </c>
      <c r="AQ45" s="8">
        <f t="shared" si="7"/>
        <v>0</v>
      </c>
      <c r="AR45" s="8">
        <f t="shared" si="7"/>
        <v>0</v>
      </c>
      <c r="AS45" s="8">
        <f t="shared" si="7"/>
        <v>0</v>
      </c>
      <c r="AT45" s="8">
        <f t="shared" si="7"/>
        <v>0</v>
      </c>
    </row>
    <row r="46" spans="1:47">
      <c r="A46"/>
      <c r="B46"/>
      <c r="AQ46"/>
    </row>
    <row r="47" spans="1:47" ht="18" customHeight="1">
      <c r="A47" s="93" t="s">
        <v>71</v>
      </c>
      <c r="B47" s="97" t="s">
        <v>71</v>
      </c>
      <c r="C47" s="98"/>
      <c r="E47" s="6" t="s">
        <v>4</v>
      </c>
      <c r="F47" s="15" t="s">
        <v>5</v>
      </c>
      <c r="G47" s="6" t="s">
        <v>6</v>
      </c>
      <c r="H47" s="15" t="s">
        <v>7</v>
      </c>
      <c r="I47" s="6" t="s">
        <v>8</v>
      </c>
      <c r="J47" s="15" t="s">
        <v>9</v>
      </c>
      <c r="K47" s="27" t="s">
        <v>10</v>
      </c>
      <c r="L47" s="27" t="s">
        <v>10</v>
      </c>
      <c r="M47" s="6" t="s">
        <v>11</v>
      </c>
      <c r="N47" s="15" t="s">
        <v>12</v>
      </c>
      <c r="O47" s="6" t="s">
        <v>13</v>
      </c>
      <c r="P47" s="15" t="s">
        <v>14</v>
      </c>
      <c r="Q47" s="6" t="s">
        <v>15</v>
      </c>
      <c r="R47" s="6" t="s">
        <v>16</v>
      </c>
      <c r="S47" s="6" t="s">
        <v>17</v>
      </c>
      <c r="T47" s="27" t="s">
        <v>10</v>
      </c>
      <c r="U47" s="27" t="s">
        <v>10</v>
      </c>
      <c r="V47" s="15" t="s">
        <v>18</v>
      </c>
      <c r="W47" s="6" t="s">
        <v>19</v>
      </c>
      <c r="X47" s="15" t="s">
        <v>20</v>
      </c>
      <c r="Y47" s="6" t="s">
        <v>21</v>
      </c>
      <c r="Z47" s="15" t="s">
        <v>22</v>
      </c>
      <c r="AA47" s="6" t="s">
        <v>23</v>
      </c>
      <c r="AB47" s="15" t="s">
        <v>24</v>
      </c>
      <c r="AC47" s="27" t="s">
        <v>10</v>
      </c>
      <c r="AD47" s="27" t="s">
        <v>10</v>
      </c>
      <c r="AE47" s="6" t="s">
        <v>25</v>
      </c>
      <c r="AF47" s="15" t="s">
        <v>26</v>
      </c>
      <c r="AG47" s="6" t="s">
        <v>27</v>
      </c>
      <c r="AH47" s="6" t="s">
        <v>28</v>
      </c>
      <c r="AI47" s="15" t="s">
        <v>29</v>
      </c>
      <c r="AJ47" s="6" t="s">
        <v>30</v>
      </c>
      <c r="AK47" s="27" t="s">
        <v>10</v>
      </c>
      <c r="AL47" s="27" t="s">
        <v>10</v>
      </c>
      <c r="AM47" s="15" t="s">
        <v>31</v>
      </c>
      <c r="AN47" s="14" t="s">
        <v>32</v>
      </c>
      <c r="AO47" s="15" t="s">
        <v>33</v>
      </c>
      <c r="AP47" s="14" t="s">
        <v>34</v>
      </c>
      <c r="AQ47" s="14" t="s">
        <v>35</v>
      </c>
      <c r="AR47" s="14" t="s">
        <v>36</v>
      </c>
      <c r="AS47" s="14" t="s">
        <v>37</v>
      </c>
      <c r="AT47" s="14" t="s">
        <v>38</v>
      </c>
      <c r="AU47" s="1">
        <f>SUM(E47:AT47)</f>
        <v>0</v>
      </c>
    </row>
    <row r="48" spans="1:47">
      <c r="A48" s="93"/>
      <c r="B48" s="34">
        <v>1</v>
      </c>
      <c r="C48" s="54" t="s">
        <v>72</v>
      </c>
      <c r="D48" s="54" t="s">
        <v>40</v>
      </c>
      <c r="E48" s="47">
        <v>1</v>
      </c>
      <c r="F48" s="47">
        <v>1</v>
      </c>
      <c r="G48" s="47">
        <v>1</v>
      </c>
      <c r="H48" s="47">
        <v>0</v>
      </c>
      <c r="I48" s="47">
        <v>1</v>
      </c>
      <c r="J48" s="47">
        <v>1</v>
      </c>
      <c r="K48" s="49"/>
      <c r="L48" s="49"/>
      <c r="M48" s="47">
        <v>1</v>
      </c>
      <c r="N48" s="47">
        <v>1</v>
      </c>
      <c r="O48" s="47">
        <v>1</v>
      </c>
      <c r="P48" s="47">
        <v>1</v>
      </c>
      <c r="Q48" s="47">
        <v>0</v>
      </c>
      <c r="R48" s="85" t="s">
        <v>61</v>
      </c>
      <c r="S48" s="47">
        <v>1</v>
      </c>
      <c r="T48" s="49"/>
      <c r="U48" s="49"/>
      <c r="V48" s="47">
        <v>1</v>
      </c>
      <c r="W48" s="47">
        <v>1</v>
      </c>
      <c r="X48" s="47">
        <v>1</v>
      </c>
      <c r="Y48" s="85" t="s">
        <v>61</v>
      </c>
      <c r="Z48" s="47">
        <v>1</v>
      </c>
      <c r="AA48" s="47">
        <v>0</v>
      </c>
      <c r="AB48" s="47">
        <v>1</v>
      </c>
      <c r="AC48" s="49"/>
      <c r="AD48" s="49"/>
      <c r="AE48" s="47">
        <v>0</v>
      </c>
      <c r="AF48" s="47">
        <v>1</v>
      </c>
      <c r="AG48" s="47">
        <v>1</v>
      </c>
      <c r="AH48" s="48"/>
      <c r="AI48" s="48"/>
      <c r="AJ48" s="48"/>
      <c r="AK48" s="49"/>
      <c r="AL48" s="49"/>
      <c r="AM48" s="48"/>
      <c r="AN48" s="48"/>
      <c r="AO48" s="48"/>
      <c r="AP48" s="48"/>
      <c r="AQ48" s="48"/>
      <c r="AR48" s="48"/>
      <c r="AS48" s="48"/>
      <c r="AT48" s="48"/>
      <c r="AU48" s="1">
        <f>SUM(E48:AT48)</f>
        <v>17</v>
      </c>
    </row>
    <row r="49" spans="1:47">
      <c r="A49" s="93"/>
      <c r="B49" s="34">
        <v>2</v>
      </c>
      <c r="C49" s="54" t="s">
        <v>73</v>
      </c>
      <c r="D49" s="54" t="s">
        <v>40</v>
      </c>
      <c r="E49" s="50">
        <v>1</v>
      </c>
      <c r="F49" s="50">
        <v>1</v>
      </c>
      <c r="G49" s="50">
        <v>1</v>
      </c>
      <c r="H49" s="50">
        <v>1</v>
      </c>
      <c r="I49" s="50">
        <v>1</v>
      </c>
      <c r="J49" s="50">
        <v>1</v>
      </c>
      <c r="K49" s="52"/>
      <c r="L49" s="52"/>
      <c r="M49" s="50">
        <v>1</v>
      </c>
      <c r="N49" s="50">
        <v>1</v>
      </c>
      <c r="O49" s="50">
        <v>1</v>
      </c>
      <c r="P49" s="50">
        <v>1</v>
      </c>
      <c r="Q49" s="50">
        <v>1</v>
      </c>
      <c r="R49" s="86" t="s">
        <v>63</v>
      </c>
      <c r="S49" s="50">
        <v>1</v>
      </c>
      <c r="T49" s="52"/>
      <c r="U49" s="52"/>
      <c r="V49" s="50">
        <v>1</v>
      </c>
      <c r="W49" s="50">
        <v>1</v>
      </c>
      <c r="X49" s="50">
        <v>0</v>
      </c>
      <c r="Y49" s="86" t="s">
        <v>64</v>
      </c>
      <c r="Z49" s="50">
        <v>1</v>
      </c>
      <c r="AA49" s="50">
        <v>1</v>
      </c>
      <c r="AB49" s="50">
        <v>1</v>
      </c>
      <c r="AC49" s="52"/>
      <c r="AD49" s="52"/>
      <c r="AE49" s="50">
        <v>1</v>
      </c>
      <c r="AF49" s="50">
        <v>1</v>
      </c>
      <c r="AG49" s="50">
        <v>1</v>
      </c>
      <c r="AH49" s="51"/>
      <c r="AI49" s="51"/>
      <c r="AJ49" s="51"/>
      <c r="AK49" s="52"/>
      <c r="AL49" s="52"/>
      <c r="AM49" s="51"/>
      <c r="AN49" s="51"/>
      <c r="AO49" s="51"/>
      <c r="AP49" s="51"/>
      <c r="AQ49" s="51"/>
      <c r="AR49" s="51"/>
      <c r="AS49" s="51"/>
      <c r="AT49" s="51"/>
      <c r="AU49" s="1">
        <f>SUM(E49:AT49)</f>
        <v>20</v>
      </c>
    </row>
    <row r="50" spans="1:47">
      <c r="A50" s="93"/>
      <c r="B50" s="34">
        <v>3</v>
      </c>
      <c r="C50" s="54" t="s">
        <v>74</v>
      </c>
      <c r="D50" s="54" t="s">
        <v>40</v>
      </c>
      <c r="E50" s="50">
        <v>1</v>
      </c>
      <c r="F50" s="50">
        <v>1</v>
      </c>
      <c r="G50" s="50">
        <v>1</v>
      </c>
      <c r="H50" s="50">
        <v>1</v>
      </c>
      <c r="I50" s="50">
        <v>1</v>
      </c>
      <c r="J50" s="50">
        <v>1</v>
      </c>
      <c r="K50" s="52"/>
      <c r="L50" s="52"/>
      <c r="M50" s="50">
        <v>1</v>
      </c>
      <c r="N50" s="50">
        <v>1</v>
      </c>
      <c r="O50" s="50">
        <v>1</v>
      </c>
      <c r="P50" s="50">
        <v>1</v>
      </c>
      <c r="Q50" s="50">
        <v>1</v>
      </c>
      <c r="R50" s="78"/>
      <c r="S50" s="50">
        <v>1</v>
      </c>
      <c r="T50" s="52"/>
      <c r="U50" s="52"/>
      <c r="V50" s="50">
        <v>0</v>
      </c>
      <c r="W50" s="50">
        <v>1</v>
      </c>
      <c r="X50" s="50">
        <v>1</v>
      </c>
      <c r="Y50" s="78"/>
      <c r="Z50" s="50">
        <v>1</v>
      </c>
      <c r="AA50" s="50">
        <v>0</v>
      </c>
      <c r="AB50" s="50">
        <v>1</v>
      </c>
      <c r="AC50" s="52"/>
      <c r="AD50" s="52"/>
      <c r="AE50" s="50">
        <v>1</v>
      </c>
      <c r="AF50" s="50">
        <v>1</v>
      </c>
      <c r="AG50" s="50">
        <v>1</v>
      </c>
      <c r="AH50" s="51"/>
      <c r="AI50" s="51"/>
      <c r="AJ50" s="51"/>
      <c r="AK50" s="52"/>
      <c r="AL50" s="52"/>
      <c r="AM50" s="51"/>
      <c r="AN50" s="51"/>
      <c r="AO50" s="51"/>
      <c r="AP50" s="51"/>
      <c r="AQ50" s="51"/>
      <c r="AR50" s="51"/>
      <c r="AS50" s="51"/>
      <c r="AT50" s="51"/>
      <c r="AU50" s="1">
        <f>SUM(E50:AT50)</f>
        <v>19</v>
      </c>
    </row>
    <row r="51" spans="1:47">
      <c r="A51" s="93"/>
      <c r="B51" s="34">
        <v>4</v>
      </c>
      <c r="C51" s="54" t="s">
        <v>75</v>
      </c>
      <c r="D51" s="54" t="s">
        <v>40</v>
      </c>
      <c r="E51" s="50">
        <v>1</v>
      </c>
      <c r="F51" s="50">
        <v>1</v>
      </c>
      <c r="G51" s="50">
        <v>1</v>
      </c>
      <c r="H51" s="50">
        <v>1</v>
      </c>
      <c r="I51" s="50">
        <v>1</v>
      </c>
      <c r="J51" s="50">
        <v>1</v>
      </c>
      <c r="K51" s="52"/>
      <c r="L51" s="52"/>
      <c r="M51" s="50">
        <v>1</v>
      </c>
      <c r="N51" s="50">
        <v>1</v>
      </c>
      <c r="O51" s="50">
        <v>1</v>
      </c>
      <c r="P51" s="50">
        <v>0</v>
      </c>
      <c r="Q51" s="50">
        <v>0.5</v>
      </c>
      <c r="R51" s="78"/>
      <c r="S51" s="50">
        <v>0</v>
      </c>
      <c r="T51" s="52"/>
      <c r="U51" s="52"/>
      <c r="V51" s="50">
        <v>1</v>
      </c>
      <c r="W51" s="50">
        <v>1</v>
      </c>
      <c r="X51" s="50">
        <v>1</v>
      </c>
      <c r="Y51" s="78"/>
      <c r="Z51" s="50">
        <v>1</v>
      </c>
      <c r="AA51" s="50">
        <v>1</v>
      </c>
      <c r="AB51" s="50">
        <v>1</v>
      </c>
      <c r="AC51" s="52"/>
      <c r="AD51" s="52"/>
      <c r="AE51" s="50">
        <v>1</v>
      </c>
      <c r="AF51" s="50">
        <v>1</v>
      </c>
      <c r="AG51" s="50">
        <v>1</v>
      </c>
      <c r="AH51" s="51"/>
      <c r="AI51" s="51"/>
      <c r="AJ51" s="51"/>
      <c r="AK51" s="52"/>
      <c r="AL51" s="52"/>
      <c r="AM51" s="51"/>
      <c r="AN51" s="51"/>
      <c r="AO51" s="51"/>
      <c r="AP51" s="51"/>
      <c r="AQ51" s="51"/>
      <c r="AR51" s="51"/>
      <c r="AS51" s="51"/>
      <c r="AT51" s="51"/>
      <c r="AU51" s="1">
        <f>SUM(E51:AT51)</f>
        <v>18.5</v>
      </c>
    </row>
    <row r="52" spans="1:47">
      <c r="A52" s="93"/>
      <c r="B52" s="34">
        <v>5</v>
      </c>
      <c r="C52" s="54" t="s">
        <v>76</v>
      </c>
      <c r="D52" s="54" t="s">
        <v>40</v>
      </c>
      <c r="E52" s="50">
        <v>1</v>
      </c>
      <c r="F52" s="50">
        <v>1</v>
      </c>
      <c r="G52" s="50">
        <v>1</v>
      </c>
      <c r="H52" s="50">
        <v>1</v>
      </c>
      <c r="I52" s="50">
        <v>1</v>
      </c>
      <c r="J52" s="50">
        <v>1</v>
      </c>
      <c r="K52" s="52"/>
      <c r="L52" s="52"/>
      <c r="M52" s="50">
        <v>0</v>
      </c>
      <c r="N52" s="50">
        <v>1</v>
      </c>
      <c r="O52" s="50">
        <v>1</v>
      </c>
      <c r="P52" s="50">
        <v>1</v>
      </c>
      <c r="Q52" s="50">
        <v>1</v>
      </c>
      <c r="R52" s="78"/>
      <c r="S52" s="50">
        <v>1</v>
      </c>
      <c r="T52" s="52"/>
      <c r="U52" s="52"/>
      <c r="V52" s="50">
        <v>1</v>
      </c>
      <c r="W52" s="50">
        <v>1</v>
      </c>
      <c r="X52" s="50">
        <v>1</v>
      </c>
      <c r="Y52" s="78"/>
      <c r="Z52" s="50">
        <v>1</v>
      </c>
      <c r="AA52" s="50">
        <v>1</v>
      </c>
      <c r="AB52" s="50">
        <v>1</v>
      </c>
      <c r="AC52" s="52"/>
      <c r="AD52" s="52"/>
      <c r="AE52" s="50">
        <v>1</v>
      </c>
      <c r="AF52" s="50">
        <v>1</v>
      </c>
      <c r="AG52" s="50">
        <v>1</v>
      </c>
      <c r="AH52" s="51"/>
      <c r="AI52" s="51"/>
      <c r="AJ52" s="51"/>
      <c r="AK52" s="52"/>
      <c r="AL52" s="52"/>
      <c r="AM52" s="51"/>
      <c r="AN52" s="51"/>
      <c r="AO52" s="51"/>
      <c r="AP52" s="51"/>
      <c r="AQ52" s="51"/>
      <c r="AR52" s="51"/>
      <c r="AS52" s="51"/>
      <c r="AT52" s="51"/>
      <c r="AU52" s="1">
        <f>SUM(E52:AT52)</f>
        <v>20</v>
      </c>
    </row>
    <row r="53" spans="1:47">
      <c r="A53" s="93"/>
      <c r="B53" s="34">
        <v>6</v>
      </c>
      <c r="C53" s="54" t="s">
        <v>77</v>
      </c>
      <c r="D53" s="54" t="s">
        <v>40</v>
      </c>
      <c r="E53" s="50">
        <v>1</v>
      </c>
      <c r="F53" s="50">
        <v>1</v>
      </c>
      <c r="G53" s="50">
        <v>1</v>
      </c>
      <c r="H53" s="50">
        <v>1</v>
      </c>
      <c r="I53" s="50">
        <v>1</v>
      </c>
      <c r="J53" s="50">
        <v>1</v>
      </c>
      <c r="K53" s="52"/>
      <c r="L53" s="52"/>
      <c r="M53" s="50">
        <v>1</v>
      </c>
      <c r="N53" s="50">
        <v>1</v>
      </c>
      <c r="O53" s="50">
        <v>1</v>
      </c>
      <c r="P53" s="50">
        <v>1</v>
      </c>
      <c r="Q53" s="50">
        <v>1</v>
      </c>
      <c r="R53" s="78"/>
      <c r="S53" s="50">
        <v>1</v>
      </c>
      <c r="T53" s="52"/>
      <c r="U53" s="52"/>
      <c r="V53" s="50">
        <v>1</v>
      </c>
      <c r="W53" s="50">
        <v>1</v>
      </c>
      <c r="X53" s="50">
        <v>0</v>
      </c>
      <c r="Y53" s="78"/>
      <c r="Z53" s="50">
        <v>1</v>
      </c>
      <c r="AA53" s="50">
        <v>1</v>
      </c>
      <c r="AB53" s="50">
        <v>1</v>
      </c>
      <c r="AC53" s="52"/>
      <c r="AD53" s="52"/>
      <c r="AE53" s="50">
        <v>1</v>
      </c>
      <c r="AF53" s="50">
        <v>1</v>
      </c>
      <c r="AG53" s="50">
        <v>1</v>
      </c>
      <c r="AH53" s="51"/>
      <c r="AI53" s="51"/>
      <c r="AJ53" s="51"/>
      <c r="AK53" s="52"/>
      <c r="AL53" s="52"/>
      <c r="AM53" s="51"/>
      <c r="AN53" s="51"/>
      <c r="AO53" s="51"/>
      <c r="AP53" s="51"/>
      <c r="AQ53" s="51"/>
      <c r="AR53" s="51"/>
      <c r="AS53" s="51"/>
      <c r="AT53" s="51"/>
      <c r="AU53" s="1">
        <f>SUM(E53:AT53)</f>
        <v>20</v>
      </c>
    </row>
    <row r="54" spans="1:47">
      <c r="A54" s="93"/>
      <c r="B54" s="34">
        <v>7</v>
      </c>
      <c r="C54" s="54" t="s">
        <v>78</v>
      </c>
      <c r="D54" s="54" t="s">
        <v>40</v>
      </c>
      <c r="E54" s="50">
        <v>0</v>
      </c>
      <c r="F54" s="50">
        <v>1</v>
      </c>
      <c r="G54" s="50">
        <v>1</v>
      </c>
      <c r="H54" s="50">
        <v>1</v>
      </c>
      <c r="I54" s="50">
        <v>1</v>
      </c>
      <c r="J54" s="50">
        <v>1</v>
      </c>
      <c r="K54" s="52"/>
      <c r="L54" s="52"/>
      <c r="M54" s="50">
        <v>1</v>
      </c>
      <c r="N54" s="50">
        <v>1</v>
      </c>
      <c r="O54" s="50">
        <v>1</v>
      </c>
      <c r="P54" s="50">
        <v>0</v>
      </c>
      <c r="Q54" s="50">
        <v>1</v>
      </c>
      <c r="R54" s="78"/>
      <c r="S54" s="50">
        <v>0</v>
      </c>
      <c r="T54" s="52"/>
      <c r="U54" s="52"/>
      <c r="V54" s="50">
        <v>1</v>
      </c>
      <c r="W54" s="50">
        <v>1</v>
      </c>
      <c r="X54" s="50">
        <v>1</v>
      </c>
      <c r="Y54" s="78"/>
      <c r="Z54" s="50">
        <v>1</v>
      </c>
      <c r="AA54" s="50">
        <v>1</v>
      </c>
      <c r="AB54" s="50">
        <v>1</v>
      </c>
      <c r="AC54" s="52"/>
      <c r="AD54" s="52"/>
      <c r="AE54" s="50">
        <v>1</v>
      </c>
      <c r="AF54" s="50">
        <v>1</v>
      </c>
      <c r="AG54" s="50">
        <v>1</v>
      </c>
      <c r="AH54" s="51"/>
      <c r="AI54" s="51"/>
      <c r="AJ54" s="51"/>
      <c r="AK54" s="52"/>
      <c r="AL54" s="52"/>
      <c r="AM54" s="51"/>
      <c r="AN54" s="51"/>
      <c r="AO54" s="51"/>
      <c r="AP54" s="51"/>
      <c r="AQ54" s="51"/>
      <c r="AR54" s="51"/>
      <c r="AS54" s="51"/>
      <c r="AT54" s="51"/>
      <c r="AU54" s="1">
        <f>SUM(E54:AT54)</f>
        <v>18</v>
      </c>
    </row>
    <row r="55" spans="1:47">
      <c r="A55" s="93"/>
      <c r="B55" s="34">
        <v>8</v>
      </c>
      <c r="C55" s="75" t="s">
        <v>79</v>
      </c>
      <c r="D55" s="75" t="s">
        <v>40</v>
      </c>
      <c r="E55" s="74">
        <v>0</v>
      </c>
      <c r="F55" s="74">
        <v>1</v>
      </c>
      <c r="G55" s="74">
        <v>1</v>
      </c>
      <c r="H55" s="74">
        <v>0</v>
      </c>
      <c r="I55" s="74">
        <v>1</v>
      </c>
      <c r="J55" s="74">
        <v>1</v>
      </c>
      <c r="K55" s="52"/>
      <c r="L55" s="52"/>
      <c r="M55" s="74">
        <v>1</v>
      </c>
      <c r="N55" s="74">
        <v>1</v>
      </c>
      <c r="O55" s="74">
        <v>1</v>
      </c>
      <c r="P55" s="50">
        <v>1</v>
      </c>
      <c r="Q55" s="50">
        <v>1</v>
      </c>
      <c r="R55" s="78"/>
      <c r="S55" s="50">
        <v>0</v>
      </c>
      <c r="T55" s="52"/>
      <c r="U55" s="52"/>
      <c r="V55" s="50">
        <v>1</v>
      </c>
      <c r="W55" s="50">
        <v>0</v>
      </c>
      <c r="X55" s="50">
        <v>0</v>
      </c>
      <c r="Y55" s="78"/>
      <c r="Z55" s="50">
        <v>1</v>
      </c>
      <c r="AA55" s="50">
        <v>1</v>
      </c>
      <c r="AB55" s="50">
        <v>0</v>
      </c>
      <c r="AC55" s="52"/>
      <c r="AD55" s="52"/>
      <c r="AE55" s="50">
        <v>1</v>
      </c>
      <c r="AF55" s="50">
        <v>1</v>
      </c>
      <c r="AG55" s="50">
        <v>1</v>
      </c>
      <c r="AH55" s="51"/>
      <c r="AI55" s="51"/>
      <c r="AJ55" s="51"/>
      <c r="AK55" s="52"/>
      <c r="AL55" s="52"/>
      <c r="AM55" s="51"/>
      <c r="AN55" s="51"/>
      <c r="AO55" s="51"/>
      <c r="AP55" s="51"/>
      <c r="AQ55" s="51"/>
      <c r="AR55" s="51"/>
      <c r="AS55" s="51"/>
      <c r="AT55" s="51"/>
      <c r="AU55" s="1">
        <f>SUM(E55:AT55)</f>
        <v>15</v>
      </c>
    </row>
    <row r="56" spans="1:47" ht="15" customHeight="1">
      <c r="A56" s="93"/>
      <c r="B56" s="34">
        <v>9</v>
      </c>
      <c r="C56" s="75" t="s">
        <v>80</v>
      </c>
      <c r="D56" s="75" t="s">
        <v>40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  <c r="K56" s="52"/>
      <c r="L56" s="52"/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8"/>
      <c r="S56" s="50">
        <v>1</v>
      </c>
      <c r="T56" s="52"/>
      <c r="U56" s="52"/>
      <c r="V56" s="74">
        <v>1</v>
      </c>
      <c r="W56" s="74">
        <v>1</v>
      </c>
      <c r="X56" s="74">
        <v>1</v>
      </c>
      <c r="Y56" s="78"/>
      <c r="Z56" s="74">
        <v>1</v>
      </c>
      <c r="AA56" s="74">
        <v>0</v>
      </c>
      <c r="AB56" s="74">
        <v>1</v>
      </c>
      <c r="AC56" s="52"/>
      <c r="AD56" s="52"/>
      <c r="AE56" s="74">
        <v>0</v>
      </c>
      <c r="AF56" s="74">
        <v>1</v>
      </c>
      <c r="AG56" s="74"/>
      <c r="AH56" s="76"/>
      <c r="AI56" s="76"/>
      <c r="AJ56" s="76"/>
      <c r="AK56" s="52"/>
      <c r="AL56" s="52"/>
      <c r="AM56" s="76"/>
      <c r="AN56" s="51"/>
      <c r="AO56" s="51"/>
      <c r="AP56" s="51"/>
      <c r="AQ56" s="51"/>
      <c r="AR56" s="51"/>
      <c r="AS56" s="51"/>
      <c r="AT56" s="51"/>
      <c r="AU56" s="1">
        <f>SUM(E56:AT56)</f>
        <v>7</v>
      </c>
    </row>
    <row r="57" spans="1:47" ht="15" customHeight="1">
      <c r="A57" s="93"/>
      <c r="B57" s="34">
        <v>10</v>
      </c>
      <c r="C57" s="75" t="s">
        <v>81</v>
      </c>
      <c r="D57" s="75" t="s">
        <v>40</v>
      </c>
      <c r="E57" s="74">
        <v>0</v>
      </c>
      <c r="F57" s="74">
        <v>0</v>
      </c>
      <c r="G57" s="74">
        <v>0</v>
      </c>
      <c r="H57" s="74">
        <v>0</v>
      </c>
      <c r="I57" s="74">
        <v>0</v>
      </c>
      <c r="J57" s="74">
        <v>0</v>
      </c>
      <c r="K57" s="52"/>
      <c r="L57" s="52"/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8"/>
      <c r="S57" s="50">
        <v>0</v>
      </c>
      <c r="T57" s="52"/>
      <c r="U57" s="52"/>
      <c r="V57" s="74">
        <v>0</v>
      </c>
      <c r="W57" s="74">
        <v>1</v>
      </c>
      <c r="X57" s="74">
        <v>1</v>
      </c>
      <c r="Y57" s="78"/>
      <c r="Z57" s="74">
        <v>1</v>
      </c>
      <c r="AA57" s="74">
        <v>1</v>
      </c>
      <c r="AB57" s="74">
        <v>0</v>
      </c>
      <c r="AC57" s="52"/>
      <c r="AD57" s="52"/>
      <c r="AE57" s="74">
        <v>1</v>
      </c>
      <c r="AF57" s="74">
        <v>1</v>
      </c>
      <c r="AG57" s="74">
        <v>1</v>
      </c>
      <c r="AH57" s="76"/>
      <c r="AI57" s="76"/>
      <c r="AJ57" s="76"/>
      <c r="AK57" s="52"/>
      <c r="AL57" s="52"/>
      <c r="AM57" s="76"/>
      <c r="AN57" s="51"/>
      <c r="AO57" s="51"/>
      <c r="AP57" s="51"/>
      <c r="AQ57" s="51"/>
      <c r="AR57" s="51"/>
      <c r="AS57" s="51"/>
      <c r="AT57" s="51"/>
      <c r="AU57" s="1"/>
    </row>
    <row r="58" spans="1:47" ht="15" customHeight="1">
      <c r="A58" s="93"/>
      <c r="B58" s="35"/>
      <c r="C58" s="58" t="s">
        <v>82</v>
      </c>
      <c r="D58" s="58" t="s">
        <v>40</v>
      </c>
      <c r="E58" s="57">
        <v>1</v>
      </c>
      <c r="F58" s="57">
        <v>1</v>
      </c>
      <c r="G58" s="57">
        <v>1</v>
      </c>
      <c r="H58" s="57">
        <v>0</v>
      </c>
      <c r="I58" s="57">
        <v>1</v>
      </c>
      <c r="J58" s="57">
        <v>1</v>
      </c>
      <c r="K58" s="52"/>
      <c r="L58" s="52"/>
      <c r="M58" s="57">
        <v>1</v>
      </c>
      <c r="N58" s="57">
        <v>1</v>
      </c>
      <c r="O58" s="57" t="s">
        <v>83</v>
      </c>
      <c r="P58" s="57"/>
      <c r="Q58" s="57"/>
      <c r="R58" s="57"/>
      <c r="S58" s="57"/>
      <c r="T58" s="52"/>
      <c r="U58" s="52"/>
      <c r="V58" s="57"/>
      <c r="W58" s="57"/>
      <c r="X58" s="57"/>
      <c r="Y58" s="57"/>
      <c r="Z58" s="57"/>
      <c r="AA58" s="57"/>
      <c r="AB58" s="57"/>
      <c r="AC58" s="52"/>
      <c r="AD58" s="52"/>
      <c r="AE58" s="57"/>
      <c r="AF58" s="57"/>
      <c r="AG58" s="57"/>
      <c r="AH58" s="57"/>
      <c r="AI58" s="57"/>
      <c r="AJ58" s="57"/>
      <c r="AK58" s="52"/>
      <c r="AL58" s="52"/>
      <c r="AM58" s="57"/>
      <c r="AN58" s="57"/>
      <c r="AO58" s="57"/>
      <c r="AP58" s="57"/>
      <c r="AQ58" s="57"/>
      <c r="AR58" s="57"/>
      <c r="AS58" s="57"/>
      <c r="AT58" s="57"/>
    </row>
    <row r="59" spans="1:47" ht="15" customHeight="1">
      <c r="A59" s="3"/>
      <c r="B59" s="68">
        <v>10</v>
      </c>
      <c r="C59" s="12" t="s">
        <v>84</v>
      </c>
      <c r="D59" s="7"/>
      <c r="E59" s="8">
        <f>SUM(E48:E58)</f>
        <v>7</v>
      </c>
      <c r="F59" s="8">
        <f t="shared" ref="F59:AT59" si="8">SUM(F48:F58)</f>
        <v>9</v>
      </c>
      <c r="G59" s="8">
        <f t="shared" si="8"/>
        <v>9</v>
      </c>
      <c r="H59" s="8">
        <f t="shared" si="8"/>
        <v>6</v>
      </c>
      <c r="I59" s="8">
        <f t="shared" si="8"/>
        <v>9</v>
      </c>
      <c r="J59" s="8">
        <f t="shared" si="8"/>
        <v>9</v>
      </c>
      <c r="K59" s="8">
        <f t="shared" si="8"/>
        <v>0</v>
      </c>
      <c r="L59" s="8">
        <f t="shared" si="8"/>
        <v>0</v>
      </c>
      <c r="M59" s="8">
        <f t="shared" si="8"/>
        <v>8</v>
      </c>
      <c r="N59" s="8">
        <f t="shared" si="8"/>
        <v>9</v>
      </c>
      <c r="O59" s="8">
        <f t="shared" si="8"/>
        <v>8</v>
      </c>
      <c r="P59" s="8">
        <f t="shared" si="8"/>
        <v>6</v>
      </c>
      <c r="Q59" s="8">
        <f t="shared" si="8"/>
        <v>6.5</v>
      </c>
      <c r="R59" s="8">
        <f t="shared" si="8"/>
        <v>0</v>
      </c>
      <c r="S59" s="8">
        <f t="shared" si="8"/>
        <v>6</v>
      </c>
      <c r="T59" s="8">
        <f t="shared" si="8"/>
        <v>0</v>
      </c>
      <c r="U59" s="8">
        <f t="shared" si="8"/>
        <v>0</v>
      </c>
      <c r="V59" s="8">
        <f t="shared" si="8"/>
        <v>8</v>
      </c>
      <c r="W59" s="8">
        <f t="shared" si="8"/>
        <v>9</v>
      </c>
      <c r="X59" s="8">
        <f t="shared" si="8"/>
        <v>7</v>
      </c>
      <c r="Y59" s="8">
        <f t="shared" si="8"/>
        <v>0</v>
      </c>
      <c r="Z59" s="8">
        <f t="shared" si="8"/>
        <v>10</v>
      </c>
      <c r="AA59" s="8">
        <f t="shared" si="8"/>
        <v>7</v>
      </c>
      <c r="AB59" s="8">
        <f t="shared" si="8"/>
        <v>8</v>
      </c>
      <c r="AC59" s="8">
        <f t="shared" si="8"/>
        <v>0</v>
      </c>
      <c r="AD59" s="8">
        <f t="shared" si="8"/>
        <v>0</v>
      </c>
      <c r="AE59" s="8">
        <f t="shared" si="8"/>
        <v>8</v>
      </c>
      <c r="AF59" s="8">
        <f t="shared" si="8"/>
        <v>10</v>
      </c>
      <c r="AG59" s="8">
        <f t="shared" si="8"/>
        <v>9</v>
      </c>
      <c r="AH59" s="8">
        <f t="shared" si="8"/>
        <v>0</v>
      </c>
      <c r="AI59" s="8">
        <f t="shared" si="8"/>
        <v>0</v>
      </c>
      <c r="AJ59" s="8">
        <f t="shared" si="8"/>
        <v>0</v>
      </c>
      <c r="AK59" s="8">
        <f t="shared" si="8"/>
        <v>0</v>
      </c>
      <c r="AL59" s="8">
        <f t="shared" si="8"/>
        <v>0</v>
      </c>
      <c r="AM59" s="8">
        <f t="shared" si="8"/>
        <v>0</v>
      </c>
      <c r="AN59" s="8">
        <f t="shared" si="8"/>
        <v>0</v>
      </c>
      <c r="AO59" s="8">
        <f t="shared" si="8"/>
        <v>0</v>
      </c>
      <c r="AP59" s="8">
        <f t="shared" si="8"/>
        <v>0</v>
      </c>
      <c r="AQ59" s="8">
        <f t="shared" si="8"/>
        <v>0</v>
      </c>
      <c r="AR59" s="8">
        <f t="shared" si="8"/>
        <v>0</v>
      </c>
      <c r="AS59" s="8">
        <f t="shared" si="8"/>
        <v>0</v>
      </c>
      <c r="AT59" s="8">
        <f t="shared" si="8"/>
        <v>0</v>
      </c>
    </row>
    <row r="62" spans="1:47" ht="15" customHeight="1">
      <c r="C62" s="69">
        <f>SUM(B17+B30+B45+B59)</f>
        <v>34</v>
      </c>
    </row>
  </sheetData>
  <mergeCells count="93">
    <mergeCell ref="C1:AP3"/>
    <mergeCell ref="AN4:AN5"/>
    <mergeCell ref="AO4:AO5"/>
    <mergeCell ref="AP4:AP5"/>
    <mergeCell ref="AM4:AM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E32:E33"/>
    <mergeCell ref="F32:F33"/>
    <mergeCell ref="AR4:AR5"/>
    <mergeCell ref="AS4:AS5"/>
    <mergeCell ref="AH4:AH5"/>
    <mergeCell ref="AI4:AI5"/>
    <mergeCell ref="AJ4:AJ5"/>
    <mergeCell ref="G32:G33"/>
    <mergeCell ref="H32:H33"/>
    <mergeCell ref="AC4:AC5"/>
    <mergeCell ref="AD4:AD5"/>
    <mergeCell ref="AE4:AE5"/>
    <mergeCell ref="AK4:AK5"/>
    <mergeCell ref="AL4:AL5"/>
    <mergeCell ref="AF4:AF5"/>
    <mergeCell ref="AG4:AG5"/>
    <mergeCell ref="AT4:AT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Q4:AQ5"/>
    <mergeCell ref="Y4:Y5"/>
    <mergeCell ref="Z4:Z5"/>
    <mergeCell ref="AA4:AA5"/>
    <mergeCell ref="AB4:AB5"/>
    <mergeCell ref="I32:I33"/>
    <mergeCell ref="J32:J33"/>
    <mergeCell ref="Q32:Q33"/>
    <mergeCell ref="R32:R33"/>
    <mergeCell ref="S32:S33"/>
    <mergeCell ref="T32:T33"/>
    <mergeCell ref="K32:K33"/>
    <mergeCell ref="L32:L33"/>
    <mergeCell ref="M32:M33"/>
    <mergeCell ref="N32:N33"/>
    <mergeCell ref="O32:O33"/>
    <mergeCell ref="P32:P33"/>
    <mergeCell ref="AS32:AS33"/>
    <mergeCell ref="AT32:AT33"/>
    <mergeCell ref="AM32:AM33"/>
    <mergeCell ref="AN32:AN33"/>
    <mergeCell ref="AO32:AO33"/>
    <mergeCell ref="AP32:AP33"/>
    <mergeCell ref="AQ32:AQ33"/>
    <mergeCell ref="AR32:AR33"/>
    <mergeCell ref="AH32:AH33"/>
    <mergeCell ref="AI32:AI33"/>
    <mergeCell ref="AJ32:AJ33"/>
    <mergeCell ref="AK32:AK33"/>
    <mergeCell ref="AL32:AL33"/>
    <mergeCell ref="AC32:AC33"/>
    <mergeCell ref="AD32:AD33"/>
    <mergeCell ref="AG32:AG33"/>
    <mergeCell ref="U32:U33"/>
    <mergeCell ref="V32:V33"/>
    <mergeCell ref="W32:W33"/>
    <mergeCell ref="AE32:AE33"/>
    <mergeCell ref="AF32:AF33"/>
    <mergeCell ref="X32:X33"/>
    <mergeCell ref="Y32:Y33"/>
    <mergeCell ref="Z32:Z33"/>
    <mergeCell ref="AA32:AA33"/>
    <mergeCell ref="AB32:AB33"/>
    <mergeCell ref="A47:A58"/>
    <mergeCell ref="A34:A44"/>
    <mergeCell ref="A19:A29"/>
    <mergeCell ref="A6:A16"/>
    <mergeCell ref="B6:C6"/>
    <mergeCell ref="B34:C34"/>
    <mergeCell ref="B47:C47"/>
    <mergeCell ref="B19:C19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68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F4D-75A8-4FA7-84FE-00C3B0498224}">
  <sheetPr>
    <tabColor theme="1" tint="0.249977111117893"/>
    <pageSetUpPr fitToPage="1"/>
  </sheetPr>
  <dimension ref="A1:AU45"/>
  <sheetViews>
    <sheetView workbookViewId="0">
      <selection activeCell="AG29" sqref="AG29"/>
    </sheetView>
  </sheetViews>
  <sheetFormatPr defaultColWidth="11.42578125" defaultRowHeight="15"/>
  <cols>
    <col min="1" max="1" width="6.5703125" style="2" customWidth="1"/>
    <col min="2" max="2" width="4" style="22" bestFit="1" customWidth="1"/>
    <col min="3" max="3" width="32.42578125" customWidth="1"/>
    <col min="4" max="4" width="4.5703125" bestFit="1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7" ht="14.45" customHeight="1">
      <c r="C1" s="101" t="s">
        <v>85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3"/>
      <c r="AO1" s="13"/>
      <c r="AP1" s="13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3"/>
      <c r="AO2" s="13"/>
      <c r="AP2" s="13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3"/>
      <c r="AO3" s="13"/>
      <c r="AP3" s="13"/>
    </row>
    <row r="4" spans="1:47" ht="21" customHeight="1">
      <c r="C4" s="13"/>
      <c r="D4" s="13"/>
      <c r="E4" s="99">
        <v>45908</v>
      </c>
      <c r="F4" s="99">
        <f>E4+7</f>
        <v>45915</v>
      </c>
      <c r="G4" s="99">
        <f t="shared" ref="G4:AT4" si="0">F4+7</f>
        <v>45922</v>
      </c>
      <c r="H4" s="99">
        <f t="shared" si="0"/>
        <v>45929</v>
      </c>
      <c r="I4" s="99">
        <f t="shared" si="0"/>
        <v>45936</v>
      </c>
      <c r="J4" s="99">
        <f t="shared" si="0"/>
        <v>45943</v>
      </c>
      <c r="K4" s="99">
        <f t="shared" si="0"/>
        <v>45950</v>
      </c>
      <c r="L4" s="99">
        <f t="shared" si="0"/>
        <v>45957</v>
      </c>
      <c r="M4" s="99">
        <f t="shared" si="0"/>
        <v>45964</v>
      </c>
      <c r="N4" s="99">
        <f t="shared" si="0"/>
        <v>45971</v>
      </c>
      <c r="O4" s="99">
        <f t="shared" si="0"/>
        <v>45978</v>
      </c>
      <c r="P4" s="99">
        <f t="shared" si="0"/>
        <v>45985</v>
      </c>
      <c r="Q4" s="99">
        <f t="shared" si="0"/>
        <v>45992</v>
      </c>
      <c r="R4" s="99">
        <f t="shared" si="0"/>
        <v>45999</v>
      </c>
      <c r="S4" s="99">
        <f t="shared" si="0"/>
        <v>46006</v>
      </c>
      <c r="T4" s="99">
        <f t="shared" si="0"/>
        <v>46013</v>
      </c>
      <c r="U4" s="99">
        <f t="shared" si="0"/>
        <v>46020</v>
      </c>
      <c r="V4" s="99">
        <f t="shared" si="0"/>
        <v>46027</v>
      </c>
      <c r="W4" s="99">
        <f t="shared" si="0"/>
        <v>46034</v>
      </c>
      <c r="X4" s="99">
        <f t="shared" si="0"/>
        <v>46041</v>
      </c>
      <c r="Y4" s="99">
        <f t="shared" si="0"/>
        <v>46048</v>
      </c>
      <c r="Z4" s="99">
        <f t="shared" si="0"/>
        <v>46055</v>
      </c>
      <c r="AA4" s="99">
        <f t="shared" si="0"/>
        <v>46062</v>
      </c>
      <c r="AB4" s="99">
        <f t="shared" si="0"/>
        <v>46069</v>
      </c>
      <c r="AC4" s="99">
        <f t="shared" si="0"/>
        <v>46076</v>
      </c>
      <c r="AD4" s="99">
        <f t="shared" si="0"/>
        <v>46083</v>
      </c>
      <c r="AE4" s="99">
        <f t="shared" si="0"/>
        <v>46090</v>
      </c>
      <c r="AF4" s="99">
        <f t="shared" si="0"/>
        <v>46097</v>
      </c>
      <c r="AG4" s="99">
        <f t="shared" si="0"/>
        <v>46104</v>
      </c>
      <c r="AH4" s="99">
        <f t="shared" si="0"/>
        <v>46111</v>
      </c>
      <c r="AI4" s="99">
        <f t="shared" si="0"/>
        <v>46118</v>
      </c>
      <c r="AJ4" s="99">
        <f t="shared" si="0"/>
        <v>46125</v>
      </c>
      <c r="AK4" s="99">
        <f t="shared" si="0"/>
        <v>46132</v>
      </c>
      <c r="AL4" s="99">
        <f t="shared" si="0"/>
        <v>46139</v>
      </c>
      <c r="AM4" s="99">
        <f t="shared" si="0"/>
        <v>46146</v>
      </c>
      <c r="AN4" s="99">
        <f t="shared" si="0"/>
        <v>46153</v>
      </c>
      <c r="AO4" s="99">
        <f t="shared" si="0"/>
        <v>46160</v>
      </c>
      <c r="AP4" s="99">
        <f t="shared" si="0"/>
        <v>46167</v>
      </c>
      <c r="AQ4" s="99">
        <f t="shared" si="0"/>
        <v>46174</v>
      </c>
      <c r="AR4" s="99">
        <f t="shared" si="0"/>
        <v>46181</v>
      </c>
      <c r="AS4" s="99">
        <f t="shared" si="0"/>
        <v>46188</v>
      </c>
      <c r="AT4" s="99">
        <f t="shared" si="0"/>
        <v>46195</v>
      </c>
    </row>
    <row r="5" spans="1:47" ht="21" customHeight="1"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 ht="15" customHeight="1">
      <c r="A6" s="102" t="s">
        <v>86</v>
      </c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</row>
    <row r="7" spans="1:47" ht="15" customHeight="1">
      <c r="A7" s="102"/>
      <c r="B7" s="23">
        <v>1</v>
      </c>
      <c r="C7" s="33" t="s">
        <v>87</v>
      </c>
      <c r="D7" s="9" t="s">
        <v>88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9"/>
      <c r="L7" s="49"/>
      <c r="M7" s="47">
        <v>1</v>
      </c>
      <c r="N7" s="47">
        <v>0</v>
      </c>
      <c r="O7" s="47">
        <v>1</v>
      </c>
      <c r="P7" s="47">
        <v>1</v>
      </c>
      <c r="Q7" s="47">
        <v>1</v>
      </c>
      <c r="R7" s="47">
        <v>1</v>
      </c>
      <c r="S7" s="47">
        <v>1</v>
      </c>
      <c r="T7" s="49"/>
      <c r="U7" s="49"/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49"/>
      <c r="AD7" s="49"/>
      <c r="AE7" s="47">
        <v>1</v>
      </c>
      <c r="AF7" s="47">
        <v>1</v>
      </c>
      <c r="AG7" s="47">
        <v>1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>SUM(I7:AT7)</f>
        <v>18</v>
      </c>
    </row>
    <row r="8" spans="1:47" ht="15" customHeight="1">
      <c r="A8" s="102"/>
      <c r="B8" s="23">
        <v>2</v>
      </c>
      <c r="C8" s="24" t="s">
        <v>89</v>
      </c>
      <c r="D8" s="9" t="s">
        <v>88</v>
      </c>
      <c r="E8" s="50">
        <v>0</v>
      </c>
      <c r="F8" s="50">
        <v>1</v>
      </c>
      <c r="G8" s="50">
        <v>0</v>
      </c>
      <c r="H8" s="50">
        <v>1</v>
      </c>
      <c r="I8" s="50">
        <v>1</v>
      </c>
      <c r="J8" s="50">
        <v>1</v>
      </c>
      <c r="K8" s="52"/>
      <c r="L8" s="52"/>
      <c r="M8" s="50">
        <v>1</v>
      </c>
      <c r="N8" s="50">
        <v>0</v>
      </c>
      <c r="O8" s="50">
        <v>1</v>
      </c>
      <c r="P8" s="50">
        <v>1</v>
      </c>
      <c r="Q8" s="50">
        <v>1</v>
      </c>
      <c r="R8" s="50">
        <v>0</v>
      </c>
      <c r="S8" s="50">
        <v>1</v>
      </c>
      <c r="T8" s="52"/>
      <c r="U8" s="52"/>
      <c r="V8" s="50">
        <v>1</v>
      </c>
      <c r="W8" s="50">
        <v>0</v>
      </c>
      <c r="X8" s="50">
        <v>1</v>
      </c>
      <c r="Y8" s="50">
        <v>1</v>
      </c>
      <c r="Z8" s="50">
        <v>0</v>
      </c>
      <c r="AA8" s="50">
        <v>1</v>
      </c>
      <c r="AB8" s="50">
        <v>1</v>
      </c>
      <c r="AC8" s="52"/>
      <c r="AD8" s="52"/>
      <c r="AE8" s="50">
        <v>1</v>
      </c>
      <c r="AF8" s="50">
        <v>1</v>
      </c>
      <c r="AG8" s="50">
        <v>1</v>
      </c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ref="AU8:AU22" si="1">SUM(I8:AT8)</f>
        <v>15</v>
      </c>
    </row>
    <row r="9" spans="1:47" ht="15" customHeight="1">
      <c r="A9" s="102"/>
      <c r="B9" s="23">
        <v>3</v>
      </c>
      <c r="C9" s="24" t="s">
        <v>90</v>
      </c>
      <c r="D9" s="9" t="s">
        <v>88</v>
      </c>
      <c r="E9" s="50">
        <v>0</v>
      </c>
      <c r="F9" s="50">
        <v>1</v>
      </c>
      <c r="G9" s="50">
        <v>0</v>
      </c>
      <c r="H9" s="50">
        <v>1</v>
      </c>
      <c r="I9" s="50">
        <v>1</v>
      </c>
      <c r="J9" s="50">
        <v>1</v>
      </c>
      <c r="K9" s="52"/>
      <c r="L9" s="52"/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2"/>
      <c r="U9" s="52"/>
      <c r="V9" s="50">
        <v>0</v>
      </c>
      <c r="W9" s="50">
        <v>1</v>
      </c>
      <c r="X9" s="50">
        <v>1</v>
      </c>
      <c r="Y9" s="50">
        <v>1</v>
      </c>
      <c r="Z9" s="50">
        <v>1</v>
      </c>
      <c r="AA9" s="50">
        <v>1</v>
      </c>
      <c r="AB9" s="50">
        <v>1</v>
      </c>
      <c r="AC9" s="52"/>
      <c r="AD9" s="52"/>
      <c r="AE9" s="50">
        <v>0</v>
      </c>
      <c r="AF9" s="50">
        <v>0</v>
      </c>
      <c r="AG9" s="50">
        <v>0</v>
      </c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15</v>
      </c>
    </row>
    <row r="10" spans="1:47" ht="15" customHeight="1">
      <c r="A10" s="102"/>
      <c r="B10" s="23">
        <v>4</v>
      </c>
      <c r="C10" s="24" t="s">
        <v>91</v>
      </c>
      <c r="D10" s="9" t="s">
        <v>88</v>
      </c>
      <c r="E10" s="50">
        <v>1</v>
      </c>
      <c r="F10" s="50">
        <v>1</v>
      </c>
      <c r="G10" s="50">
        <v>1</v>
      </c>
      <c r="H10" s="50">
        <v>1</v>
      </c>
      <c r="I10" s="50">
        <v>1</v>
      </c>
      <c r="J10" s="50">
        <v>1</v>
      </c>
      <c r="K10" s="52"/>
      <c r="L10" s="52"/>
      <c r="M10" s="50">
        <v>0</v>
      </c>
      <c r="N10" s="50">
        <v>0</v>
      </c>
      <c r="O10" s="50">
        <v>1</v>
      </c>
      <c r="P10" s="50">
        <v>1</v>
      </c>
      <c r="Q10" s="50">
        <v>1</v>
      </c>
      <c r="R10" s="50">
        <v>0</v>
      </c>
      <c r="S10" s="50">
        <v>1</v>
      </c>
      <c r="T10" s="52"/>
      <c r="U10" s="52"/>
      <c r="V10" s="50">
        <v>1</v>
      </c>
      <c r="W10" s="50">
        <v>1</v>
      </c>
      <c r="X10" s="50">
        <v>1</v>
      </c>
      <c r="Y10" s="50">
        <v>1</v>
      </c>
      <c r="Z10" s="50">
        <v>1</v>
      </c>
      <c r="AA10" s="50">
        <v>1</v>
      </c>
      <c r="AB10" s="50">
        <v>0</v>
      </c>
      <c r="AC10" s="52"/>
      <c r="AD10" s="52"/>
      <c r="AE10" s="50">
        <v>0</v>
      </c>
      <c r="AF10" s="50">
        <v>0</v>
      </c>
      <c r="AG10" s="50">
        <v>1</v>
      </c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13</v>
      </c>
    </row>
    <row r="11" spans="1:47" ht="15" customHeight="1">
      <c r="A11" s="102"/>
      <c r="B11" s="23">
        <v>5</v>
      </c>
      <c r="C11" s="24" t="s">
        <v>92</v>
      </c>
      <c r="D11" s="9" t="s">
        <v>88</v>
      </c>
      <c r="E11" s="50">
        <v>0</v>
      </c>
      <c r="F11" s="50">
        <v>1</v>
      </c>
      <c r="G11" s="50">
        <v>1</v>
      </c>
      <c r="H11" s="50">
        <v>1</v>
      </c>
      <c r="I11" s="50">
        <v>0</v>
      </c>
      <c r="J11" s="50">
        <v>1</v>
      </c>
      <c r="K11" s="52"/>
      <c r="L11" s="52"/>
      <c r="M11" s="50">
        <v>1</v>
      </c>
      <c r="N11" s="50">
        <v>1</v>
      </c>
      <c r="O11" s="50">
        <v>1</v>
      </c>
      <c r="P11" s="50">
        <v>1</v>
      </c>
      <c r="Q11" s="50">
        <v>1</v>
      </c>
      <c r="R11" s="50">
        <v>1</v>
      </c>
      <c r="S11" s="50">
        <v>0</v>
      </c>
      <c r="T11" s="52"/>
      <c r="U11" s="52"/>
      <c r="V11" s="50">
        <v>1</v>
      </c>
      <c r="W11" s="50">
        <v>1</v>
      </c>
      <c r="X11" s="50">
        <v>1</v>
      </c>
      <c r="Y11" s="50">
        <v>0</v>
      </c>
      <c r="Z11" s="50">
        <v>1</v>
      </c>
      <c r="AA11" s="50">
        <v>1</v>
      </c>
      <c r="AB11" s="50">
        <v>1</v>
      </c>
      <c r="AC11" s="52"/>
      <c r="AD11" s="52"/>
      <c r="AE11" s="50">
        <v>1</v>
      </c>
      <c r="AF11" s="50">
        <v>1</v>
      </c>
      <c r="AG11" s="50">
        <v>1</v>
      </c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16</v>
      </c>
    </row>
    <row r="12" spans="1:47" ht="15" customHeight="1">
      <c r="A12" s="102"/>
      <c r="B12" s="23">
        <v>6</v>
      </c>
      <c r="C12" s="24" t="s">
        <v>93</v>
      </c>
      <c r="D12" s="9" t="s">
        <v>94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1</v>
      </c>
      <c r="K12" s="52"/>
      <c r="L12" s="52"/>
      <c r="M12" s="50">
        <v>1</v>
      </c>
      <c r="N12" s="50">
        <v>0</v>
      </c>
      <c r="O12" s="50">
        <v>1</v>
      </c>
      <c r="P12" s="50">
        <v>0</v>
      </c>
      <c r="Q12" s="50">
        <v>0</v>
      </c>
      <c r="R12" s="50">
        <v>1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2"/>
      <c r="AD12" s="52"/>
      <c r="AE12" s="50">
        <v>1</v>
      </c>
      <c r="AF12" s="50">
        <v>0</v>
      </c>
      <c r="AG12" s="50">
        <v>1</v>
      </c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15</v>
      </c>
    </row>
    <row r="13" spans="1:47" ht="15" customHeight="1">
      <c r="A13" s="102"/>
      <c r="B13" s="23">
        <v>7</v>
      </c>
      <c r="C13" s="24" t="s">
        <v>95</v>
      </c>
      <c r="D13" s="9" t="s">
        <v>94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J13" s="50">
        <v>1</v>
      </c>
      <c r="K13" s="52"/>
      <c r="L13" s="52"/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1</v>
      </c>
      <c r="S13" s="50">
        <v>1</v>
      </c>
      <c r="T13" s="52"/>
      <c r="U13" s="52"/>
      <c r="V13" s="50">
        <v>1</v>
      </c>
      <c r="W13" s="50">
        <v>1</v>
      </c>
      <c r="X13" s="50">
        <v>1</v>
      </c>
      <c r="Y13" s="50">
        <v>1</v>
      </c>
      <c r="Z13" s="50">
        <v>0</v>
      </c>
      <c r="AA13" s="50">
        <v>1</v>
      </c>
      <c r="AB13" s="50">
        <v>0</v>
      </c>
      <c r="AC13" s="52"/>
      <c r="AD13" s="52"/>
      <c r="AE13" s="50">
        <v>1</v>
      </c>
      <c r="AF13" s="50">
        <v>1</v>
      </c>
      <c r="AG13" s="50">
        <v>0</v>
      </c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16</v>
      </c>
    </row>
    <row r="14" spans="1:47" ht="15" customHeight="1">
      <c r="A14" s="102"/>
      <c r="B14" s="23">
        <v>8</v>
      </c>
      <c r="C14" s="24" t="s">
        <v>96</v>
      </c>
      <c r="D14" s="9" t="s">
        <v>94</v>
      </c>
      <c r="E14" s="50">
        <v>1</v>
      </c>
      <c r="F14" s="50">
        <v>1</v>
      </c>
      <c r="G14" s="50">
        <v>1</v>
      </c>
      <c r="H14" s="50">
        <v>1</v>
      </c>
      <c r="I14" s="50">
        <v>1</v>
      </c>
      <c r="J14" s="50">
        <v>1</v>
      </c>
      <c r="K14" s="52"/>
      <c r="L14" s="52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0</v>
      </c>
      <c r="T14" s="52"/>
      <c r="U14" s="52"/>
      <c r="V14" s="50">
        <v>1</v>
      </c>
      <c r="W14" s="50">
        <v>1</v>
      </c>
      <c r="X14" s="50">
        <v>1</v>
      </c>
      <c r="Y14" s="50">
        <v>1</v>
      </c>
      <c r="Z14" s="50">
        <v>1</v>
      </c>
      <c r="AA14" s="50">
        <v>1</v>
      </c>
      <c r="AB14" s="50">
        <v>1</v>
      </c>
      <c r="AC14" s="52"/>
      <c r="AD14" s="52"/>
      <c r="AE14" s="50">
        <v>1</v>
      </c>
      <c r="AF14" s="50">
        <v>1</v>
      </c>
      <c r="AG14" s="50">
        <v>1</v>
      </c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18</v>
      </c>
    </row>
    <row r="15" spans="1:47" ht="15" customHeight="1">
      <c r="A15" s="102"/>
      <c r="B15" s="23">
        <v>9</v>
      </c>
      <c r="C15" s="24" t="s">
        <v>97</v>
      </c>
      <c r="D15" s="9" t="s">
        <v>94</v>
      </c>
      <c r="E15" s="47">
        <v>1</v>
      </c>
      <c r="F15" s="47">
        <v>1</v>
      </c>
      <c r="G15" s="47">
        <v>1</v>
      </c>
      <c r="H15" s="47">
        <v>1</v>
      </c>
      <c r="I15" s="47">
        <v>1</v>
      </c>
      <c r="J15" s="47">
        <v>1</v>
      </c>
      <c r="K15" s="49"/>
      <c r="L15" s="49"/>
      <c r="M15" s="47">
        <v>1</v>
      </c>
      <c r="N15" s="47">
        <v>1</v>
      </c>
      <c r="O15" s="47">
        <v>1</v>
      </c>
      <c r="P15" s="47">
        <v>1</v>
      </c>
      <c r="Q15" s="47">
        <v>1</v>
      </c>
      <c r="R15" s="47">
        <v>1</v>
      </c>
      <c r="S15" s="47">
        <v>0</v>
      </c>
      <c r="T15" s="49"/>
      <c r="U15" s="49"/>
      <c r="V15" s="4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49"/>
      <c r="AD15" s="49"/>
      <c r="AE15" s="47">
        <v>1</v>
      </c>
      <c r="AF15" s="47">
        <v>1</v>
      </c>
      <c r="AG15" s="47">
        <v>1</v>
      </c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18</v>
      </c>
    </row>
    <row r="16" spans="1:47" ht="15" customHeight="1">
      <c r="A16" s="102"/>
      <c r="B16" s="23">
        <v>10</v>
      </c>
      <c r="C16" s="24" t="s">
        <v>98</v>
      </c>
      <c r="D16" s="9" t="s">
        <v>94</v>
      </c>
      <c r="E16" s="50">
        <v>1</v>
      </c>
      <c r="F16" s="50">
        <v>0</v>
      </c>
      <c r="G16" s="50">
        <v>1</v>
      </c>
      <c r="H16" s="50">
        <v>1</v>
      </c>
      <c r="I16" s="50">
        <v>1</v>
      </c>
      <c r="J16" s="50">
        <v>1</v>
      </c>
      <c r="K16" s="52"/>
      <c r="L16" s="52"/>
      <c r="M16" s="50">
        <v>1</v>
      </c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2"/>
      <c r="U16" s="52"/>
      <c r="V16" s="50">
        <v>1</v>
      </c>
      <c r="W16" s="50">
        <v>1</v>
      </c>
      <c r="X16" s="50">
        <v>0</v>
      </c>
      <c r="Y16" s="50">
        <v>1</v>
      </c>
      <c r="Z16" s="50">
        <v>1</v>
      </c>
      <c r="AA16" s="50">
        <v>0</v>
      </c>
      <c r="AB16" s="50">
        <v>0</v>
      </c>
      <c r="AC16" s="52"/>
      <c r="AD16" s="52"/>
      <c r="AE16" s="50">
        <v>0</v>
      </c>
      <c r="AF16" s="50">
        <v>1</v>
      </c>
      <c r="AG16" s="50">
        <v>1</v>
      </c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15</v>
      </c>
    </row>
    <row r="17" spans="1:47" ht="15" customHeight="1">
      <c r="A17" s="102"/>
      <c r="B17" s="23">
        <v>11</v>
      </c>
      <c r="C17" s="24" t="s">
        <v>99</v>
      </c>
      <c r="D17" s="9" t="s">
        <v>94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52"/>
      <c r="L17" s="52"/>
      <c r="M17" s="50">
        <v>1</v>
      </c>
      <c r="N17" s="50">
        <v>1</v>
      </c>
      <c r="O17" s="50">
        <v>1</v>
      </c>
      <c r="P17" s="50">
        <v>1</v>
      </c>
      <c r="Q17" s="50">
        <v>1</v>
      </c>
      <c r="R17" s="50">
        <v>1</v>
      </c>
      <c r="S17" s="50">
        <v>0</v>
      </c>
      <c r="T17" s="52"/>
      <c r="U17" s="52"/>
      <c r="V17" s="50">
        <v>1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2"/>
      <c r="AD17" s="52"/>
      <c r="AE17" s="50">
        <v>0</v>
      </c>
      <c r="AF17" s="50">
        <v>0</v>
      </c>
      <c r="AG17" s="50">
        <v>0</v>
      </c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7</v>
      </c>
    </row>
    <row r="18" spans="1:47" ht="15" customHeight="1">
      <c r="A18" s="102"/>
      <c r="B18" s="23">
        <v>12</v>
      </c>
      <c r="C18" s="24" t="s">
        <v>100</v>
      </c>
      <c r="D18" s="9" t="s">
        <v>101</v>
      </c>
      <c r="E18" s="50">
        <v>1</v>
      </c>
      <c r="F18" s="50">
        <v>1</v>
      </c>
      <c r="G18" s="50">
        <v>1</v>
      </c>
      <c r="H18" s="50">
        <v>1</v>
      </c>
      <c r="I18" s="50">
        <v>1</v>
      </c>
      <c r="J18" s="50">
        <v>0</v>
      </c>
      <c r="K18" s="52"/>
      <c r="L18" s="52"/>
      <c r="M18" s="50">
        <v>1</v>
      </c>
      <c r="N18" s="50">
        <v>1</v>
      </c>
      <c r="O18" s="50">
        <v>1</v>
      </c>
      <c r="P18" s="50">
        <v>1</v>
      </c>
      <c r="Q18" s="50">
        <v>1</v>
      </c>
      <c r="R18" s="50">
        <v>0</v>
      </c>
      <c r="S18" s="50">
        <v>1</v>
      </c>
      <c r="T18" s="52"/>
      <c r="U18" s="52"/>
      <c r="V18" s="50">
        <v>1</v>
      </c>
      <c r="W18" s="50">
        <v>1</v>
      </c>
      <c r="X18" s="50">
        <v>1</v>
      </c>
      <c r="Y18" s="50">
        <v>1</v>
      </c>
      <c r="Z18" s="50">
        <v>1</v>
      </c>
      <c r="AA18" s="50">
        <v>1</v>
      </c>
      <c r="AB18" s="50">
        <v>0</v>
      </c>
      <c r="AC18" s="52"/>
      <c r="AD18" s="52"/>
      <c r="AE18" s="50">
        <v>1</v>
      </c>
      <c r="AF18" s="50">
        <v>1</v>
      </c>
      <c r="AG18" s="50">
        <v>1</v>
      </c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16</v>
      </c>
    </row>
    <row r="19" spans="1:47" ht="15" customHeight="1">
      <c r="A19" s="102"/>
      <c r="B19" s="23">
        <v>13</v>
      </c>
      <c r="C19" s="24" t="s">
        <v>102</v>
      </c>
      <c r="D19" s="9" t="s">
        <v>103</v>
      </c>
      <c r="E19" s="50">
        <v>1</v>
      </c>
      <c r="F19" s="50">
        <v>1</v>
      </c>
      <c r="G19" s="50">
        <v>0</v>
      </c>
      <c r="H19" s="50">
        <v>1</v>
      </c>
      <c r="I19" s="50">
        <v>1</v>
      </c>
      <c r="J19" s="50">
        <v>1</v>
      </c>
      <c r="K19" s="52"/>
      <c r="L19" s="52"/>
      <c r="M19" s="50">
        <v>1</v>
      </c>
      <c r="N19" s="50">
        <v>1</v>
      </c>
      <c r="O19" s="50">
        <v>1</v>
      </c>
      <c r="P19" s="50">
        <v>1</v>
      </c>
      <c r="Q19" s="50">
        <v>1</v>
      </c>
      <c r="R19" s="50">
        <v>0</v>
      </c>
      <c r="S19" s="50">
        <v>1</v>
      </c>
      <c r="T19" s="52"/>
      <c r="U19" s="52"/>
      <c r="V19" s="50">
        <v>1</v>
      </c>
      <c r="W19" s="50">
        <v>1</v>
      </c>
      <c r="X19" s="50">
        <v>1</v>
      </c>
      <c r="Y19" s="50">
        <v>1</v>
      </c>
      <c r="Z19" s="50">
        <v>1</v>
      </c>
      <c r="AA19" s="50">
        <v>1</v>
      </c>
      <c r="AB19" s="50">
        <v>1</v>
      </c>
      <c r="AC19" s="52"/>
      <c r="AD19" s="52"/>
      <c r="AE19" s="50">
        <v>1</v>
      </c>
      <c r="AF19" s="50">
        <v>1</v>
      </c>
      <c r="AG19" s="50">
        <v>1</v>
      </c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18</v>
      </c>
    </row>
    <row r="20" spans="1:47" ht="15" customHeight="1">
      <c r="A20" s="102"/>
      <c r="B20" s="23">
        <v>14</v>
      </c>
      <c r="C20" s="24" t="s">
        <v>104</v>
      </c>
      <c r="D20" s="9" t="s">
        <v>94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/>
      <c r="L20" s="87"/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/>
      <c r="U20" s="87"/>
      <c r="V20" s="87">
        <v>0</v>
      </c>
      <c r="W20" s="50">
        <v>1</v>
      </c>
      <c r="X20" s="50">
        <v>1</v>
      </c>
      <c r="Y20" s="50">
        <v>1</v>
      </c>
      <c r="Z20" s="50">
        <v>0</v>
      </c>
      <c r="AA20" s="50">
        <v>1</v>
      </c>
      <c r="AB20" s="50">
        <v>1</v>
      </c>
      <c r="AC20" s="52"/>
      <c r="AD20" s="52"/>
      <c r="AE20" s="50">
        <v>1</v>
      </c>
      <c r="AF20" s="50">
        <v>1</v>
      </c>
      <c r="AG20" s="50">
        <v>1</v>
      </c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8</v>
      </c>
    </row>
    <row r="21" spans="1:47" ht="15" customHeight="1">
      <c r="A21" s="102"/>
      <c r="B21" s="23">
        <v>15</v>
      </c>
      <c r="C21" s="24"/>
      <c r="D21" s="9"/>
      <c r="E21" s="50"/>
      <c r="F21" s="50"/>
      <c r="G21" s="50"/>
      <c r="H21" s="50"/>
      <c r="I21" s="50"/>
      <c r="J21" s="50"/>
      <c r="K21" s="52"/>
      <c r="L21" s="52"/>
      <c r="M21" s="50"/>
      <c r="N21" s="50"/>
      <c r="O21" s="50"/>
      <c r="P21" s="50"/>
      <c r="Q21" s="50"/>
      <c r="R21" s="50"/>
      <c r="S21" s="50"/>
      <c r="T21" s="52"/>
      <c r="U21" s="52"/>
      <c r="V21" s="50"/>
      <c r="W21" s="50"/>
      <c r="X21" s="50"/>
      <c r="Y21" s="50"/>
      <c r="Z21" s="50"/>
      <c r="AA21" s="50"/>
      <c r="AB21" s="50"/>
      <c r="AC21" s="52"/>
      <c r="AD21" s="52"/>
      <c r="AE21" s="50"/>
      <c r="AF21" s="50"/>
      <c r="AG21" s="50"/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0</v>
      </c>
    </row>
    <row r="22" spans="1:47" ht="15" customHeight="1">
      <c r="A22" s="102"/>
      <c r="B22" s="23">
        <v>16</v>
      </c>
      <c r="C22" s="24"/>
      <c r="D22" s="9"/>
      <c r="E22" s="50"/>
      <c r="F22" s="50"/>
      <c r="G22" s="50"/>
      <c r="H22" s="50"/>
      <c r="I22" s="50"/>
      <c r="J22" s="50"/>
      <c r="K22" s="52"/>
      <c r="L22" s="52"/>
      <c r="M22" s="50"/>
      <c r="N22" s="50"/>
      <c r="O22" s="50"/>
      <c r="P22" s="50"/>
      <c r="Q22" s="50"/>
      <c r="R22" s="50"/>
      <c r="S22" s="50"/>
      <c r="T22" s="52"/>
      <c r="U22" s="52"/>
      <c r="V22" s="50"/>
      <c r="W22" s="50"/>
      <c r="X22" s="50"/>
      <c r="Y22" s="50"/>
      <c r="Z22" s="50"/>
      <c r="AA22" s="50"/>
      <c r="AB22" s="50"/>
      <c r="AC22" s="52"/>
      <c r="AD22" s="52"/>
      <c r="AE22" s="50"/>
      <c r="AF22" s="50"/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0</v>
      </c>
    </row>
    <row r="23" spans="1:47" ht="19.5">
      <c r="A23" s="3"/>
      <c r="B23" s="68">
        <v>14</v>
      </c>
      <c r="C23" s="12" t="s">
        <v>48</v>
      </c>
      <c r="D23" s="7"/>
      <c r="E23" s="8">
        <f>COUNTIF(E7:E22,"1")</f>
        <v>9</v>
      </c>
      <c r="F23" s="8">
        <f t="shared" ref="F23:AG23" si="2">COUNTIF(F7:F22,"1")</f>
        <v>11</v>
      </c>
      <c r="G23" s="8">
        <f t="shared" si="2"/>
        <v>9</v>
      </c>
      <c r="H23" s="8">
        <f t="shared" si="2"/>
        <v>12</v>
      </c>
      <c r="I23" s="8">
        <f t="shared" si="2"/>
        <v>11</v>
      </c>
      <c r="J23" s="8">
        <f t="shared" si="2"/>
        <v>11</v>
      </c>
      <c r="K23" s="8">
        <f t="shared" si="2"/>
        <v>0</v>
      </c>
      <c r="L23" s="8">
        <f t="shared" si="2"/>
        <v>0</v>
      </c>
      <c r="M23" s="8">
        <f t="shared" si="2"/>
        <v>12</v>
      </c>
      <c r="N23" s="8">
        <f t="shared" si="2"/>
        <v>9</v>
      </c>
      <c r="O23" s="8">
        <f t="shared" si="2"/>
        <v>13</v>
      </c>
      <c r="P23" s="8">
        <f t="shared" si="2"/>
        <v>12</v>
      </c>
      <c r="Q23" s="8">
        <f t="shared" si="2"/>
        <v>12</v>
      </c>
      <c r="R23" s="8">
        <f t="shared" si="2"/>
        <v>9</v>
      </c>
      <c r="S23" s="8">
        <f t="shared" si="2"/>
        <v>9</v>
      </c>
      <c r="T23" s="8">
        <f t="shared" si="2"/>
        <v>0</v>
      </c>
      <c r="U23" s="8">
        <f t="shared" si="2"/>
        <v>0</v>
      </c>
      <c r="V23" s="8">
        <f t="shared" si="2"/>
        <v>12</v>
      </c>
      <c r="W23" s="8">
        <f t="shared" si="2"/>
        <v>12</v>
      </c>
      <c r="X23" s="8">
        <f t="shared" si="2"/>
        <v>12</v>
      </c>
      <c r="Y23" s="8">
        <f t="shared" si="2"/>
        <v>12</v>
      </c>
      <c r="Z23" s="8">
        <f t="shared" si="2"/>
        <v>10</v>
      </c>
      <c r="AA23" s="8">
        <f t="shared" si="2"/>
        <v>12</v>
      </c>
      <c r="AB23" s="8">
        <f t="shared" si="2"/>
        <v>9</v>
      </c>
      <c r="AC23" s="8">
        <f t="shared" si="2"/>
        <v>0</v>
      </c>
      <c r="AD23" s="8">
        <f t="shared" si="2"/>
        <v>0</v>
      </c>
      <c r="AE23" s="8">
        <f t="shared" si="2"/>
        <v>10</v>
      </c>
      <c r="AF23" s="8">
        <f t="shared" si="2"/>
        <v>10</v>
      </c>
      <c r="AG23" s="8">
        <f t="shared" si="2"/>
        <v>11</v>
      </c>
      <c r="AH23" s="8">
        <f t="shared" ref="AH23:AP23" si="3">COUNTIF(AH7:AH22,"1")</f>
        <v>0</v>
      </c>
      <c r="AI23" s="8">
        <f t="shared" si="3"/>
        <v>0</v>
      </c>
      <c r="AJ23" s="8">
        <f t="shared" si="3"/>
        <v>0</v>
      </c>
      <c r="AK23" s="8">
        <f t="shared" si="3"/>
        <v>0</v>
      </c>
      <c r="AL23" s="8">
        <f t="shared" si="3"/>
        <v>0</v>
      </c>
      <c r="AM23" s="8">
        <f t="shared" si="3"/>
        <v>0</v>
      </c>
      <c r="AN23" s="8">
        <f t="shared" si="3"/>
        <v>0</v>
      </c>
      <c r="AO23" s="8">
        <f t="shared" si="3"/>
        <v>0</v>
      </c>
      <c r="AP23" s="8">
        <f t="shared" si="3"/>
        <v>0</v>
      </c>
      <c r="AU23" s="1"/>
    </row>
    <row r="24" spans="1:47" ht="19.5">
      <c r="A24" s="3"/>
      <c r="C24" s="37"/>
      <c r="D24" s="5"/>
      <c r="E24" s="99">
        <v>45908</v>
      </c>
      <c r="F24" s="99">
        <f>E24+7</f>
        <v>45915</v>
      </c>
      <c r="G24" s="99">
        <f t="shared" ref="G24" si="4">F24+7</f>
        <v>45922</v>
      </c>
      <c r="H24" s="99">
        <f t="shared" ref="H24" si="5">G24+7</f>
        <v>45929</v>
      </c>
      <c r="I24" s="99">
        <f t="shared" ref="I24" si="6">H24+7</f>
        <v>45936</v>
      </c>
      <c r="J24" s="99">
        <f t="shared" ref="J24" si="7">I24+7</f>
        <v>45943</v>
      </c>
      <c r="K24" s="99">
        <f t="shared" ref="K24" si="8">J24+7</f>
        <v>45950</v>
      </c>
      <c r="L24" s="99">
        <f t="shared" ref="L24" si="9">K24+7</f>
        <v>45957</v>
      </c>
      <c r="M24" s="99">
        <f t="shared" ref="M24" si="10">L24+7</f>
        <v>45964</v>
      </c>
      <c r="N24" s="99">
        <f t="shared" ref="N24" si="11">M24+7</f>
        <v>45971</v>
      </c>
      <c r="O24" s="99">
        <f t="shared" ref="O24" si="12">N24+7</f>
        <v>45978</v>
      </c>
      <c r="P24" s="99">
        <f t="shared" ref="P24" si="13">O24+7</f>
        <v>45985</v>
      </c>
      <c r="Q24" s="99">
        <f t="shared" ref="Q24" si="14">P24+7</f>
        <v>45992</v>
      </c>
      <c r="R24" s="99">
        <f t="shared" ref="R24" si="15">Q24+7</f>
        <v>45999</v>
      </c>
      <c r="S24" s="99">
        <f t="shared" ref="S24" si="16">R24+7</f>
        <v>46006</v>
      </c>
      <c r="T24" s="99">
        <f t="shared" ref="T24" si="17">S24+7</f>
        <v>46013</v>
      </c>
      <c r="U24" s="99">
        <f t="shared" ref="U24" si="18">T24+7</f>
        <v>46020</v>
      </c>
      <c r="V24" s="99">
        <f t="shared" ref="V24" si="19">U24+7</f>
        <v>46027</v>
      </c>
      <c r="W24" s="99">
        <f t="shared" ref="W24" si="20">V24+7</f>
        <v>46034</v>
      </c>
      <c r="X24" s="99">
        <f t="shared" ref="X24" si="21">W24+7</f>
        <v>46041</v>
      </c>
      <c r="Y24" s="99">
        <f t="shared" ref="Y24" si="22">X24+7</f>
        <v>46048</v>
      </c>
      <c r="Z24" s="99">
        <f t="shared" ref="Z24" si="23">Y24+7</f>
        <v>46055</v>
      </c>
      <c r="AA24" s="99">
        <f t="shared" ref="AA24" si="24">Z24+7</f>
        <v>46062</v>
      </c>
      <c r="AB24" s="99">
        <f t="shared" ref="AB24" si="25">AA24+7</f>
        <v>46069</v>
      </c>
      <c r="AC24" s="99">
        <f t="shared" ref="AC24" si="26">AB24+7</f>
        <v>46076</v>
      </c>
      <c r="AD24" s="99">
        <f t="shared" ref="AD24" si="27">AC24+7</f>
        <v>46083</v>
      </c>
      <c r="AE24" s="99">
        <f t="shared" ref="AE24" si="28">AD24+7</f>
        <v>46090</v>
      </c>
      <c r="AF24" s="99">
        <f t="shared" ref="AF24" si="29">AE24+7</f>
        <v>46097</v>
      </c>
      <c r="AG24" s="99">
        <f t="shared" ref="AG24" si="30">AF24+7</f>
        <v>46104</v>
      </c>
      <c r="AH24" s="99">
        <f t="shared" ref="AH24" si="31">AG24+7</f>
        <v>46111</v>
      </c>
      <c r="AI24" s="99">
        <f t="shared" ref="AI24" si="32">AH24+7</f>
        <v>46118</v>
      </c>
      <c r="AJ24" s="99">
        <f t="shared" ref="AJ24" si="33">AI24+7</f>
        <v>46125</v>
      </c>
      <c r="AK24" s="99">
        <f t="shared" ref="AK24" si="34">AJ24+7</f>
        <v>46132</v>
      </c>
      <c r="AL24" s="99">
        <f t="shared" ref="AL24" si="35">AK24+7</f>
        <v>46139</v>
      </c>
      <c r="AM24" s="99">
        <f t="shared" ref="AM24" si="36">AL24+7</f>
        <v>46146</v>
      </c>
      <c r="AN24" s="99">
        <f t="shared" ref="AN24" si="37">AM24+7</f>
        <v>46153</v>
      </c>
      <c r="AO24" s="99">
        <f t="shared" ref="AO24" si="38">AN24+7</f>
        <v>46160</v>
      </c>
      <c r="AP24" s="99">
        <f t="shared" ref="AP24" si="39">AO24+7</f>
        <v>46167</v>
      </c>
      <c r="AQ24" s="99">
        <f t="shared" ref="AQ24" si="40">AP24+7</f>
        <v>46174</v>
      </c>
      <c r="AR24" s="99">
        <f t="shared" ref="AR24" si="41">AQ24+7</f>
        <v>46181</v>
      </c>
      <c r="AS24" s="99">
        <f t="shared" ref="AS24" si="42">AR24+7</f>
        <v>46188</v>
      </c>
      <c r="AT24" s="99">
        <f t="shared" ref="AT24" si="43">AS24+7</f>
        <v>46195</v>
      </c>
    </row>
    <row r="25" spans="1:47" ht="19.5">
      <c r="A25" s="3"/>
      <c r="C25" s="20"/>
      <c r="D25" s="5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</row>
    <row r="26" spans="1:47" ht="15" customHeight="1">
      <c r="B26" s="3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</row>
    <row r="27" spans="1:47">
      <c r="A27" s="102" t="s">
        <v>105</v>
      </c>
      <c r="B27" s="23">
        <v>1</v>
      </c>
      <c r="C27" s="24" t="s">
        <v>106</v>
      </c>
      <c r="D27" s="9" t="s">
        <v>101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1">
        <f>SUM(I27:AT27)</f>
        <v>0</v>
      </c>
    </row>
    <row r="28" spans="1:47">
      <c r="A28" s="102"/>
      <c r="B28" s="23">
        <v>2</v>
      </c>
      <c r="C28" s="24" t="s">
        <v>107</v>
      </c>
      <c r="D28" s="9" t="s">
        <v>94</v>
      </c>
      <c r="E28" s="50">
        <v>1</v>
      </c>
      <c r="F28" s="50">
        <v>1</v>
      </c>
      <c r="G28" s="50">
        <v>0</v>
      </c>
      <c r="H28" s="50">
        <v>0</v>
      </c>
      <c r="I28" s="50">
        <v>1</v>
      </c>
      <c r="J28" s="50">
        <v>1</v>
      </c>
      <c r="K28" s="52"/>
      <c r="L28" s="52"/>
      <c r="M28" s="50">
        <v>0</v>
      </c>
      <c r="N28" s="50">
        <v>1</v>
      </c>
      <c r="O28" s="50">
        <v>1</v>
      </c>
      <c r="P28" s="50">
        <v>1</v>
      </c>
      <c r="Q28" s="50">
        <v>1</v>
      </c>
      <c r="R28" s="50">
        <v>1</v>
      </c>
      <c r="S28" s="50">
        <v>0</v>
      </c>
      <c r="T28" s="52"/>
      <c r="U28" s="52"/>
      <c r="V28" s="50">
        <v>1</v>
      </c>
      <c r="W28" s="50">
        <v>0</v>
      </c>
      <c r="X28" s="50">
        <v>1</v>
      </c>
      <c r="Y28" s="50">
        <v>1</v>
      </c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1">
        <f t="shared" ref="AU28:AU42" si="44">SUM(I28:AT28)</f>
        <v>10</v>
      </c>
    </row>
    <row r="29" spans="1:47">
      <c r="A29" s="102"/>
      <c r="B29" s="23">
        <v>3</v>
      </c>
      <c r="C29" s="11"/>
      <c r="D29" s="11"/>
      <c r="E29" s="50"/>
      <c r="F29" s="50"/>
      <c r="G29" s="50"/>
      <c r="H29" s="50"/>
      <c r="I29" s="50"/>
      <c r="J29" s="50"/>
      <c r="K29" s="52"/>
      <c r="L29" s="52"/>
      <c r="M29" s="50"/>
      <c r="N29" s="50"/>
      <c r="O29" s="50"/>
      <c r="P29" s="50"/>
      <c r="Q29" s="50"/>
      <c r="R29" s="50"/>
      <c r="S29" s="50"/>
      <c r="T29" s="52"/>
      <c r="U29" s="52"/>
      <c r="V29" s="50"/>
      <c r="W29" s="50"/>
      <c r="X29" s="50"/>
      <c r="Y29" s="50"/>
      <c r="Z29" s="50"/>
      <c r="AA29" s="50"/>
      <c r="AB29" s="50"/>
      <c r="AC29" s="52"/>
      <c r="AD29" s="52"/>
      <c r="AE29" s="50"/>
      <c r="AF29" s="50"/>
      <c r="AG29" s="50"/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44"/>
        <v>0</v>
      </c>
    </row>
    <row r="30" spans="1:47">
      <c r="A30" s="102"/>
      <c r="B30" s="23">
        <v>4</v>
      </c>
      <c r="C30" s="11"/>
      <c r="D30" s="11"/>
      <c r="E30" s="50"/>
      <c r="F30" s="50"/>
      <c r="G30" s="50"/>
      <c r="H30" s="50"/>
      <c r="I30" s="50"/>
      <c r="J30" s="50"/>
      <c r="K30" s="52"/>
      <c r="L30" s="52"/>
      <c r="M30" s="50"/>
      <c r="N30" s="50"/>
      <c r="O30" s="50"/>
      <c r="P30" s="50"/>
      <c r="Q30" s="50"/>
      <c r="R30" s="50"/>
      <c r="S30" s="50"/>
      <c r="T30" s="52"/>
      <c r="U30" s="52"/>
      <c r="V30" s="50"/>
      <c r="W30" s="50"/>
      <c r="X30" s="50"/>
      <c r="Y30" s="50"/>
      <c r="Z30" s="50"/>
      <c r="AA30" s="50"/>
      <c r="AB30" s="50"/>
      <c r="AC30" s="52"/>
      <c r="AD30" s="52"/>
      <c r="AE30" s="50"/>
      <c r="AF30" s="50"/>
      <c r="AG30" s="50"/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44"/>
        <v>0</v>
      </c>
    </row>
    <row r="31" spans="1:47">
      <c r="A31" s="102"/>
      <c r="B31" s="23">
        <v>5</v>
      </c>
      <c r="C31" s="11"/>
      <c r="D31" s="11"/>
      <c r="E31" s="50"/>
      <c r="F31" s="50"/>
      <c r="G31" s="50"/>
      <c r="H31" s="50"/>
      <c r="I31" s="50"/>
      <c r="J31" s="50"/>
      <c r="K31" s="52"/>
      <c r="L31" s="52"/>
      <c r="M31" s="50"/>
      <c r="N31" s="50"/>
      <c r="O31" s="50"/>
      <c r="P31" s="50"/>
      <c r="Q31" s="50"/>
      <c r="R31" s="50"/>
      <c r="S31" s="50"/>
      <c r="T31" s="52"/>
      <c r="U31" s="52"/>
      <c r="V31" s="50"/>
      <c r="W31" s="50"/>
      <c r="X31" s="50"/>
      <c r="Y31" s="50"/>
      <c r="Z31" s="50"/>
      <c r="AA31" s="50"/>
      <c r="AB31" s="50"/>
      <c r="AC31" s="52"/>
      <c r="AD31" s="52"/>
      <c r="AE31" s="50"/>
      <c r="AF31" s="50"/>
      <c r="AG31" s="50"/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44"/>
        <v>0</v>
      </c>
    </row>
    <row r="32" spans="1:47">
      <c r="A32" s="102"/>
      <c r="B32" s="23">
        <v>6</v>
      </c>
      <c r="C32" s="11"/>
      <c r="D32" s="11"/>
      <c r="E32" s="50"/>
      <c r="F32" s="50"/>
      <c r="G32" s="50"/>
      <c r="H32" s="50"/>
      <c r="I32" s="50"/>
      <c r="J32" s="50"/>
      <c r="K32" s="52"/>
      <c r="L32" s="52"/>
      <c r="M32" s="50"/>
      <c r="N32" s="50"/>
      <c r="O32" s="50"/>
      <c r="P32" s="50"/>
      <c r="Q32" s="50"/>
      <c r="R32" s="50"/>
      <c r="S32" s="50"/>
      <c r="T32" s="52"/>
      <c r="U32" s="52"/>
      <c r="V32" s="50"/>
      <c r="W32" s="50"/>
      <c r="X32" s="50"/>
      <c r="Y32" s="50"/>
      <c r="Z32" s="50"/>
      <c r="AA32" s="50"/>
      <c r="AB32" s="50"/>
      <c r="AC32" s="52"/>
      <c r="AD32" s="52"/>
      <c r="AE32" s="50"/>
      <c r="AF32" s="50"/>
      <c r="AG32" s="50"/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44"/>
        <v>0</v>
      </c>
    </row>
    <row r="33" spans="1:47">
      <c r="A33" s="102"/>
      <c r="B33" s="23">
        <v>7</v>
      </c>
      <c r="C33" s="11"/>
      <c r="D33" s="11"/>
      <c r="E33" s="50"/>
      <c r="F33" s="50"/>
      <c r="G33" s="50"/>
      <c r="H33" s="50"/>
      <c r="I33" s="50"/>
      <c r="J33" s="50"/>
      <c r="K33" s="52"/>
      <c r="L33" s="52"/>
      <c r="M33" s="50"/>
      <c r="N33" s="50"/>
      <c r="O33" s="50"/>
      <c r="P33" s="50"/>
      <c r="Q33" s="50"/>
      <c r="R33" s="50"/>
      <c r="S33" s="50"/>
      <c r="T33" s="52"/>
      <c r="U33" s="52"/>
      <c r="V33" s="50"/>
      <c r="W33" s="50"/>
      <c r="X33" s="50"/>
      <c r="Y33" s="50"/>
      <c r="Z33" s="50"/>
      <c r="AA33" s="50"/>
      <c r="AB33" s="50"/>
      <c r="AC33" s="52"/>
      <c r="AD33" s="52"/>
      <c r="AE33" s="50"/>
      <c r="AF33" s="50"/>
      <c r="AG33" s="50"/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44"/>
        <v>0</v>
      </c>
    </row>
    <row r="34" spans="1:47">
      <c r="A34" s="102"/>
      <c r="B34" s="23">
        <v>8</v>
      </c>
      <c r="C34" s="11"/>
      <c r="D34" s="11"/>
      <c r="E34" s="50"/>
      <c r="F34" s="50"/>
      <c r="G34" s="50"/>
      <c r="H34" s="50"/>
      <c r="I34" s="50"/>
      <c r="J34" s="50"/>
      <c r="K34" s="52"/>
      <c r="L34" s="52"/>
      <c r="M34" s="50"/>
      <c r="N34" s="50"/>
      <c r="O34" s="50"/>
      <c r="P34" s="50"/>
      <c r="Q34" s="50"/>
      <c r="R34" s="50"/>
      <c r="S34" s="50"/>
      <c r="T34" s="52"/>
      <c r="U34" s="52"/>
      <c r="V34" s="50"/>
      <c r="W34" s="50"/>
      <c r="X34" s="50"/>
      <c r="Y34" s="50"/>
      <c r="Z34" s="50"/>
      <c r="AA34" s="50"/>
      <c r="AB34" s="50"/>
      <c r="AC34" s="52"/>
      <c r="AD34" s="52"/>
      <c r="AE34" s="50"/>
      <c r="AF34" s="50"/>
      <c r="AG34" s="50"/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44"/>
        <v>0</v>
      </c>
    </row>
    <row r="35" spans="1:47">
      <c r="B35" s="23">
        <v>9</v>
      </c>
      <c r="C35" s="11"/>
      <c r="D35" s="11"/>
      <c r="E35" s="47"/>
      <c r="F35" s="47"/>
      <c r="G35" s="47"/>
      <c r="H35" s="47"/>
      <c r="I35" s="47"/>
      <c r="J35" s="47"/>
      <c r="K35" s="49"/>
      <c r="L35" s="49"/>
      <c r="M35" s="47"/>
      <c r="N35" s="47"/>
      <c r="O35" s="47"/>
      <c r="P35" s="47"/>
      <c r="Q35" s="47"/>
      <c r="R35" s="47"/>
      <c r="S35" s="47"/>
      <c r="T35" s="49"/>
      <c r="U35" s="49"/>
      <c r="V35" s="47"/>
      <c r="W35" s="47"/>
      <c r="X35" s="47"/>
      <c r="Y35" s="47"/>
      <c r="Z35" s="47"/>
      <c r="AA35" s="47"/>
      <c r="AB35" s="47"/>
      <c r="AC35" s="49"/>
      <c r="AD35" s="49"/>
      <c r="AE35" s="47"/>
      <c r="AF35" s="47"/>
      <c r="AG35" s="47"/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44"/>
        <v>0</v>
      </c>
    </row>
    <row r="36" spans="1:47">
      <c r="B36" s="23">
        <v>10</v>
      </c>
      <c r="C36" s="11"/>
      <c r="D36" s="11"/>
      <c r="E36" s="50"/>
      <c r="F36" s="50"/>
      <c r="G36" s="50"/>
      <c r="H36" s="50"/>
      <c r="I36" s="50"/>
      <c r="J36" s="50"/>
      <c r="K36" s="52"/>
      <c r="L36" s="52"/>
      <c r="M36" s="50"/>
      <c r="N36" s="50"/>
      <c r="O36" s="50"/>
      <c r="P36" s="50"/>
      <c r="Q36" s="50"/>
      <c r="R36" s="50"/>
      <c r="S36" s="50"/>
      <c r="T36" s="52"/>
      <c r="U36" s="52"/>
      <c r="V36" s="50"/>
      <c r="W36" s="50"/>
      <c r="X36" s="50"/>
      <c r="Y36" s="50"/>
      <c r="Z36" s="50"/>
      <c r="AA36" s="50"/>
      <c r="AB36" s="50"/>
      <c r="AC36" s="52"/>
      <c r="AD36" s="52"/>
      <c r="AE36" s="50"/>
      <c r="AF36" s="50"/>
      <c r="AG36" s="50"/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44"/>
        <v>0</v>
      </c>
    </row>
    <row r="37" spans="1:47">
      <c r="B37" s="23">
        <v>11</v>
      </c>
      <c r="C37" s="11"/>
      <c r="D37" s="11"/>
      <c r="E37" s="50"/>
      <c r="F37" s="50"/>
      <c r="G37" s="50"/>
      <c r="H37" s="50"/>
      <c r="I37" s="50"/>
      <c r="J37" s="50"/>
      <c r="K37" s="52"/>
      <c r="L37" s="52"/>
      <c r="M37" s="50"/>
      <c r="N37" s="50"/>
      <c r="O37" s="50"/>
      <c r="P37" s="50"/>
      <c r="Q37" s="50"/>
      <c r="R37" s="50"/>
      <c r="S37" s="50"/>
      <c r="T37" s="52"/>
      <c r="U37" s="52"/>
      <c r="V37" s="50"/>
      <c r="W37" s="50"/>
      <c r="X37" s="50"/>
      <c r="Y37" s="50"/>
      <c r="Z37" s="50"/>
      <c r="AA37" s="50"/>
      <c r="AB37" s="50"/>
      <c r="AC37" s="52"/>
      <c r="AD37" s="52"/>
      <c r="AE37" s="50"/>
      <c r="AF37" s="50"/>
      <c r="AG37" s="50"/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44"/>
        <v>0</v>
      </c>
    </row>
    <row r="38" spans="1:47">
      <c r="B38" s="23">
        <v>12</v>
      </c>
      <c r="C38" s="11"/>
      <c r="D38" s="11"/>
      <c r="E38" s="50"/>
      <c r="F38" s="50"/>
      <c r="G38" s="50"/>
      <c r="H38" s="50"/>
      <c r="I38" s="50"/>
      <c r="J38" s="50"/>
      <c r="K38" s="52"/>
      <c r="L38" s="52"/>
      <c r="M38" s="50"/>
      <c r="N38" s="50"/>
      <c r="O38" s="50"/>
      <c r="P38" s="50"/>
      <c r="Q38" s="50"/>
      <c r="R38" s="50"/>
      <c r="S38" s="50"/>
      <c r="T38" s="52"/>
      <c r="U38" s="52"/>
      <c r="V38" s="50"/>
      <c r="W38" s="50"/>
      <c r="X38" s="50"/>
      <c r="Y38" s="50"/>
      <c r="Z38" s="50"/>
      <c r="AA38" s="50"/>
      <c r="AB38" s="50"/>
      <c r="AC38" s="52"/>
      <c r="AD38" s="52"/>
      <c r="AE38" s="50"/>
      <c r="AF38" s="50"/>
      <c r="AG38" s="50"/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44"/>
        <v>0</v>
      </c>
    </row>
    <row r="39" spans="1:47">
      <c r="B39" s="23">
        <v>13</v>
      </c>
      <c r="C39" s="11"/>
      <c r="D39" s="11"/>
      <c r="E39" s="50"/>
      <c r="F39" s="50"/>
      <c r="G39" s="50"/>
      <c r="H39" s="50"/>
      <c r="I39" s="50"/>
      <c r="J39" s="50"/>
      <c r="K39" s="52"/>
      <c r="L39" s="52"/>
      <c r="M39" s="50"/>
      <c r="N39" s="50"/>
      <c r="O39" s="50"/>
      <c r="P39" s="50"/>
      <c r="Q39" s="50"/>
      <c r="R39" s="50"/>
      <c r="S39" s="50"/>
      <c r="T39" s="52"/>
      <c r="U39" s="52"/>
      <c r="V39" s="50"/>
      <c r="W39" s="50"/>
      <c r="X39" s="50"/>
      <c r="Y39" s="50"/>
      <c r="Z39" s="50"/>
      <c r="AA39" s="50"/>
      <c r="AB39" s="50"/>
      <c r="AC39" s="52"/>
      <c r="AD39" s="52"/>
      <c r="AE39" s="50"/>
      <c r="AF39" s="50"/>
      <c r="AG39" s="50"/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44"/>
        <v>0</v>
      </c>
    </row>
    <row r="40" spans="1:47">
      <c r="B40" s="23">
        <v>14</v>
      </c>
      <c r="C40" s="11"/>
      <c r="D40" s="11"/>
      <c r="E40" s="50"/>
      <c r="F40" s="50"/>
      <c r="G40" s="50"/>
      <c r="H40" s="50"/>
      <c r="I40" s="50"/>
      <c r="J40" s="50"/>
      <c r="K40" s="52"/>
      <c r="L40" s="52"/>
      <c r="M40" s="50"/>
      <c r="N40" s="50"/>
      <c r="O40" s="50"/>
      <c r="P40" s="50"/>
      <c r="Q40" s="50"/>
      <c r="R40" s="50"/>
      <c r="S40" s="50"/>
      <c r="T40" s="52"/>
      <c r="U40" s="52"/>
      <c r="V40" s="50"/>
      <c r="W40" s="50"/>
      <c r="X40" s="50"/>
      <c r="Y40" s="50"/>
      <c r="Z40" s="50"/>
      <c r="AA40" s="50"/>
      <c r="AB40" s="50"/>
      <c r="AC40" s="52"/>
      <c r="AD40" s="52"/>
      <c r="AE40" s="50"/>
      <c r="AF40" s="50"/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44"/>
        <v>0</v>
      </c>
    </row>
    <row r="41" spans="1:47">
      <c r="B41" s="23">
        <v>15</v>
      </c>
      <c r="C41" s="11"/>
      <c r="D41" s="11"/>
      <c r="E41" s="50"/>
      <c r="F41" s="50"/>
      <c r="G41" s="50"/>
      <c r="H41" s="50"/>
      <c r="I41" s="50"/>
      <c r="J41" s="50"/>
      <c r="K41" s="52"/>
      <c r="L41" s="52"/>
      <c r="M41" s="50"/>
      <c r="N41" s="50"/>
      <c r="O41" s="50"/>
      <c r="P41" s="50"/>
      <c r="Q41" s="50"/>
      <c r="R41" s="50"/>
      <c r="S41" s="50"/>
      <c r="T41" s="52"/>
      <c r="U41" s="52"/>
      <c r="V41" s="50"/>
      <c r="W41" s="50"/>
      <c r="X41" s="50"/>
      <c r="Y41" s="50"/>
      <c r="Z41" s="50"/>
      <c r="AA41" s="50"/>
      <c r="AB41" s="50"/>
      <c r="AC41" s="52"/>
      <c r="AD41" s="52"/>
      <c r="AE41" s="50"/>
      <c r="AF41" s="50"/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44"/>
        <v>0</v>
      </c>
    </row>
    <row r="42" spans="1:47">
      <c r="B42" s="23">
        <v>16</v>
      </c>
      <c r="C42" s="11"/>
      <c r="D42" s="11"/>
      <c r="E42" s="50"/>
      <c r="F42" s="50"/>
      <c r="G42" s="50"/>
      <c r="H42" s="50"/>
      <c r="I42" s="50"/>
      <c r="J42" s="50"/>
      <c r="K42" s="52"/>
      <c r="L42" s="52"/>
      <c r="M42" s="50"/>
      <c r="N42" s="50"/>
      <c r="O42" s="50"/>
      <c r="P42" s="50"/>
      <c r="Q42" s="50"/>
      <c r="R42" s="50"/>
      <c r="S42" s="50"/>
      <c r="T42" s="52"/>
      <c r="U42" s="52"/>
      <c r="V42" s="50"/>
      <c r="W42" s="50"/>
      <c r="X42" s="50"/>
      <c r="Y42" s="50"/>
      <c r="Z42" s="50"/>
      <c r="AA42" s="50"/>
      <c r="AB42" s="50"/>
      <c r="AC42" s="52"/>
      <c r="AD42" s="52"/>
      <c r="AE42" s="50"/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44"/>
        <v>0</v>
      </c>
    </row>
    <row r="43" spans="1:47" ht="19.5">
      <c r="B43" s="22">
        <v>1</v>
      </c>
      <c r="C43" s="12" t="s">
        <v>58</v>
      </c>
      <c r="D43" s="7"/>
      <c r="E43" s="8">
        <f>COUNTIF(E27:E42,"1")</f>
        <v>1</v>
      </c>
      <c r="F43" s="8">
        <f>COUNTIF(F27:F42,"1")</f>
        <v>1</v>
      </c>
      <c r="G43" s="8">
        <f>COUNTIF(G27:G42,"1")</f>
        <v>0</v>
      </c>
      <c r="H43" s="8">
        <f>COUNTIF(H27:H42,"1")</f>
        <v>0</v>
      </c>
      <c r="I43" s="8">
        <f>COUNTIF(I27:I42,"1")</f>
        <v>1</v>
      </c>
      <c r="J43" s="8">
        <f>COUNTIF(J27:J42,"1")</f>
        <v>1</v>
      </c>
      <c r="K43" s="8">
        <f>COUNTIF(K27:K42,"1")</f>
        <v>0</v>
      </c>
      <c r="L43" s="8">
        <f>COUNTIF(L27:L42,"1")</f>
        <v>0</v>
      </c>
      <c r="M43" s="8">
        <f>COUNTIF(M27:M42,"1")</f>
        <v>0</v>
      </c>
      <c r="N43" s="8">
        <f>COUNTIF(N27:N42,"1")</f>
        <v>1</v>
      </c>
      <c r="O43" s="8">
        <f>COUNTIF(O27:O42,"1")</f>
        <v>1</v>
      </c>
      <c r="P43" s="8">
        <f>COUNTIF(P27:P42,"1")</f>
        <v>1</v>
      </c>
      <c r="Q43" s="8">
        <f>COUNTIF(Q27:Q42,"1")</f>
        <v>1</v>
      </c>
      <c r="R43" s="8">
        <f>COUNTIF(R27:R42,"1")</f>
        <v>1</v>
      </c>
      <c r="S43" s="8">
        <f>COUNTIF(S27:S42,"1")</f>
        <v>0</v>
      </c>
      <c r="T43" s="8">
        <f>COUNTIF(T27:T42,"1")</f>
        <v>0</v>
      </c>
      <c r="U43" s="8">
        <f>COUNTIF(U27:U42,"1")</f>
        <v>0</v>
      </c>
      <c r="V43" s="8">
        <f>COUNTIF(V27:V42,"1")</f>
        <v>1</v>
      </c>
      <c r="W43" s="8">
        <f>COUNTIF(W27:W42,"1")</f>
        <v>0</v>
      </c>
      <c r="X43" s="8">
        <f>COUNTIF(X27:X42,"1")</f>
        <v>1</v>
      </c>
      <c r="Y43" s="8">
        <f>COUNTIF(Y27:Y42,"1")</f>
        <v>1</v>
      </c>
      <c r="Z43" s="8">
        <f>COUNTIF(Z27:Z42,"1")</f>
        <v>0</v>
      </c>
      <c r="AA43" s="8">
        <f>COUNTIF(AA27:AA42,"1")</f>
        <v>0</v>
      </c>
      <c r="AB43" s="8">
        <f>COUNTIF(AB27:AB42,"1")</f>
        <v>0</v>
      </c>
      <c r="AC43" s="8">
        <f>COUNTIF(AC27:AC42,"1")</f>
        <v>0</v>
      </c>
      <c r="AD43" s="8">
        <f>COUNTIF(AD27:AD42,"1")</f>
        <v>0</v>
      </c>
      <c r="AE43" s="8">
        <f>COUNTIF(AE27:AE42,"1")</f>
        <v>0</v>
      </c>
      <c r="AF43" s="8">
        <f>COUNTIF(AF27:AF42,"1")</f>
        <v>0</v>
      </c>
      <c r="AG43" s="8">
        <f>COUNTIF(AG27:AG42,"1")</f>
        <v>0</v>
      </c>
      <c r="AH43" s="8">
        <f>COUNTIF(AH27:AH42,"1")</f>
        <v>0</v>
      </c>
      <c r="AI43" s="8">
        <f>COUNTIF(AI27:AI42,"1")</f>
        <v>0</v>
      </c>
      <c r="AJ43" s="8">
        <f>COUNTIF(AJ27:AJ42,"1")</f>
        <v>0</v>
      </c>
      <c r="AK43" s="8">
        <f>COUNTIF(AK27:AK42,"1")</f>
        <v>0</v>
      </c>
      <c r="AL43" s="8">
        <f>COUNTIF(AL27:AL42,"1")</f>
        <v>0</v>
      </c>
      <c r="AM43" s="8">
        <f>COUNTIF(AM27:AM42,"1")</f>
        <v>0</v>
      </c>
      <c r="AN43" s="8">
        <f>COUNTIF(AN27:AN42,"1")</f>
        <v>0</v>
      </c>
      <c r="AO43" s="8">
        <f>COUNTIF(AO27:AO42,"1")</f>
        <v>0</v>
      </c>
      <c r="AP43" s="8">
        <f>COUNTIF(AP27:AP42,"1")</f>
        <v>0</v>
      </c>
    </row>
    <row r="45" spans="1:47">
      <c r="C45" s="68">
        <f>SUM(B23+B43)</f>
        <v>15</v>
      </c>
    </row>
  </sheetData>
  <sortState xmlns:xlrd2="http://schemas.microsoft.com/office/spreadsheetml/2017/richdata2" ref="C7:M21">
    <sortCondition ref="D7:D21"/>
  </sortState>
  <mergeCells count="88"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AJ4:AJ5"/>
    <mergeCell ref="AK4:AK5"/>
    <mergeCell ref="AL4:AL5"/>
    <mergeCell ref="AM4:AM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AQ4:AQ5"/>
    <mergeCell ref="AR4:AR5"/>
    <mergeCell ref="AS4:AS5"/>
    <mergeCell ref="AT4:AT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A27:A34"/>
    <mergeCell ref="AP4:AP5"/>
    <mergeCell ref="C1:AM3"/>
    <mergeCell ref="A6:A13"/>
    <mergeCell ref="A14:A22"/>
    <mergeCell ref="AN4:AN5"/>
    <mergeCell ref="AO4:AO5"/>
    <mergeCell ref="Q4:Q5"/>
    <mergeCell ref="R4:R5"/>
    <mergeCell ref="S4:S5"/>
    <mergeCell ref="T4:T5"/>
    <mergeCell ref="U4:U5"/>
    <mergeCell ref="V4:V5"/>
    <mergeCell ref="W4:W5"/>
    <mergeCell ref="X4:X5"/>
    <mergeCell ref="Y4:Y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63"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4679-9DB2-4184-AA1F-40F87864A726}">
  <sheetPr>
    <tabColor theme="1" tint="0.249977111117893"/>
  </sheetPr>
  <dimension ref="A1:AU46"/>
  <sheetViews>
    <sheetView workbookViewId="0">
      <selection activeCell="AG38" sqref="AG38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32.42578125" customWidth="1"/>
    <col min="4" max="4" width="4.42578125" customWidth="1"/>
    <col min="5" max="39" width="7.140625" bestFit="1" customWidth="1"/>
    <col min="40" max="42" width="7.140625" style="19" bestFit="1" customWidth="1"/>
    <col min="43" max="43" width="7.140625" style="17" bestFit="1" customWidth="1"/>
    <col min="44" max="46" width="7.140625" bestFit="1" customWidth="1"/>
  </cols>
  <sheetData>
    <row r="1" spans="1:47" ht="14.45" customHeight="1">
      <c r="C1" s="101" t="s">
        <v>108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3"/>
      <c r="AL1" s="13"/>
      <c r="AM1" s="13"/>
      <c r="AN1" s="16"/>
      <c r="AO1" s="16"/>
      <c r="AP1" s="16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3"/>
      <c r="AL2" s="13"/>
      <c r="AM2" s="13"/>
      <c r="AN2" s="16"/>
      <c r="AO2" s="16"/>
      <c r="AP2" s="16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3"/>
      <c r="AL3" s="13"/>
      <c r="AM3" s="13"/>
      <c r="AN3" s="16"/>
      <c r="AO3" s="16"/>
      <c r="AP3" s="16"/>
    </row>
    <row r="4" spans="1:47" ht="21" customHeight="1">
      <c r="B4" s="22"/>
      <c r="C4" s="13"/>
      <c r="D4" s="13"/>
      <c r="E4" s="99">
        <v>45909</v>
      </c>
      <c r="F4" s="99">
        <f>E4+7</f>
        <v>45916</v>
      </c>
      <c r="G4" s="99">
        <f t="shared" ref="G4:AT4" si="0">F4+7</f>
        <v>45923</v>
      </c>
      <c r="H4" s="99">
        <f t="shared" si="0"/>
        <v>45930</v>
      </c>
      <c r="I4" s="99">
        <f t="shared" si="0"/>
        <v>45937</v>
      </c>
      <c r="J4" s="99">
        <f t="shared" si="0"/>
        <v>45944</v>
      </c>
      <c r="K4" s="99">
        <f t="shared" si="0"/>
        <v>45951</v>
      </c>
      <c r="L4" s="99">
        <f t="shared" si="0"/>
        <v>45958</v>
      </c>
      <c r="M4" s="99">
        <f t="shared" si="0"/>
        <v>45965</v>
      </c>
      <c r="N4" s="99">
        <f t="shared" si="0"/>
        <v>45972</v>
      </c>
      <c r="O4" s="99">
        <f t="shared" si="0"/>
        <v>45979</v>
      </c>
      <c r="P4" s="99">
        <f t="shared" si="0"/>
        <v>45986</v>
      </c>
      <c r="Q4" s="99">
        <f t="shared" si="0"/>
        <v>45993</v>
      </c>
      <c r="R4" s="99">
        <f t="shared" si="0"/>
        <v>46000</v>
      </c>
      <c r="S4" s="99">
        <f t="shared" si="0"/>
        <v>46007</v>
      </c>
      <c r="T4" s="99">
        <f t="shared" si="0"/>
        <v>46014</v>
      </c>
      <c r="U4" s="99">
        <f t="shared" si="0"/>
        <v>46021</v>
      </c>
      <c r="V4" s="99">
        <f t="shared" si="0"/>
        <v>46028</v>
      </c>
      <c r="W4" s="99">
        <f t="shared" si="0"/>
        <v>46035</v>
      </c>
      <c r="X4" s="99">
        <f t="shared" si="0"/>
        <v>46042</v>
      </c>
      <c r="Y4" s="99">
        <f t="shared" si="0"/>
        <v>46049</v>
      </c>
      <c r="Z4" s="99">
        <f t="shared" si="0"/>
        <v>46056</v>
      </c>
      <c r="AA4" s="99">
        <f t="shared" si="0"/>
        <v>46063</v>
      </c>
      <c r="AB4" s="99">
        <f t="shared" si="0"/>
        <v>46070</v>
      </c>
      <c r="AC4" s="99">
        <f t="shared" si="0"/>
        <v>46077</v>
      </c>
      <c r="AD4" s="99">
        <f t="shared" si="0"/>
        <v>46084</v>
      </c>
      <c r="AE4" s="99">
        <f t="shared" si="0"/>
        <v>46091</v>
      </c>
      <c r="AF4" s="99">
        <f t="shared" si="0"/>
        <v>46098</v>
      </c>
      <c r="AG4" s="99">
        <f t="shared" si="0"/>
        <v>46105</v>
      </c>
      <c r="AH4" s="99">
        <f t="shared" si="0"/>
        <v>46112</v>
      </c>
      <c r="AI4" s="99">
        <f t="shared" si="0"/>
        <v>46119</v>
      </c>
      <c r="AJ4" s="99">
        <f t="shared" si="0"/>
        <v>46126</v>
      </c>
      <c r="AK4" s="99">
        <f t="shared" si="0"/>
        <v>46133</v>
      </c>
      <c r="AL4" s="99">
        <f t="shared" si="0"/>
        <v>46140</v>
      </c>
      <c r="AM4" s="99">
        <f t="shared" si="0"/>
        <v>46147</v>
      </c>
      <c r="AN4" s="99">
        <f t="shared" si="0"/>
        <v>46154</v>
      </c>
      <c r="AO4" s="99">
        <f t="shared" si="0"/>
        <v>46161</v>
      </c>
      <c r="AP4" s="99">
        <f t="shared" si="0"/>
        <v>46168</v>
      </c>
      <c r="AQ4" s="99">
        <f t="shared" si="0"/>
        <v>46175</v>
      </c>
      <c r="AR4" s="99">
        <f t="shared" si="0"/>
        <v>46182</v>
      </c>
      <c r="AS4" s="99">
        <f t="shared" si="0"/>
        <v>46189</v>
      </c>
      <c r="AT4" s="99">
        <f t="shared" si="0"/>
        <v>46196</v>
      </c>
    </row>
    <row r="5" spans="1:47" ht="2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</row>
    <row r="7" spans="1:47">
      <c r="A7" s="102"/>
      <c r="B7" s="59">
        <v>1</v>
      </c>
      <c r="C7" s="9" t="s">
        <v>109</v>
      </c>
      <c r="D7" s="24" t="s">
        <v>110</v>
      </c>
      <c r="E7" s="47">
        <v>1</v>
      </c>
      <c r="F7" s="47">
        <v>0</v>
      </c>
      <c r="G7" s="47">
        <v>0</v>
      </c>
      <c r="H7" s="47">
        <v>1</v>
      </c>
      <c r="I7" s="47">
        <v>1</v>
      </c>
      <c r="J7" s="47">
        <v>1</v>
      </c>
      <c r="K7" s="49"/>
      <c r="L7" s="49"/>
      <c r="M7" s="47">
        <v>0</v>
      </c>
      <c r="N7" s="47">
        <v>0</v>
      </c>
      <c r="O7" s="47">
        <v>1</v>
      </c>
      <c r="P7" s="47">
        <v>1</v>
      </c>
      <c r="Q7" s="47">
        <v>1</v>
      </c>
      <c r="R7" s="47">
        <v>1</v>
      </c>
      <c r="S7" s="47">
        <v>1</v>
      </c>
      <c r="T7" s="49"/>
      <c r="U7" s="49"/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/>
      <c r="AC7" s="49"/>
      <c r="AD7" s="49">
        <v>0</v>
      </c>
      <c r="AE7" s="47">
        <v>1</v>
      </c>
      <c r="AF7" s="47">
        <v>1</v>
      </c>
      <c r="AG7" s="47">
        <v>1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>SUM(I7:AT7)</f>
        <v>16</v>
      </c>
    </row>
    <row r="8" spans="1:47">
      <c r="A8" s="102"/>
      <c r="B8" s="23">
        <v>2</v>
      </c>
      <c r="C8" s="33" t="s">
        <v>111</v>
      </c>
      <c r="D8" s="9" t="s">
        <v>110</v>
      </c>
      <c r="E8" s="87">
        <v>0</v>
      </c>
      <c r="F8" s="50">
        <v>0</v>
      </c>
      <c r="G8" s="50">
        <v>1</v>
      </c>
      <c r="H8" s="50">
        <v>1</v>
      </c>
      <c r="I8" s="50">
        <v>0</v>
      </c>
      <c r="J8" s="50">
        <v>0</v>
      </c>
      <c r="K8" s="52"/>
      <c r="L8" s="52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2"/>
      <c r="U8" s="52"/>
      <c r="V8" s="50">
        <v>1</v>
      </c>
      <c r="W8" s="50">
        <v>1</v>
      </c>
      <c r="X8" s="50">
        <v>0</v>
      </c>
      <c r="Y8" s="50">
        <v>1</v>
      </c>
      <c r="Z8" s="50">
        <v>1</v>
      </c>
      <c r="AA8" s="50">
        <v>1</v>
      </c>
      <c r="AB8" s="50"/>
      <c r="AC8" s="52"/>
      <c r="AD8" s="52">
        <v>1</v>
      </c>
      <c r="AE8" s="50">
        <v>0</v>
      </c>
      <c r="AF8" s="50">
        <v>0</v>
      </c>
      <c r="AG8" s="50">
        <v>0</v>
      </c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ref="AU8:AU22" si="1">SUM(I8:AT8)</f>
        <v>13</v>
      </c>
    </row>
    <row r="9" spans="1:47">
      <c r="A9" s="102"/>
      <c r="B9" s="23">
        <v>3</v>
      </c>
      <c r="C9" s="24" t="s">
        <v>112</v>
      </c>
      <c r="D9" s="9" t="s">
        <v>110</v>
      </c>
      <c r="E9" s="87">
        <v>1</v>
      </c>
      <c r="F9" s="87">
        <v>1</v>
      </c>
      <c r="G9" s="87">
        <v>0</v>
      </c>
      <c r="H9" s="50">
        <v>1</v>
      </c>
      <c r="I9" s="50">
        <v>1</v>
      </c>
      <c r="J9" s="50">
        <v>1</v>
      </c>
      <c r="K9" s="52"/>
      <c r="L9" s="52"/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2"/>
      <c r="U9" s="52"/>
      <c r="V9" s="50">
        <v>1</v>
      </c>
      <c r="W9" s="50">
        <v>1</v>
      </c>
      <c r="X9" s="50">
        <v>0</v>
      </c>
      <c r="Y9" s="50">
        <v>0</v>
      </c>
      <c r="Z9" s="50">
        <v>1</v>
      </c>
      <c r="AA9" s="50">
        <v>1</v>
      </c>
      <c r="AB9" s="50">
        <v>1</v>
      </c>
      <c r="AC9" s="52"/>
      <c r="AD9" s="52">
        <v>1</v>
      </c>
      <c r="AE9" s="50">
        <v>1</v>
      </c>
      <c r="AF9" s="50">
        <v>1</v>
      </c>
      <c r="AG9" s="50">
        <v>1</v>
      </c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18</v>
      </c>
    </row>
    <row r="10" spans="1:47">
      <c r="A10" s="102"/>
      <c r="B10" s="23">
        <v>4</v>
      </c>
      <c r="C10" s="33" t="s">
        <v>113</v>
      </c>
      <c r="D10" s="9" t="s">
        <v>114</v>
      </c>
      <c r="E10" s="50">
        <v>1</v>
      </c>
      <c r="F10" s="50">
        <v>1</v>
      </c>
      <c r="G10" s="50">
        <v>0</v>
      </c>
      <c r="H10" s="50">
        <v>1</v>
      </c>
      <c r="I10" s="50">
        <v>1</v>
      </c>
      <c r="J10" s="50">
        <v>1</v>
      </c>
      <c r="K10" s="52"/>
      <c r="L10" s="52"/>
      <c r="M10" s="50">
        <v>0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2"/>
      <c r="U10" s="52"/>
      <c r="V10" s="50">
        <v>1</v>
      </c>
      <c r="W10" s="50">
        <v>0</v>
      </c>
      <c r="X10" s="50">
        <v>1</v>
      </c>
      <c r="Y10" s="50">
        <v>1</v>
      </c>
      <c r="Z10" s="50">
        <v>1</v>
      </c>
      <c r="AA10" s="50">
        <v>0</v>
      </c>
      <c r="AB10" s="50"/>
      <c r="AC10" s="52"/>
      <c r="AD10" s="52">
        <v>1</v>
      </c>
      <c r="AE10" s="50">
        <v>1</v>
      </c>
      <c r="AF10" s="50">
        <v>1</v>
      </c>
      <c r="AG10" s="50">
        <v>0</v>
      </c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15</v>
      </c>
    </row>
    <row r="11" spans="1:47">
      <c r="A11" s="102"/>
      <c r="B11" s="23">
        <v>5</v>
      </c>
      <c r="C11" s="33" t="s">
        <v>115</v>
      </c>
      <c r="D11" s="9" t="s">
        <v>114</v>
      </c>
      <c r="E11" s="50">
        <v>1</v>
      </c>
      <c r="F11" s="50">
        <v>1</v>
      </c>
      <c r="G11" s="50">
        <v>1</v>
      </c>
      <c r="H11" s="50">
        <v>1</v>
      </c>
      <c r="I11" s="50">
        <v>1</v>
      </c>
      <c r="J11" s="50">
        <v>0</v>
      </c>
      <c r="K11" s="52"/>
      <c r="L11" s="52"/>
      <c r="M11" s="50">
        <v>1</v>
      </c>
      <c r="N11" s="50">
        <v>0</v>
      </c>
      <c r="O11" s="50">
        <v>1</v>
      </c>
      <c r="P11" s="50">
        <v>1</v>
      </c>
      <c r="Q11" s="50">
        <v>0</v>
      </c>
      <c r="R11" s="50">
        <v>0</v>
      </c>
      <c r="S11" s="50">
        <v>0</v>
      </c>
      <c r="T11" s="52"/>
      <c r="U11" s="52"/>
      <c r="V11" s="50">
        <v>0</v>
      </c>
      <c r="W11" s="50">
        <v>0</v>
      </c>
      <c r="X11" s="50">
        <v>1</v>
      </c>
      <c r="Y11" s="50">
        <v>1</v>
      </c>
      <c r="Z11" s="50">
        <v>1</v>
      </c>
      <c r="AA11" s="50">
        <v>1</v>
      </c>
      <c r="AB11" s="50"/>
      <c r="AC11" s="52"/>
      <c r="AD11" s="52">
        <v>1</v>
      </c>
      <c r="AE11" s="50">
        <v>1</v>
      </c>
      <c r="AF11" s="50">
        <v>1</v>
      </c>
      <c r="AG11" s="50">
        <v>0</v>
      </c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11</v>
      </c>
    </row>
    <row r="12" spans="1:47">
      <c r="A12" s="102"/>
      <c r="B12" s="23">
        <v>6</v>
      </c>
      <c r="C12" s="33" t="s">
        <v>116</v>
      </c>
      <c r="D12" s="9" t="s">
        <v>114</v>
      </c>
      <c r="E12" s="50">
        <v>1</v>
      </c>
      <c r="F12" s="50">
        <v>0</v>
      </c>
      <c r="G12" s="50">
        <v>1</v>
      </c>
      <c r="H12" s="50">
        <v>1</v>
      </c>
      <c r="I12" s="50">
        <v>1</v>
      </c>
      <c r="J12" s="50">
        <v>1</v>
      </c>
      <c r="K12" s="52"/>
      <c r="L12" s="52"/>
      <c r="M12" s="50">
        <v>0</v>
      </c>
      <c r="N12" s="50">
        <v>0</v>
      </c>
      <c r="O12" s="50">
        <v>1</v>
      </c>
      <c r="P12" s="50">
        <v>1</v>
      </c>
      <c r="Q12" s="50">
        <v>1</v>
      </c>
      <c r="R12" s="50">
        <v>1</v>
      </c>
      <c r="S12" s="50">
        <v>0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2"/>
      <c r="AD12" s="52">
        <v>0</v>
      </c>
      <c r="AE12" s="50">
        <v>0</v>
      </c>
      <c r="AF12" s="50">
        <v>1</v>
      </c>
      <c r="AG12" s="50">
        <v>1</v>
      </c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15</v>
      </c>
    </row>
    <row r="13" spans="1:47">
      <c r="A13" s="102"/>
      <c r="B13" s="23">
        <v>7</v>
      </c>
      <c r="C13" s="33" t="s">
        <v>117</v>
      </c>
      <c r="D13" s="9" t="s">
        <v>114</v>
      </c>
      <c r="E13" s="87">
        <v>1</v>
      </c>
      <c r="F13" s="87">
        <v>0</v>
      </c>
      <c r="G13" s="87">
        <v>1</v>
      </c>
      <c r="H13" s="87">
        <v>1</v>
      </c>
      <c r="I13" s="87">
        <v>1</v>
      </c>
      <c r="J13" s="87">
        <v>1</v>
      </c>
      <c r="K13" s="87"/>
      <c r="L13" s="87"/>
      <c r="M13" s="87">
        <v>1</v>
      </c>
      <c r="N13" s="87">
        <v>1</v>
      </c>
      <c r="O13" s="87">
        <v>0</v>
      </c>
      <c r="P13" s="87">
        <v>1</v>
      </c>
      <c r="Q13" s="87">
        <v>1</v>
      </c>
      <c r="R13" s="87">
        <v>1</v>
      </c>
      <c r="S13" s="87">
        <v>1</v>
      </c>
      <c r="T13" s="52"/>
      <c r="U13" s="52"/>
      <c r="V13" s="50">
        <v>1</v>
      </c>
      <c r="W13" s="50">
        <v>1</v>
      </c>
      <c r="X13" s="50">
        <v>0</v>
      </c>
      <c r="Y13" s="50">
        <v>1</v>
      </c>
      <c r="Z13" s="50">
        <v>1</v>
      </c>
      <c r="AA13" s="50">
        <v>1</v>
      </c>
      <c r="AB13" s="50">
        <v>1</v>
      </c>
      <c r="AC13" s="52"/>
      <c r="AD13" s="52">
        <v>1</v>
      </c>
      <c r="AE13" s="50">
        <v>1</v>
      </c>
      <c r="AF13" s="50">
        <v>1</v>
      </c>
      <c r="AG13" s="50">
        <v>0</v>
      </c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17</v>
      </c>
    </row>
    <row r="14" spans="1:47">
      <c r="A14" s="102"/>
      <c r="B14" s="23">
        <v>8</v>
      </c>
      <c r="C14" s="24"/>
      <c r="D14" s="9"/>
      <c r="E14" s="50"/>
      <c r="F14" s="50"/>
      <c r="G14" s="50"/>
      <c r="H14" s="50"/>
      <c r="I14" s="50"/>
      <c r="J14" s="50"/>
      <c r="K14" s="52"/>
      <c r="L14" s="52"/>
      <c r="M14" s="50"/>
      <c r="N14" s="50"/>
      <c r="O14" s="50"/>
      <c r="P14" s="50"/>
      <c r="Q14" s="50"/>
      <c r="R14" s="50"/>
      <c r="S14" s="50"/>
      <c r="T14" s="52"/>
      <c r="U14" s="52"/>
      <c r="V14" s="50"/>
      <c r="W14" s="50"/>
      <c r="X14" s="50"/>
      <c r="Y14" s="50"/>
      <c r="Z14" s="50"/>
      <c r="AA14" s="50"/>
      <c r="AB14" s="50"/>
      <c r="AC14" s="52"/>
      <c r="AD14" s="52"/>
      <c r="AE14" s="50"/>
      <c r="AF14" s="50"/>
      <c r="AG14" s="50"/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0</v>
      </c>
    </row>
    <row r="15" spans="1:47">
      <c r="A15" s="102"/>
      <c r="B15" s="23">
        <v>9</v>
      </c>
      <c r="C15" s="24"/>
      <c r="D15" s="9"/>
      <c r="E15" s="47"/>
      <c r="F15" s="47"/>
      <c r="G15" s="47"/>
      <c r="H15" s="47"/>
      <c r="I15" s="47"/>
      <c r="J15" s="47"/>
      <c r="K15" s="49"/>
      <c r="L15" s="49"/>
      <c r="M15" s="47"/>
      <c r="N15" s="47"/>
      <c r="O15" s="47"/>
      <c r="P15" s="47"/>
      <c r="Q15" s="47"/>
      <c r="R15" s="47"/>
      <c r="S15" s="47"/>
      <c r="T15" s="49"/>
      <c r="U15" s="49"/>
      <c r="V15" s="47"/>
      <c r="W15" s="47"/>
      <c r="X15" s="47"/>
      <c r="Y15" s="47"/>
      <c r="Z15" s="47"/>
      <c r="AA15" s="47"/>
      <c r="AB15" s="47"/>
      <c r="AC15" s="49"/>
      <c r="AD15" s="49"/>
      <c r="AE15" s="47"/>
      <c r="AF15" s="47"/>
      <c r="AG15" s="47"/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0</v>
      </c>
    </row>
    <row r="16" spans="1:47">
      <c r="A16" s="102"/>
      <c r="B16" s="23">
        <v>10</v>
      </c>
      <c r="C16" s="24"/>
      <c r="D16" s="9"/>
      <c r="E16" s="50"/>
      <c r="F16" s="50"/>
      <c r="G16" s="50"/>
      <c r="H16" s="50"/>
      <c r="I16" s="50"/>
      <c r="J16" s="50"/>
      <c r="K16" s="52"/>
      <c r="L16" s="52"/>
      <c r="M16" s="50"/>
      <c r="N16" s="50"/>
      <c r="O16" s="50"/>
      <c r="P16" s="50"/>
      <c r="Q16" s="50"/>
      <c r="R16" s="50"/>
      <c r="S16" s="50"/>
      <c r="T16" s="52"/>
      <c r="U16" s="52"/>
      <c r="V16" s="50"/>
      <c r="W16" s="50"/>
      <c r="X16" s="50"/>
      <c r="Y16" s="50"/>
      <c r="Z16" s="50"/>
      <c r="AA16" s="50"/>
      <c r="AB16" s="50"/>
      <c r="AC16" s="52"/>
      <c r="AD16" s="52"/>
      <c r="AE16" s="50"/>
      <c r="AF16" s="50"/>
      <c r="AG16" s="50"/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0</v>
      </c>
    </row>
    <row r="17" spans="1:47">
      <c r="A17" s="102"/>
      <c r="B17" s="23">
        <v>11</v>
      </c>
      <c r="C17" s="24"/>
      <c r="D17" s="9"/>
      <c r="E17" s="50"/>
      <c r="F17" s="50"/>
      <c r="G17" s="50"/>
      <c r="H17" s="50"/>
      <c r="I17" s="50"/>
      <c r="J17" s="50"/>
      <c r="K17" s="52"/>
      <c r="L17" s="52"/>
      <c r="M17" s="50"/>
      <c r="N17" s="50"/>
      <c r="O17" s="50"/>
      <c r="P17" s="50"/>
      <c r="Q17" s="50"/>
      <c r="R17" s="50"/>
      <c r="S17" s="50"/>
      <c r="T17" s="52"/>
      <c r="U17" s="52"/>
      <c r="V17" s="50"/>
      <c r="W17" s="50"/>
      <c r="X17" s="50"/>
      <c r="Y17" s="50"/>
      <c r="Z17" s="50"/>
      <c r="AA17" s="50"/>
      <c r="AB17" s="50"/>
      <c r="AC17" s="52"/>
      <c r="AD17" s="52"/>
      <c r="AE17" s="50"/>
      <c r="AF17" s="50"/>
      <c r="AG17" s="50"/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0</v>
      </c>
    </row>
    <row r="18" spans="1:47">
      <c r="A18" s="102"/>
      <c r="B18" s="23">
        <v>12</v>
      </c>
      <c r="C18" s="24"/>
      <c r="D18" s="9"/>
      <c r="E18" s="50"/>
      <c r="F18" s="50"/>
      <c r="G18" s="50"/>
      <c r="H18" s="50"/>
      <c r="I18" s="50"/>
      <c r="J18" s="50"/>
      <c r="K18" s="52"/>
      <c r="L18" s="52"/>
      <c r="M18" s="50"/>
      <c r="N18" s="50"/>
      <c r="O18" s="50"/>
      <c r="P18" s="50"/>
      <c r="Q18" s="50"/>
      <c r="R18" s="50"/>
      <c r="S18" s="50"/>
      <c r="T18" s="52"/>
      <c r="U18" s="52"/>
      <c r="V18" s="50"/>
      <c r="W18" s="50"/>
      <c r="X18" s="50"/>
      <c r="Y18" s="50"/>
      <c r="Z18" s="50"/>
      <c r="AA18" s="50"/>
      <c r="AB18" s="50"/>
      <c r="AC18" s="52"/>
      <c r="AD18" s="52"/>
      <c r="AE18" s="50"/>
      <c r="AF18" s="50"/>
      <c r="AG18" s="50"/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0</v>
      </c>
    </row>
    <row r="19" spans="1:47">
      <c r="A19" s="102"/>
      <c r="B19" s="23">
        <v>13</v>
      </c>
      <c r="C19" s="24"/>
      <c r="D19" s="9"/>
      <c r="E19" s="50"/>
      <c r="F19" s="50"/>
      <c r="G19" s="50"/>
      <c r="H19" s="50"/>
      <c r="I19" s="50"/>
      <c r="J19" s="50"/>
      <c r="K19" s="52"/>
      <c r="L19" s="52"/>
      <c r="M19" s="50"/>
      <c r="N19" s="50"/>
      <c r="O19" s="50"/>
      <c r="P19" s="50"/>
      <c r="Q19" s="50"/>
      <c r="R19" s="50"/>
      <c r="S19" s="50"/>
      <c r="T19" s="52"/>
      <c r="U19" s="52"/>
      <c r="V19" s="50"/>
      <c r="W19" s="50"/>
      <c r="X19" s="50"/>
      <c r="Y19" s="50"/>
      <c r="Z19" s="50"/>
      <c r="AA19" s="50"/>
      <c r="AB19" s="50"/>
      <c r="AC19" s="52"/>
      <c r="AD19" s="52"/>
      <c r="AE19" s="50"/>
      <c r="AF19" s="50"/>
      <c r="AG19" s="50"/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0</v>
      </c>
    </row>
    <row r="20" spans="1:47">
      <c r="A20" s="102"/>
      <c r="B20" s="23">
        <v>14</v>
      </c>
      <c r="C20" s="24"/>
      <c r="D20" s="9"/>
      <c r="E20" s="50"/>
      <c r="F20" s="50"/>
      <c r="G20" s="50"/>
      <c r="H20" s="50"/>
      <c r="I20" s="50"/>
      <c r="J20" s="50"/>
      <c r="K20" s="52"/>
      <c r="L20" s="52"/>
      <c r="M20" s="50"/>
      <c r="N20" s="50"/>
      <c r="O20" s="50"/>
      <c r="P20" s="50"/>
      <c r="Q20" s="50"/>
      <c r="R20" s="50"/>
      <c r="S20" s="50"/>
      <c r="T20" s="52"/>
      <c r="U20" s="52"/>
      <c r="V20" s="50"/>
      <c r="W20" s="50"/>
      <c r="X20" s="50"/>
      <c r="Y20" s="50"/>
      <c r="Z20" s="50"/>
      <c r="AA20" s="50"/>
      <c r="AB20" s="50"/>
      <c r="AC20" s="52"/>
      <c r="AD20" s="52"/>
      <c r="AE20" s="50"/>
      <c r="AF20" s="50"/>
      <c r="AG20" s="50"/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0</v>
      </c>
    </row>
    <row r="21" spans="1:47">
      <c r="A21" s="102"/>
      <c r="B21" s="23">
        <v>15</v>
      </c>
      <c r="C21" s="24"/>
      <c r="D21" s="9"/>
      <c r="E21" s="50"/>
      <c r="F21" s="50"/>
      <c r="G21" s="50"/>
      <c r="H21" s="50"/>
      <c r="I21" s="50"/>
      <c r="J21" s="50"/>
      <c r="K21" s="52"/>
      <c r="L21" s="52"/>
      <c r="M21" s="50"/>
      <c r="N21" s="50"/>
      <c r="O21" s="50"/>
      <c r="P21" s="50"/>
      <c r="Q21" s="50"/>
      <c r="R21" s="50"/>
      <c r="S21" s="50"/>
      <c r="T21" s="52"/>
      <c r="U21" s="52"/>
      <c r="V21" s="50"/>
      <c r="W21" s="50"/>
      <c r="X21" s="50"/>
      <c r="Y21" s="50"/>
      <c r="Z21" s="50"/>
      <c r="AA21" s="50"/>
      <c r="AB21" s="50"/>
      <c r="AC21" s="52"/>
      <c r="AD21" s="52"/>
      <c r="AE21" s="50"/>
      <c r="AF21" s="50"/>
      <c r="AG21" s="50"/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0</v>
      </c>
    </row>
    <row r="22" spans="1:47">
      <c r="A22" s="102"/>
      <c r="B22" s="23">
        <v>16</v>
      </c>
      <c r="C22" s="24"/>
      <c r="D22" s="9"/>
      <c r="E22" s="50"/>
      <c r="F22" s="50"/>
      <c r="G22" s="50"/>
      <c r="H22" s="50"/>
      <c r="I22" s="50"/>
      <c r="J22" s="50"/>
      <c r="K22" s="52"/>
      <c r="L22" s="52"/>
      <c r="M22" s="50"/>
      <c r="N22" s="50"/>
      <c r="O22" s="50"/>
      <c r="P22" s="50"/>
      <c r="Q22" s="50"/>
      <c r="R22" s="50"/>
      <c r="S22" s="50"/>
      <c r="T22" s="52"/>
      <c r="U22" s="52"/>
      <c r="V22" s="50"/>
      <c r="W22" s="50"/>
      <c r="X22" s="50"/>
      <c r="Y22" s="50"/>
      <c r="Z22" s="50"/>
      <c r="AA22" s="50"/>
      <c r="AB22" s="50"/>
      <c r="AC22" s="52"/>
      <c r="AD22" s="52"/>
      <c r="AE22" s="50"/>
      <c r="AF22" s="50"/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0</v>
      </c>
    </row>
    <row r="23" spans="1:47" ht="19.5">
      <c r="A23" s="3"/>
      <c r="B23" s="68">
        <v>6</v>
      </c>
      <c r="C23" s="12" t="s">
        <v>48</v>
      </c>
      <c r="D23" s="7"/>
      <c r="E23" s="8">
        <f>COUNTIF(E7:E22,"1")</f>
        <v>6</v>
      </c>
      <c r="F23" s="8">
        <f t="shared" ref="F23:AT23" si="2">COUNTIF(F7:F22,"1")</f>
        <v>3</v>
      </c>
      <c r="G23" s="8">
        <f t="shared" si="2"/>
        <v>4</v>
      </c>
      <c r="H23" s="8">
        <f t="shared" si="2"/>
        <v>7</v>
      </c>
      <c r="I23" s="8">
        <f t="shared" si="2"/>
        <v>6</v>
      </c>
      <c r="J23" s="8">
        <f t="shared" si="2"/>
        <v>5</v>
      </c>
      <c r="K23" s="8">
        <f t="shared" si="2"/>
        <v>0</v>
      </c>
      <c r="L23" s="8">
        <f t="shared" si="2"/>
        <v>0</v>
      </c>
      <c r="M23" s="8">
        <f t="shared" si="2"/>
        <v>4</v>
      </c>
      <c r="N23" s="8">
        <f t="shared" si="2"/>
        <v>4</v>
      </c>
      <c r="O23" s="8">
        <f t="shared" si="2"/>
        <v>6</v>
      </c>
      <c r="P23" s="8">
        <f t="shared" si="2"/>
        <v>7</v>
      </c>
      <c r="Q23" s="8">
        <f t="shared" si="2"/>
        <v>6</v>
      </c>
      <c r="R23" s="8">
        <f t="shared" si="2"/>
        <v>6</v>
      </c>
      <c r="S23" s="8">
        <f t="shared" si="2"/>
        <v>5</v>
      </c>
      <c r="T23" s="8">
        <f t="shared" si="2"/>
        <v>0</v>
      </c>
      <c r="U23" s="8">
        <f t="shared" si="2"/>
        <v>0</v>
      </c>
      <c r="V23" s="8">
        <f t="shared" si="2"/>
        <v>6</v>
      </c>
      <c r="W23" s="8">
        <f t="shared" si="2"/>
        <v>5</v>
      </c>
      <c r="X23" s="8">
        <f t="shared" si="2"/>
        <v>4</v>
      </c>
      <c r="Y23" s="8">
        <f t="shared" si="2"/>
        <v>6</v>
      </c>
      <c r="Z23" s="8">
        <f t="shared" si="2"/>
        <v>7</v>
      </c>
      <c r="AA23" s="8">
        <f t="shared" si="2"/>
        <v>6</v>
      </c>
      <c r="AB23" s="8">
        <f t="shared" si="2"/>
        <v>3</v>
      </c>
      <c r="AC23" s="8">
        <f t="shared" si="2"/>
        <v>0</v>
      </c>
      <c r="AD23" s="8">
        <f t="shared" si="2"/>
        <v>5</v>
      </c>
      <c r="AE23" s="8">
        <f t="shared" si="2"/>
        <v>5</v>
      </c>
      <c r="AF23" s="8">
        <f t="shared" si="2"/>
        <v>6</v>
      </c>
      <c r="AG23" s="8">
        <f t="shared" si="2"/>
        <v>3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/>
    </row>
    <row r="24" spans="1:47">
      <c r="B24" s="3"/>
      <c r="C24" t="s">
        <v>118</v>
      </c>
      <c r="E24" s="99">
        <v>45909</v>
      </c>
      <c r="F24" s="99">
        <f>E24+7</f>
        <v>45916</v>
      </c>
      <c r="G24" s="99">
        <f t="shared" ref="G24" si="3">F24+7</f>
        <v>45923</v>
      </c>
      <c r="H24" s="99">
        <f t="shared" ref="H24" si="4">G24+7</f>
        <v>45930</v>
      </c>
      <c r="I24" s="99">
        <f t="shared" ref="I24" si="5">H24+7</f>
        <v>45937</v>
      </c>
      <c r="J24" s="99">
        <f t="shared" ref="J24" si="6">I24+7</f>
        <v>45944</v>
      </c>
      <c r="K24" s="99">
        <f t="shared" ref="K24" si="7">J24+7</f>
        <v>45951</v>
      </c>
      <c r="L24" s="99">
        <f t="shared" ref="L24" si="8">K24+7</f>
        <v>45958</v>
      </c>
      <c r="M24" s="99">
        <f t="shared" ref="M24" si="9">L24+7</f>
        <v>45965</v>
      </c>
      <c r="N24" s="99">
        <f t="shared" ref="N24" si="10">M24+7</f>
        <v>45972</v>
      </c>
      <c r="O24" s="99">
        <f t="shared" ref="O24" si="11">N24+7</f>
        <v>45979</v>
      </c>
      <c r="P24" s="99">
        <f t="shared" ref="P24" si="12">O24+7</f>
        <v>45986</v>
      </c>
      <c r="Q24" s="99">
        <f t="shared" ref="Q24" si="13">P24+7</f>
        <v>45993</v>
      </c>
      <c r="R24" s="99">
        <f t="shared" ref="R24" si="14">Q24+7</f>
        <v>46000</v>
      </c>
      <c r="S24" s="99">
        <f t="shared" ref="S24" si="15">R24+7</f>
        <v>46007</v>
      </c>
      <c r="T24" s="99">
        <f t="shared" ref="T24" si="16">S24+7</f>
        <v>46014</v>
      </c>
      <c r="U24" s="99">
        <f t="shared" ref="U24" si="17">T24+7</f>
        <v>46021</v>
      </c>
      <c r="V24" s="99">
        <f t="shared" ref="V24" si="18">U24+7</f>
        <v>46028</v>
      </c>
      <c r="W24" s="99">
        <f t="shared" ref="W24" si="19">V24+7</f>
        <v>46035</v>
      </c>
      <c r="X24" s="99">
        <f t="shared" ref="X24" si="20">W24+7</f>
        <v>46042</v>
      </c>
      <c r="Y24" s="99">
        <f t="shared" ref="Y24" si="21">X24+7</f>
        <v>46049</v>
      </c>
      <c r="Z24" s="99">
        <f t="shared" ref="Z24" si="22">Y24+7</f>
        <v>46056</v>
      </c>
      <c r="AA24" s="99">
        <f t="shared" ref="AA24" si="23">Z24+7</f>
        <v>46063</v>
      </c>
      <c r="AB24" s="99">
        <f t="shared" ref="AB24" si="24">AA24+7</f>
        <v>46070</v>
      </c>
      <c r="AC24" s="99">
        <f t="shared" ref="AC24" si="25">AB24+7</f>
        <v>46077</v>
      </c>
      <c r="AD24" s="99">
        <f t="shared" ref="AD24" si="26">AC24+7</f>
        <v>46084</v>
      </c>
      <c r="AE24" s="99">
        <f t="shared" ref="AE24" si="27">AD24+7</f>
        <v>46091</v>
      </c>
      <c r="AF24" s="99">
        <f t="shared" ref="AF24" si="28">AE24+7</f>
        <v>46098</v>
      </c>
      <c r="AG24" s="99">
        <f t="shared" ref="AG24" si="29">AF24+7</f>
        <v>46105</v>
      </c>
      <c r="AH24" s="99">
        <f t="shared" ref="AH24" si="30">AG24+7</f>
        <v>46112</v>
      </c>
      <c r="AI24" s="99">
        <f t="shared" ref="AI24" si="31">AH24+7</f>
        <v>46119</v>
      </c>
      <c r="AJ24" s="99">
        <f t="shared" ref="AJ24" si="32">AI24+7</f>
        <v>46126</v>
      </c>
      <c r="AK24" s="99">
        <f t="shared" ref="AK24" si="33">AJ24+7</f>
        <v>46133</v>
      </c>
      <c r="AL24" s="99">
        <f t="shared" ref="AL24" si="34">AK24+7</f>
        <v>46140</v>
      </c>
      <c r="AM24" s="99">
        <f t="shared" ref="AM24" si="35">AL24+7</f>
        <v>46147</v>
      </c>
      <c r="AN24" s="99">
        <f t="shared" ref="AN24" si="36">AM24+7</f>
        <v>46154</v>
      </c>
      <c r="AO24" s="99">
        <f t="shared" ref="AO24" si="37">AN24+7</f>
        <v>46161</v>
      </c>
      <c r="AP24" s="99">
        <f t="shared" ref="AP24" si="38">AO24+7</f>
        <v>46168</v>
      </c>
      <c r="AQ24" s="99">
        <f t="shared" ref="AQ24" si="39">AP24+7</f>
        <v>46175</v>
      </c>
      <c r="AR24" s="99">
        <f t="shared" ref="AR24" si="40">AQ24+7</f>
        <v>46182</v>
      </c>
      <c r="AS24" s="99">
        <f t="shared" ref="AS24" si="41">AR24+7</f>
        <v>46189</v>
      </c>
      <c r="AT24" s="99">
        <f t="shared" ref="AT24" si="42">AS24+7</f>
        <v>46196</v>
      </c>
    </row>
    <row r="25" spans="1:47">
      <c r="B25" s="3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</row>
    <row r="26" spans="1:47" ht="15" customHeight="1">
      <c r="B26" s="3"/>
      <c r="C26" s="3"/>
      <c r="D26" s="3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</row>
    <row r="27" spans="1:47">
      <c r="A27" s="102" t="s">
        <v>105</v>
      </c>
      <c r="B27" s="23">
        <v>1</v>
      </c>
      <c r="C27" s="9" t="s">
        <v>119</v>
      </c>
      <c r="D27" s="9" t="s">
        <v>120</v>
      </c>
      <c r="E27" s="89">
        <v>0</v>
      </c>
      <c r="F27" s="47">
        <v>1</v>
      </c>
      <c r="G27" s="47">
        <v>0</v>
      </c>
      <c r="H27" s="47">
        <v>1</v>
      </c>
      <c r="I27" s="47">
        <v>0</v>
      </c>
      <c r="J27" s="47">
        <v>0</v>
      </c>
      <c r="K27" s="49"/>
      <c r="L27" s="49"/>
      <c r="M27" s="47">
        <v>1</v>
      </c>
      <c r="N27" s="47">
        <v>0</v>
      </c>
      <c r="O27" s="47">
        <v>1</v>
      </c>
      <c r="P27" s="47">
        <v>1</v>
      </c>
      <c r="Q27" s="47">
        <v>1</v>
      </c>
      <c r="R27" s="47">
        <v>1</v>
      </c>
      <c r="S27" s="47">
        <v>1</v>
      </c>
      <c r="T27" s="49"/>
      <c r="U27" s="49"/>
      <c r="V27" s="47">
        <v>1</v>
      </c>
      <c r="W27" s="47">
        <v>1</v>
      </c>
      <c r="X27" s="47">
        <v>1</v>
      </c>
      <c r="Y27" s="47">
        <v>1</v>
      </c>
      <c r="Z27" s="47">
        <v>1</v>
      </c>
      <c r="AA27" s="47">
        <v>1</v>
      </c>
      <c r="AB27" s="47">
        <v>1</v>
      </c>
      <c r="AC27" s="49"/>
      <c r="AD27" s="49"/>
      <c r="AE27" s="47">
        <v>0</v>
      </c>
      <c r="AF27" s="47">
        <v>1</v>
      </c>
      <c r="AG27" s="47">
        <v>1</v>
      </c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>SUM(I27:AT27)</f>
        <v>15</v>
      </c>
    </row>
    <row r="28" spans="1:47">
      <c r="A28" s="102"/>
      <c r="B28" s="23">
        <v>2</v>
      </c>
      <c r="C28" s="11" t="s">
        <v>121</v>
      </c>
      <c r="D28" s="11" t="s">
        <v>120</v>
      </c>
      <c r="E28" s="50">
        <v>1</v>
      </c>
      <c r="F28" s="50">
        <v>1</v>
      </c>
      <c r="G28" s="50">
        <v>1</v>
      </c>
      <c r="H28" s="50">
        <v>1</v>
      </c>
      <c r="I28" s="50">
        <v>1</v>
      </c>
      <c r="J28" s="50">
        <v>1</v>
      </c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50">
        <v>1</v>
      </c>
      <c r="R28" s="50">
        <v>1</v>
      </c>
      <c r="S28" s="50">
        <v>1</v>
      </c>
      <c r="T28" s="52"/>
      <c r="U28" s="52"/>
      <c r="V28" s="50">
        <v>0</v>
      </c>
      <c r="W28" s="50">
        <v>1</v>
      </c>
      <c r="X28" s="50">
        <v>1</v>
      </c>
      <c r="Y28" s="50">
        <v>1</v>
      </c>
      <c r="Z28" s="50">
        <v>1</v>
      </c>
      <c r="AA28" s="50">
        <v>1</v>
      </c>
      <c r="AB28" s="50">
        <v>1</v>
      </c>
      <c r="AC28" s="52"/>
      <c r="AD28" s="52"/>
      <c r="AE28" s="50">
        <v>1</v>
      </c>
      <c r="AF28" s="50">
        <v>1</v>
      </c>
      <c r="AG28" s="50">
        <v>1</v>
      </c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ref="AU28:AU42" si="43">SUM(I28:AT28)</f>
        <v>18</v>
      </c>
    </row>
    <row r="29" spans="1:47">
      <c r="A29" s="102"/>
      <c r="B29" s="23">
        <v>3</v>
      </c>
      <c r="C29" s="11" t="s">
        <v>122</v>
      </c>
      <c r="D29" s="11" t="s">
        <v>123</v>
      </c>
      <c r="E29" s="50">
        <v>1</v>
      </c>
      <c r="F29" s="50">
        <v>0</v>
      </c>
      <c r="G29" s="50">
        <v>1</v>
      </c>
      <c r="H29" s="50">
        <v>1</v>
      </c>
      <c r="I29" s="50">
        <v>1</v>
      </c>
      <c r="J29" s="50">
        <v>1</v>
      </c>
      <c r="K29" s="52"/>
      <c r="L29" s="52"/>
      <c r="M29" s="50">
        <v>1</v>
      </c>
      <c r="N29" s="50">
        <v>0</v>
      </c>
      <c r="O29" s="50">
        <v>1</v>
      </c>
      <c r="P29" s="50">
        <v>0</v>
      </c>
      <c r="Q29" s="50">
        <v>1</v>
      </c>
      <c r="R29" s="50">
        <v>1</v>
      </c>
      <c r="S29" s="50">
        <v>0</v>
      </c>
      <c r="T29" s="52"/>
      <c r="U29" s="52"/>
      <c r="V29" s="50">
        <v>0</v>
      </c>
      <c r="W29" s="50">
        <v>1</v>
      </c>
      <c r="X29" s="50">
        <v>1</v>
      </c>
      <c r="Y29" s="50">
        <v>1</v>
      </c>
      <c r="Z29" s="50">
        <v>1</v>
      </c>
      <c r="AA29" s="50">
        <v>1</v>
      </c>
      <c r="AB29" s="50">
        <v>1</v>
      </c>
      <c r="AC29" s="52"/>
      <c r="AD29" s="52"/>
      <c r="AE29" s="50">
        <v>1</v>
      </c>
      <c r="AF29" s="50">
        <v>1</v>
      </c>
      <c r="AG29" s="50">
        <v>1</v>
      </c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43"/>
        <v>15</v>
      </c>
    </row>
    <row r="30" spans="1:47">
      <c r="A30" s="102"/>
      <c r="B30" s="23">
        <v>4</v>
      </c>
      <c r="C30" s="11" t="s">
        <v>124</v>
      </c>
      <c r="D30" s="11" t="s">
        <v>123</v>
      </c>
      <c r="E30" s="50">
        <v>1</v>
      </c>
      <c r="F30" s="50">
        <v>1</v>
      </c>
      <c r="G30" s="50">
        <v>1</v>
      </c>
      <c r="H30" s="50">
        <v>1</v>
      </c>
      <c r="I30" s="50">
        <v>1</v>
      </c>
      <c r="J30" s="50">
        <v>1</v>
      </c>
      <c r="K30" s="52"/>
      <c r="L30" s="52"/>
      <c r="M30" s="50">
        <v>1</v>
      </c>
      <c r="N30" s="50">
        <v>0</v>
      </c>
      <c r="O30" s="50">
        <v>1</v>
      </c>
      <c r="P30" s="50">
        <v>1</v>
      </c>
      <c r="Q30" s="50">
        <v>1</v>
      </c>
      <c r="R30" s="50">
        <v>1</v>
      </c>
      <c r="S30" s="50">
        <v>0</v>
      </c>
      <c r="T30" s="52"/>
      <c r="U30" s="52"/>
      <c r="V30" s="50">
        <v>1</v>
      </c>
      <c r="W30" s="50">
        <v>1</v>
      </c>
      <c r="X30" s="50">
        <v>1</v>
      </c>
      <c r="Y30" s="50">
        <v>1</v>
      </c>
      <c r="Z30" s="50">
        <v>1</v>
      </c>
      <c r="AA30" s="50">
        <v>1</v>
      </c>
      <c r="AB30" s="50">
        <v>1</v>
      </c>
      <c r="AC30" s="52"/>
      <c r="AD30" s="52"/>
      <c r="AE30" s="50">
        <v>1</v>
      </c>
      <c r="AF30" s="50">
        <v>1</v>
      </c>
      <c r="AG30" s="50">
        <v>1</v>
      </c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43"/>
        <v>17</v>
      </c>
    </row>
    <row r="31" spans="1:47">
      <c r="A31" s="102"/>
      <c r="B31" s="23">
        <v>5</v>
      </c>
      <c r="C31" s="11" t="s">
        <v>125</v>
      </c>
      <c r="D31" s="11" t="s">
        <v>123</v>
      </c>
      <c r="E31" s="50">
        <v>1</v>
      </c>
      <c r="F31" s="50">
        <v>1</v>
      </c>
      <c r="G31" s="50">
        <v>1</v>
      </c>
      <c r="H31" s="50">
        <v>1</v>
      </c>
      <c r="I31" s="50">
        <v>1</v>
      </c>
      <c r="J31" s="50">
        <v>1</v>
      </c>
      <c r="K31" s="52"/>
      <c r="L31" s="52"/>
      <c r="M31" s="50">
        <v>1</v>
      </c>
      <c r="N31" s="50">
        <v>0</v>
      </c>
      <c r="O31" s="50">
        <v>1</v>
      </c>
      <c r="P31" s="50">
        <v>1</v>
      </c>
      <c r="Q31" s="50">
        <v>1</v>
      </c>
      <c r="R31" s="50">
        <v>1</v>
      </c>
      <c r="S31" s="50">
        <v>0</v>
      </c>
      <c r="T31" s="52"/>
      <c r="U31" s="52"/>
      <c r="V31" s="50">
        <v>0</v>
      </c>
      <c r="W31" s="50">
        <v>1</v>
      </c>
      <c r="X31" s="50">
        <v>1</v>
      </c>
      <c r="Y31" s="50">
        <v>1</v>
      </c>
      <c r="Z31" s="50">
        <v>0</v>
      </c>
      <c r="AA31" s="50">
        <v>1</v>
      </c>
      <c r="AB31" s="50">
        <v>1</v>
      </c>
      <c r="AC31" s="52"/>
      <c r="AD31" s="52"/>
      <c r="AE31" s="50">
        <v>1</v>
      </c>
      <c r="AF31" s="50">
        <v>0</v>
      </c>
      <c r="AG31" s="50">
        <v>1</v>
      </c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43"/>
        <v>14</v>
      </c>
    </row>
    <row r="32" spans="1:47">
      <c r="A32" s="102"/>
      <c r="B32" s="23">
        <v>6</v>
      </c>
      <c r="C32" s="53" t="s">
        <v>126</v>
      </c>
      <c r="D32" s="11" t="s">
        <v>123</v>
      </c>
      <c r="E32" s="50">
        <v>1</v>
      </c>
      <c r="F32" s="50">
        <v>1</v>
      </c>
      <c r="G32" s="50">
        <v>1</v>
      </c>
      <c r="H32" s="50">
        <v>1</v>
      </c>
      <c r="I32" s="50">
        <v>1</v>
      </c>
      <c r="J32" s="50">
        <v>1</v>
      </c>
      <c r="K32" s="52"/>
      <c r="L32" s="52"/>
      <c r="M32" s="50">
        <v>1</v>
      </c>
      <c r="N32" s="50">
        <v>0</v>
      </c>
      <c r="O32" s="50">
        <v>1</v>
      </c>
      <c r="P32" s="50">
        <v>1</v>
      </c>
      <c r="Q32" s="50">
        <v>1</v>
      </c>
      <c r="R32" s="50">
        <v>1</v>
      </c>
      <c r="S32" s="50">
        <v>0</v>
      </c>
      <c r="T32" s="52"/>
      <c r="U32" s="52"/>
      <c r="V32" s="50">
        <v>1</v>
      </c>
      <c r="W32" s="50">
        <v>0</v>
      </c>
      <c r="X32" s="50">
        <v>1</v>
      </c>
      <c r="Y32" s="50">
        <v>1</v>
      </c>
      <c r="Z32" s="50">
        <v>1</v>
      </c>
      <c r="AA32" s="50">
        <v>1</v>
      </c>
      <c r="AB32" s="50">
        <v>1</v>
      </c>
      <c r="AC32" s="52"/>
      <c r="AD32" s="52"/>
      <c r="AE32" s="50">
        <v>0</v>
      </c>
      <c r="AF32" s="50">
        <v>0</v>
      </c>
      <c r="AG32" s="50">
        <v>1</v>
      </c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43"/>
        <v>14</v>
      </c>
    </row>
    <row r="33" spans="1:47">
      <c r="A33" s="102"/>
      <c r="B33" s="23">
        <v>7</v>
      </c>
      <c r="C33" s="53" t="s">
        <v>127</v>
      </c>
      <c r="D33" s="11" t="s">
        <v>123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2"/>
      <c r="L33" s="52"/>
      <c r="M33" s="50">
        <v>1</v>
      </c>
      <c r="N33" s="50">
        <v>0</v>
      </c>
      <c r="O33" s="50">
        <v>1</v>
      </c>
      <c r="P33" s="50">
        <v>0</v>
      </c>
      <c r="Q33" s="50">
        <v>1</v>
      </c>
      <c r="R33" s="50">
        <v>1</v>
      </c>
      <c r="S33" s="50">
        <v>1</v>
      </c>
      <c r="T33" s="52"/>
      <c r="U33" s="52"/>
      <c r="V33" s="50">
        <v>1</v>
      </c>
      <c r="W33" s="50">
        <v>1</v>
      </c>
      <c r="X33" s="50">
        <v>1</v>
      </c>
      <c r="Y33" s="50">
        <v>1</v>
      </c>
      <c r="Z33" s="50">
        <v>1</v>
      </c>
      <c r="AA33" s="50">
        <v>1</v>
      </c>
      <c r="AB33" s="50">
        <v>1</v>
      </c>
      <c r="AC33" s="52"/>
      <c r="AD33" s="52"/>
      <c r="AE33" s="50">
        <v>1</v>
      </c>
      <c r="AF33" s="50">
        <v>1</v>
      </c>
      <c r="AG33" s="50">
        <v>1</v>
      </c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43"/>
        <v>15</v>
      </c>
    </row>
    <row r="34" spans="1:47">
      <c r="A34" s="102"/>
      <c r="B34" s="23">
        <v>8</v>
      </c>
      <c r="C34" s="24" t="s">
        <v>128</v>
      </c>
      <c r="D34" s="9" t="s">
        <v>123</v>
      </c>
      <c r="E34" s="50">
        <v>1</v>
      </c>
      <c r="F34" s="50">
        <v>1</v>
      </c>
      <c r="G34" s="50">
        <v>1</v>
      </c>
      <c r="H34" s="50">
        <v>1</v>
      </c>
      <c r="I34" s="50">
        <v>1</v>
      </c>
      <c r="J34" s="50">
        <v>1</v>
      </c>
      <c r="K34" s="52"/>
      <c r="L34" s="52"/>
      <c r="M34" s="50">
        <v>1</v>
      </c>
      <c r="N34" s="50">
        <v>0</v>
      </c>
      <c r="O34" s="50">
        <v>1</v>
      </c>
      <c r="P34" s="50">
        <v>1</v>
      </c>
      <c r="Q34" s="50">
        <v>1</v>
      </c>
      <c r="R34" s="50">
        <v>1</v>
      </c>
      <c r="S34" s="50">
        <v>1</v>
      </c>
      <c r="T34" s="52"/>
      <c r="U34" s="52"/>
      <c r="V34" s="50">
        <v>1</v>
      </c>
      <c r="W34" s="50">
        <v>1</v>
      </c>
      <c r="X34" s="50">
        <v>1</v>
      </c>
      <c r="Y34" s="50">
        <v>1</v>
      </c>
      <c r="Z34" s="50">
        <v>1</v>
      </c>
      <c r="AA34" s="50">
        <v>0</v>
      </c>
      <c r="AB34" s="50">
        <v>1</v>
      </c>
      <c r="AC34" s="52"/>
      <c r="AD34" s="52"/>
      <c r="AE34" s="50">
        <v>1</v>
      </c>
      <c r="AF34" s="50">
        <v>1</v>
      </c>
      <c r="AG34" s="50">
        <v>1</v>
      </c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43"/>
        <v>17</v>
      </c>
    </row>
    <row r="35" spans="1:47">
      <c r="B35" s="23">
        <v>9</v>
      </c>
      <c r="C35" s="9" t="s">
        <v>129</v>
      </c>
      <c r="D35" s="11" t="s">
        <v>123</v>
      </c>
      <c r="E35" s="50">
        <v>1</v>
      </c>
      <c r="F35" s="47">
        <v>1</v>
      </c>
      <c r="G35" s="47">
        <v>1</v>
      </c>
      <c r="H35" s="47">
        <v>1</v>
      </c>
      <c r="I35" s="47">
        <v>1</v>
      </c>
      <c r="J35" s="47">
        <v>1</v>
      </c>
      <c r="K35" s="49"/>
      <c r="L35" s="49"/>
      <c r="M35" s="47">
        <v>1</v>
      </c>
      <c r="N35" s="47">
        <v>0</v>
      </c>
      <c r="O35" s="47">
        <v>1</v>
      </c>
      <c r="P35" s="47">
        <v>1</v>
      </c>
      <c r="Q35" s="47">
        <v>1</v>
      </c>
      <c r="R35" s="47">
        <v>1</v>
      </c>
      <c r="S35" s="47">
        <v>1</v>
      </c>
      <c r="T35" s="49"/>
      <c r="U35" s="49"/>
      <c r="V35" s="47">
        <v>1</v>
      </c>
      <c r="W35" s="47">
        <v>1</v>
      </c>
      <c r="X35" s="47">
        <v>1</v>
      </c>
      <c r="Y35" s="47">
        <v>1</v>
      </c>
      <c r="Z35" s="47">
        <v>1</v>
      </c>
      <c r="AA35" s="47">
        <v>1</v>
      </c>
      <c r="AB35" s="47">
        <v>1</v>
      </c>
      <c r="AC35" s="49"/>
      <c r="AD35" s="49"/>
      <c r="AE35" s="47">
        <v>1</v>
      </c>
      <c r="AF35" s="47">
        <v>1</v>
      </c>
      <c r="AG35" s="47">
        <v>1</v>
      </c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43"/>
        <v>18</v>
      </c>
    </row>
    <row r="36" spans="1:47">
      <c r="B36" s="23">
        <v>10</v>
      </c>
      <c r="C36" s="11" t="s">
        <v>130</v>
      </c>
      <c r="D36" s="9" t="s">
        <v>123</v>
      </c>
      <c r="E36" s="50">
        <v>1</v>
      </c>
      <c r="F36" s="50">
        <v>1</v>
      </c>
      <c r="G36" s="50">
        <v>0</v>
      </c>
      <c r="H36" s="50">
        <v>1</v>
      </c>
      <c r="I36" s="50">
        <v>0</v>
      </c>
      <c r="J36" s="50">
        <v>1</v>
      </c>
      <c r="K36" s="52"/>
      <c r="L36" s="52"/>
      <c r="M36" s="50">
        <v>1</v>
      </c>
      <c r="N36" s="50">
        <v>0</v>
      </c>
      <c r="O36" s="50">
        <v>1</v>
      </c>
      <c r="P36" s="50">
        <v>0</v>
      </c>
      <c r="Q36" s="50">
        <v>1</v>
      </c>
      <c r="R36" s="50">
        <v>1</v>
      </c>
      <c r="S36" s="50">
        <v>1</v>
      </c>
      <c r="T36" s="52"/>
      <c r="U36" s="52"/>
      <c r="V36" s="50">
        <v>0</v>
      </c>
      <c r="W36" s="50">
        <v>1</v>
      </c>
      <c r="X36" s="50">
        <v>1</v>
      </c>
      <c r="Y36" s="50">
        <v>1</v>
      </c>
      <c r="Z36" s="50">
        <v>1</v>
      </c>
      <c r="AA36" s="50">
        <v>0</v>
      </c>
      <c r="AB36" s="50"/>
      <c r="AC36" s="52"/>
      <c r="AD36" s="52"/>
      <c r="AE36" s="50">
        <v>1</v>
      </c>
      <c r="AF36" s="50">
        <v>0</v>
      </c>
      <c r="AG36" s="50">
        <v>1</v>
      </c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43"/>
        <v>12</v>
      </c>
    </row>
    <row r="37" spans="1:47">
      <c r="B37" s="23">
        <v>11</v>
      </c>
      <c r="C37" s="11" t="s">
        <v>131</v>
      </c>
      <c r="D37" s="11" t="s">
        <v>120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/>
      <c r="L37" s="87"/>
      <c r="M37" s="87">
        <v>0</v>
      </c>
      <c r="N37" s="87">
        <v>0</v>
      </c>
      <c r="O37" s="87">
        <v>0</v>
      </c>
      <c r="P37" s="87">
        <v>0</v>
      </c>
      <c r="Q37" s="50">
        <v>1</v>
      </c>
      <c r="R37" s="50">
        <v>1</v>
      </c>
      <c r="S37" s="50">
        <v>1</v>
      </c>
      <c r="T37" s="52"/>
      <c r="U37" s="52"/>
      <c r="V37" s="50">
        <v>0</v>
      </c>
      <c r="W37" s="50">
        <v>1</v>
      </c>
      <c r="X37" s="50">
        <v>1</v>
      </c>
      <c r="Y37" s="50">
        <v>1</v>
      </c>
      <c r="Z37" s="50">
        <v>1</v>
      </c>
      <c r="AA37" s="50">
        <v>1</v>
      </c>
      <c r="AB37" s="50">
        <v>1</v>
      </c>
      <c r="AC37" s="52"/>
      <c r="AD37" s="52"/>
      <c r="AE37" s="50">
        <v>1</v>
      </c>
      <c r="AF37" s="50">
        <v>1</v>
      </c>
      <c r="AG37" s="50">
        <v>1</v>
      </c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43"/>
        <v>12</v>
      </c>
    </row>
    <row r="38" spans="1:47">
      <c r="B38" s="23">
        <v>12</v>
      </c>
      <c r="C38" s="11"/>
      <c r="D38" s="11"/>
      <c r="E38" s="50"/>
      <c r="F38" s="50"/>
      <c r="G38" s="50"/>
      <c r="H38" s="50"/>
      <c r="I38" s="50"/>
      <c r="J38" s="50"/>
      <c r="K38" s="52"/>
      <c r="L38" s="52"/>
      <c r="M38" s="50"/>
      <c r="N38" s="50"/>
      <c r="O38" s="50"/>
      <c r="P38" s="50"/>
      <c r="Q38" s="50"/>
      <c r="R38" s="50"/>
      <c r="S38" s="50"/>
      <c r="T38" s="52"/>
      <c r="U38" s="52"/>
      <c r="V38" s="50"/>
      <c r="W38" s="50"/>
      <c r="X38" s="50"/>
      <c r="Y38" s="50"/>
      <c r="Z38" s="50"/>
      <c r="AA38" s="50"/>
      <c r="AB38" s="50"/>
      <c r="AC38" s="52"/>
      <c r="AD38" s="52"/>
      <c r="AE38" s="50"/>
      <c r="AF38" s="50"/>
      <c r="AG38" s="50"/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43"/>
        <v>0</v>
      </c>
    </row>
    <row r="39" spans="1:47">
      <c r="B39" s="23">
        <v>13</v>
      </c>
      <c r="C39" s="11"/>
      <c r="D39" s="11"/>
      <c r="E39" s="50"/>
      <c r="F39" s="50"/>
      <c r="G39" s="50"/>
      <c r="H39" s="50"/>
      <c r="I39" s="50"/>
      <c r="J39" s="50"/>
      <c r="K39" s="52"/>
      <c r="L39" s="52"/>
      <c r="M39" s="50"/>
      <c r="N39" s="50"/>
      <c r="O39" s="50"/>
      <c r="P39" s="50"/>
      <c r="Q39" s="50"/>
      <c r="R39" s="50"/>
      <c r="S39" s="50"/>
      <c r="T39" s="52"/>
      <c r="U39" s="52"/>
      <c r="V39" s="50"/>
      <c r="W39" s="50"/>
      <c r="X39" s="50"/>
      <c r="Y39" s="50"/>
      <c r="Z39" s="50"/>
      <c r="AA39" s="50"/>
      <c r="AB39" s="50"/>
      <c r="AC39" s="52"/>
      <c r="AD39" s="52"/>
      <c r="AE39" s="50"/>
      <c r="AF39" s="50"/>
      <c r="AG39" s="50"/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43"/>
        <v>0</v>
      </c>
    </row>
    <row r="40" spans="1:47">
      <c r="B40" s="23">
        <v>14</v>
      </c>
      <c r="C40" s="11"/>
      <c r="D40" s="11"/>
      <c r="E40" s="50"/>
      <c r="F40" s="50"/>
      <c r="G40" s="50"/>
      <c r="H40" s="50"/>
      <c r="I40" s="50"/>
      <c r="J40" s="50"/>
      <c r="K40" s="52"/>
      <c r="L40" s="52"/>
      <c r="M40" s="50"/>
      <c r="N40" s="50"/>
      <c r="O40" s="50"/>
      <c r="P40" s="50"/>
      <c r="Q40" s="50"/>
      <c r="R40" s="50"/>
      <c r="S40" s="50"/>
      <c r="T40" s="52"/>
      <c r="U40" s="52"/>
      <c r="V40" s="50"/>
      <c r="W40" s="50"/>
      <c r="X40" s="50"/>
      <c r="Y40" s="50"/>
      <c r="Z40" s="50"/>
      <c r="AA40" s="50"/>
      <c r="AB40" s="50"/>
      <c r="AC40" s="52"/>
      <c r="AD40" s="52"/>
      <c r="AE40" s="50"/>
      <c r="AF40" s="50"/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43"/>
        <v>0</v>
      </c>
    </row>
    <row r="41" spans="1:47">
      <c r="B41" s="23">
        <v>15</v>
      </c>
      <c r="C41" s="11"/>
      <c r="D41" s="11"/>
      <c r="E41" s="50"/>
      <c r="F41" s="50"/>
      <c r="G41" s="50"/>
      <c r="H41" s="50"/>
      <c r="I41" s="50"/>
      <c r="J41" s="50"/>
      <c r="K41" s="52"/>
      <c r="L41" s="52"/>
      <c r="M41" s="50"/>
      <c r="N41" s="50"/>
      <c r="O41" s="50"/>
      <c r="P41" s="50"/>
      <c r="Q41" s="50"/>
      <c r="R41" s="50"/>
      <c r="S41" s="50"/>
      <c r="T41" s="52"/>
      <c r="U41" s="52"/>
      <c r="V41" s="50"/>
      <c r="W41" s="50"/>
      <c r="X41" s="50"/>
      <c r="Y41" s="50"/>
      <c r="Z41" s="50"/>
      <c r="AA41" s="50"/>
      <c r="AB41" s="50"/>
      <c r="AC41" s="52"/>
      <c r="AD41" s="52"/>
      <c r="AE41" s="50"/>
      <c r="AF41" s="50"/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43"/>
        <v>0</v>
      </c>
    </row>
    <row r="42" spans="1:47">
      <c r="B42" s="23">
        <v>16</v>
      </c>
      <c r="C42" s="11"/>
      <c r="D42" s="11"/>
      <c r="E42" s="50"/>
      <c r="F42" s="50"/>
      <c r="G42" s="50"/>
      <c r="H42" s="50"/>
      <c r="I42" s="50"/>
      <c r="J42" s="50"/>
      <c r="K42" s="52"/>
      <c r="L42" s="52"/>
      <c r="M42" s="50"/>
      <c r="N42" s="50"/>
      <c r="O42" s="50"/>
      <c r="P42" s="50"/>
      <c r="Q42" s="50"/>
      <c r="R42" s="50"/>
      <c r="S42" s="50"/>
      <c r="T42" s="52"/>
      <c r="U42" s="52"/>
      <c r="V42" s="50"/>
      <c r="W42" s="50"/>
      <c r="X42" s="50"/>
      <c r="Y42" s="50"/>
      <c r="Z42" s="50"/>
      <c r="AA42" s="50"/>
      <c r="AB42" s="50"/>
      <c r="AC42" s="52"/>
      <c r="AD42" s="52"/>
      <c r="AE42" s="50"/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43"/>
        <v>0</v>
      </c>
    </row>
    <row r="43" spans="1:47" ht="15" customHeight="1">
      <c r="B43" s="68">
        <v>11</v>
      </c>
      <c r="C43" s="12" t="s">
        <v>58</v>
      </c>
      <c r="D43" s="7"/>
      <c r="E43" s="8">
        <f>COUNTIF(E27:E42,"1")</f>
        <v>9</v>
      </c>
      <c r="F43" s="8">
        <f>COUNTIF(F27:F42,"1")</f>
        <v>9</v>
      </c>
      <c r="G43" s="8">
        <f>COUNTIF(G27:G42,"1")</f>
        <v>7</v>
      </c>
      <c r="H43" s="8">
        <f>COUNTIF(H27:H42,"1")</f>
        <v>9</v>
      </c>
      <c r="I43" s="8">
        <f>COUNTIF(I27:I42,"1")</f>
        <v>7</v>
      </c>
      <c r="J43" s="8">
        <f>COUNTIF(J27:J42,"1")</f>
        <v>8</v>
      </c>
      <c r="K43" s="8">
        <f>COUNTIF(K27:K42,"1")</f>
        <v>0</v>
      </c>
      <c r="L43" s="8">
        <f>COUNTIF(L27:L42,"1")</f>
        <v>0</v>
      </c>
      <c r="M43" s="8">
        <f>COUNTIF(M27:M42,"1")</f>
        <v>10</v>
      </c>
      <c r="N43" s="8">
        <f>COUNTIF(N27:N42,"1")</f>
        <v>1</v>
      </c>
      <c r="O43" s="8">
        <f>COUNTIF(O27:O42,"1")</f>
        <v>10</v>
      </c>
      <c r="P43" s="8">
        <f>COUNTIF(P27:P42,"1")</f>
        <v>7</v>
      </c>
      <c r="Q43" s="8">
        <f>COUNTIF(Q27:Q42,"1")</f>
        <v>11</v>
      </c>
      <c r="R43" s="8">
        <f>COUNTIF(R27:R42,"1")</f>
        <v>11</v>
      </c>
      <c r="S43" s="8">
        <f>COUNTIF(S27:S42,"1")</f>
        <v>7</v>
      </c>
      <c r="T43" s="8">
        <f>COUNTIF(T27:T42,"1")</f>
        <v>0</v>
      </c>
      <c r="U43" s="8">
        <f>COUNTIF(U27:U42,"1")</f>
        <v>0</v>
      </c>
      <c r="V43" s="8">
        <f>COUNTIF(V27:V42,"1")</f>
        <v>6</v>
      </c>
      <c r="W43" s="8">
        <f>COUNTIF(W27:W42,"1")</f>
        <v>10</v>
      </c>
      <c r="X43" s="8">
        <f>COUNTIF(X27:X42,"1")</f>
        <v>11</v>
      </c>
      <c r="Y43" s="8">
        <f>COUNTIF(Y27:Y42,"1")</f>
        <v>11</v>
      </c>
      <c r="Z43" s="8">
        <f>COUNTIF(Z27:Z42,"1")</f>
        <v>10</v>
      </c>
      <c r="AA43" s="8">
        <f>COUNTIF(AA27:AA42,"1")</f>
        <v>9</v>
      </c>
      <c r="AB43" s="8">
        <f>COUNTIF(AB27:AB42,"1")</f>
        <v>10</v>
      </c>
      <c r="AC43" s="8">
        <f>COUNTIF(AC27:AC42,"1")</f>
        <v>0</v>
      </c>
      <c r="AD43" s="8">
        <f>COUNTIF(AD27:AD42,"1")</f>
        <v>0</v>
      </c>
      <c r="AE43" s="8">
        <f>COUNTIF(AE27:AE42,"1")</f>
        <v>9</v>
      </c>
      <c r="AF43" s="8">
        <f>COUNTIF(AF27:AF42,"1")</f>
        <v>8</v>
      </c>
      <c r="AG43" s="8">
        <f>COUNTIF(AG27:AG42,"1")</f>
        <v>11</v>
      </c>
      <c r="AH43" s="8">
        <f>COUNTIF(AH27:AH42,"1")</f>
        <v>0</v>
      </c>
      <c r="AI43" s="8">
        <f>COUNTIF(AI27:AI42,"1")</f>
        <v>0</v>
      </c>
      <c r="AJ43" s="8">
        <f>COUNTIF(AJ27:AJ42,"1")</f>
        <v>0</v>
      </c>
      <c r="AK43" s="8">
        <f>COUNTIF(AK27:AK42,"1")</f>
        <v>0</v>
      </c>
      <c r="AL43" s="8">
        <f>COUNTIF(AL27:AL42,"1")</f>
        <v>0</v>
      </c>
      <c r="AM43" s="8">
        <f>COUNTIF(AM27:AM42,"1")</f>
        <v>0</v>
      </c>
      <c r="AN43" s="8">
        <f>COUNTIF(AN27:AN42,"1")</f>
        <v>0</v>
      </c>
      <c r="AO43" s="8">
        <f>COUNTIF(AO27:AO42,"1")</f>
        <v>0</v>
      </c>
      <c r="AP43" s="8">
        <f>COUNTIF(AP27:AP42,"1")</f>
        <v>0</v>
      </c>
      <c r="AQ43" s="8">
        <f>COUNTIF(AQ27:AQ42,"1")</f>
        <v>0</v>
      </c>
      <c r="AR43" s="8">
        <f>COUNTIF(AR27:AR42,"1")</f>
        <v>0</v>
      </c>
      <c r="AS43" s="8">
        <f>COUNTIF(AS27:AS42,"1")</f>
        <v>0</v>
      </c>
      <c r="AT43" s="8">
        <f>COUNTIF(AT27:AT42,"1")</f>
        <v>0</v>
      </c>
    </row>
    <row r="44" spans="1:47" ht="1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18"/>
      <c r="AO44" s="18"/>
      <c r="AP44" s="18"/>
      <c r="AQ44" s="18"/>
      <c r="AR44" s="2"/>
    </row>
    <row r="45" spans="1:47" ht="15" customHeight="1">
      <c r="C45" s="68">
        <f>SUM(B23+B43)</f>
        <v>17</v>
      </c>
      <c r="E45">
        <f t="shared" ref="E45:N45" si="44">E43+E23</f>
        <v>15</v>
      </c>
      <c r="F45">
        <f t="shared" si="44"/>
        <v>12</v>
      </c>
      <c r="G45">
        <f t="shared" si="44"/>
        <v>11</v>
      </c>
      <c r="H45">
        <f t="shared" si="44"/>
        <v>16</v>
      </c>
      <c r="I45">
        <f t="shared" si="44"/>
        <v>13</v>
      </c>
      <c r="J45">
        <f t="shared" si="44"/>
        <v>13</v>
      </c>
      <c r="K45">
        <f t="shared" si="44"/>
        <v>0</v>
      </c>
      <c r="L45">
        <f t="shared" si="44"/>
        <v>0</v>
      </c>
      <c r="M45">
        <f t="shared" si="44"/>
        <v>14</v>
      </c>
      <c r="N45">
        <f t="shared" si="44"/>
        <v>5</v>
      </c>
      <c r="O45">
        <f>O43+O23</f>
        <v>16</v>
      </c>
      <c r="Q45">
        <f>SUM(E45:O45)-N45</f>
        <v>110</v>
      </c>
    </row>
    <row r="46" spans="1:47" ht="15" customHeight="1">
      <c r="Q46">
        <f>Q45/8</f>
        <v>13.75</v>
      </c>
    </row>
  </sheetData>
  <sortState xmlns:xlrd2="http://schemas.microsoft.com/office/spreadsheetml/2017/richdata2" ref="C8:H12">
    <sortCondition ref="D8:D12"/>
  </sortState>
  <mergeCells count="88">
    <mergeCell ref="AS24:AS25"/>
    <mergeCell ref="AT24:AT25"/>
    <mergeCell ref="AN24:AN25"/>
    <mergeCell ref="AO24:AO25"/>
    <mergeCell ref="AP24:AP25"/>
    <mergeCell ref="AQ24:AQ25"/>
    <mergeCell ref="AR24:AR25"/>
    <mergeCell ref="AI24:AI25"/>
    <mergeCell ref="AJ24:AJ25"/>
    <mergeCell ref="AK24:AK25"/>
    <mergeCell ref="AL24:AL25"/>
    <mergeCell ref="AM24:AM25"/>
    <mergeCell ref="AD24:AD25"/>
    <mergeCell ref="AE24:AE25"/>
    <mergeCell ref="AF24:AF25"/>
    <mergeCell ref="AG24:AG25"/>
    <mergeCell ref="AH24:AH25"/>
    <mergeCell ref="Y24:Y25"/>
    <mergeCell ref="Z24:Z25"/>
    <mergeCell ref="AA24:AA25"/>
    <mergeCell ref="AB24:AB25"/>
    <mergeCell ref="AC24:AC25"/>
    <mergeCell ref="T24:T25"/>
    <mergeCell ref="U24:U25"/>
    <mergeCell ref="V24:V25"/>
    <mergeCell ref="W24:W25"/>
    <mergeCell ref="X24:X25"/>
    <mergeCell ref="O24:O25"/>
    <mergeCell ref="P24:P25"/>
    <mergeCell ref="Q24:Q25"/>
    <mergeCell ref="R24:R25"/>
    <mergeCell ref="S24:S25"/>
    <mergeCell ref="J24:J25"/>
    <mergeCell ref="K24:K25"/>
    <mergeCell ref="L24:L25"/>
    <mergeCell ref="M24:M25"/>
    <mergeCell ref="N24:N25"/>
    <mergeCell ref="E24:E25"/>
    <mergeCell ref="F24:F25"/>
    <mergeCell ref="G24:G25"/>
    <mergeCell ref="H24:H25"/>
    <mergeCell ref="I24:I25"/>
    <mergeCell ref="AM4:AM5"/>
    <mergeCell ref="AQ4:AQ5"/>
    <mergeCell ref="AR4:AR5"/>
    <mergeCell ref="AS4:AS5"/>
    <mergeCell ref="AT4:AT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A27:A34"/>
    <mergeCell ref="AP4:AP5"/>
    <mergeCell ref="C1:AJ3"/>
    <mergeCell ref="AN4:AN5"/>
    <mergeCell ref="AO4:AO5"/>
    <mergeCell ref="A6:A13"/>
    <mergeCell ref="A14:A22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63" fitToWidth="0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900C-2573-4934-B933-CF437112DC83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47BC-A583-4278-80DB-EADEC1403B4D}">
  <sheetPr>
    <tabColor rgb="FFC00000"/>
    <pageSetUpPr fitToPage="1"/>
  </sheetPr>
  <dimension ref="A1:AU65"/>
  <sheetViews>
    <sheetView topLeftCell="A22" workbookViewId="0">
      <selection activeCell="AG39" sqref="AG39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30" style="4" bestFit="1" customWidth="1"/>
    <col min="4" max="4" width="4.5703125" style="4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7" ht="14.45" customHeight="1">
      <c r="C1" s="101" t="s">
        <v>132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7" ht="21" customHeight="1">
      <c r="B4" s="22"/>
      <c r="C4" s="13"/>
      <c r="D4" s="13"/>
      <c r="E4" s="99">
        <v>45910</v>
      </c>
      <c r="F4" s="99">
        <f>E4+7</f>
        <v>45917</v>
      </c>
      <c r="G4" s="99">
        <f t="shared" ref="G4:AT4" si="0">F4+7</f>
        <v>45924</v>
      </c>
      <c r="H4" s="99">
        <f t="shared" si="0"/>
        <v>45931</v>
      </c>
      <c r="I4" s="99">
        <f t="shared" si="0"/>
        <v>45938</v>
      </c>
      <c r="J4" s="99">
        <f t="shared" si="0"/>
        <v>45945</v>
      </c>
      <c r="K4" s="99">
        <f t="shared" si="0"/>
        <v>45952</v>
      </c>
      <c r="L4" s="99">
        <f t="shared" si="0"/>
        <v>45959</v>
      </c>
      <c r="M4" s="99">
        <f t="shared" si="0"/>
        <v>45966</v>
      </c>
      <c r="N4" s="99">
        <f t="shared" si="0"/>
        <v>45973</v>
      </c>
      <c r="O4" s="99">
        <f t="shared" si="0"/>
        <v>45980</v>
      </c>
      <c r="P4" s="99">
        <f t="shared" si="0"/>
        <v>45987</v>
      </c>
      <c r="Q4" s="99">
        <f t="shared" si="0"/>
        <v>45994</v>
      </c>
      <c r="R4" s="99">
        <f t="shared" si="0"/>
        <v>46001</v>
      </c>
      <c r="S4" s="99">
        <f t="shared" si="0"/>
        <v>46008</v>
      </c>
      <c r="T4" s="99">
        <f t="shared" si="0"/>
        <v>46015</v>
      </c>
      <c r="U4" s="99">
        <f t="shared" si="0"/>
        <v>46022</v>
      </c>
      <c r="V4" s="99">
        <f t="shared" si="0"/>
        <v>46029</v>
      </c>
      <c r="W4" s="99">
        <f t="shared" si="0"/>
        <v>46036</v>
      </c>
      <c r="X4" s="99">
        <f t="shared" si="0"/>
        <v>46043</v>
      </c>
      <c r="Y4" s="99">
        <f t="shared" si="0"/>
        <v>46050</v>
      </c>
      <c r="Z4" s="99">
        <f t="shared" si="0"/>
        <v>46057</v>
      </c>
      <c r="AA4" s="99">
        <f t="shared" si="0"/>
        <v>46064</v>
      </c>
      <c r="AB4" s="99">
        <f t="shared" si="0"/>
        <v>46071</v>
      </c>
      <c r="AC4" s="99">
        <f t="shared" si="0"/>
        <v>46078</v>
      </c>
      <c r="AD4" s="99">
        <f t="shared" si="0"/>
        <v>46085</v>
      </c>
      <c r="AE4" s="99">
        <f t="shared" si="0"/>
        <v>46092</v>
      </c>
      <c r="AF4" s="99">
        <f t="shared" si="0"/>
        <v>46099</v>
      </c>
      <c r="AG4" s="99">
        <f t="shared" si="0"/>
        <v>46106</v>
      </c>
      <c r="AH4" s="99">
        <f t="shared" si="0"/>
        <v>46113</v>
      </c>
      <c r="AI4" s="99">
        <f t="shared" si="0"/>
        <v>46120</v>
      </c>
      <c r="AJ4" s="99">
        <f t="shared" si="0"/>
        <v>46127</v>
      </c>
      <c r="AK4" s="99">
        <f t="shared" si="0"/>
        <v>46134</v>
      </c>
      <c r="AL4" s="99">
        <f t="shared" si="0"/>
        <v>46141</v>
      </c>
      <c r="AM4" s="99">
        <f t="shared" si="0"/>
        <v>46148</v>
      </c>
      <c r="AN4" s="99">
        <f t="shared" si="0"/>
        <v>46155</v>
      </c>
      <c r="AO4" s="99">
        <f t="shared" si="0"/>
        <v>46162</v>
      </c>
      <c r="AP4" s="99">
        <f t="shared" si="0"/>
        <v>46169</v>
      </c>
      <c r="AQ4" s="99">
        <f t="shared" si="0"/>
        <v>46176</v>
      </c>
      <c r="AR4" s="99">
        <f t="shared" si="0"/>
        <v>46183</v>
      </c>
      <c r="AS4" s="99">
        <f t="shared" si="0"/>
        <v>46190</v>
      </c>
      <c r="AT4" s="99">
        <f t="shared" si="0"/>
        <v>46197</v>
      </c>
    </row>
    <row r="5" spans="1:47" ht="21" customHeight="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>
        <f>SUM(I6:AT6)</f>
        <v>0</v>
      </c>
    </row>
    <row r="7" spans="1:47">
      <c r="A7" s="102"/>
      <c r="B7" s="23">
        <v>1</v>
      </c>
      <c r="C7" s="33" t="s">
        <v>133</v>
      </c>
      <c r="D7" s="9" t="s">
        <v>110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9"/>
      <c r="L7" s="49"/>
      <c r="M7" s="47">
        <v>0</v>
      </c>
      <c r="N7" s="47">
        <v>0</v>
      </c>
      <c r="O7" s="47">
        <v>1</v>
      </c>
      <c r="P7" s="47">
        <v>1</v>
      </c>
      <c r="Q7" s="47">
        <v>1</v>
      </c>
      <c r="R7" s="47">
        <v>0</v>
      </c>
      <c r="S7" s="47">
        <v>0</v>
      </c>
      <c r="T7" s="49"/>
      <c r="U7" s="49"/>
      <c r="V7" s="47">
        <v>0</v>
      </c>
      <c r="W7" s="47">
        <v>1</v>
      </c>
      <c r="X7" s="47">
        <v>1</v>
      </c>
      <c r="Y7" s="47">
        <v>0</v>
      </c>
      <c r="Z7" s="47">
        <v>1</v>
      </c>
      <c r="AA7" s="47">
        <v>1</v>
      </c>
      <c r="AB7" s="47">
        <v>1</v>
      </c>
      <c r="AC7" s="49"/>
      <c r="AD7" s="49">
        <v>0</v>
      </c>
      <c r="AE7" s="47">
        <v>1</v>
      </c>
      <c r="AF7" s="47">
        <v>1</v>
      </c>
      <c r="AG7" s="47">
        <v>1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 t="shared" ref="AU7:AU62" si="1">SUM(I7:AT7)</f>
        <v>13</v>
      </c>
    </row>
    <row r="8" spans="1:47">
      <c r="A8" s="102"/>
      <c r="B8" s="23">
        <v>2</v>
      </c>
      <c r="C8" s="24" t="s">
        <v>134</v>
      </c>
      <c r="D8" s="9" t="s">
        <v>110</v>
      </c>
      <c r="E8" s="50">
        <v>1</v>
      </c>
      <c r="F8" s="50">
        <v>1</v>
      </c>
      <c r="G8" s="50">
        <v>0</v>
      </c>
      <c r="H8" s="50">
        <v>1</v>
      </c>
      <c r="I8" s="50">
        <v>1</v>
      </c>
      <c r="J8" s="50">
        <v>0</v>
      </c>
      <c r="K8" s="52"/>
      <c r="L8" s="52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2"/>
      <c r="U8" s="52"/>
      <c r="V8" s="50">
        <v>1</v>
      </c>
      <c r="W8" s="50">
        <v>1</v>
      </c>
      <c r="X8" s="50">
        <v>1</v>
      </c>
      <c r="Y8" s="50">
        <v>1</v>
      </c>
      <c r="Z8" s="50">
        <v>0</v>
      </c>
      <c r="AA8" s="50">
        <v>0</v>
      </c>
      <c r="AB8" s="50">
        <v>1</v>
      </c>
      <c r="AC8" s="52"/>
      <c r="AD8" s="52">
        <v>1</v>
      </c>
      <c r="AE8" s="50">
        <v>1</v>
      </c>
      <c r="AF8" s="50">
        <v>1</v>
      </c>
      <c r="AG8" s="50">
        <v>1</v>
      </c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si="1"/>
        <v>17</v>
      </c>
    </row>
    <row r="9" spans="1:47">
      <c r="A9" s="102"/>
      <c r="B9" s="23">
        <v>3</v>
      </c>
      <c r="C9" s="24" t="s">
        <v>135</v>
      </c>
      <c r="D9" s="9" t="s">
        <v>110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50">
        <v>1</v>
      </c>
      <c r="K9" s="52"/>
      <c r="L9" s="52"/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0</v>
      </c>
      <c r="S9" s="50">
        <v>0</v>
      </c>
      <c r="T9" s="52"/>
      <c r="U9" s="52"/>
      <c r="V9" s="50">
        <v>1</v>
      </c>
      <c r="W9" s="50">
        <v>0</v>
      </c>
      <c r="X9" s="50">
        <v>1</v>
      </c>
      <c r="Y9" s="50">
        <v>1</v>
      </c>
      <c r="Z9" s="50">
        <v>1</v>
      </c>
      <c r="AA9" s="50">
        <v>1</v>
      </c>
      <c r="AB9" s="50">
        <v>1</v>
      </c>
      <c r="AC9" s="52"/>
      <c r="AD9" s="52">
        <v>0</v>
      </c>
      <c r="AE9" s="50">
        <v>1</v>
      </c>
      <c r="AF9" s="50">
        <v>1</v>
      </c>
      <c r="AG9" s="50">
        <v>1</v>
      </c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16</v>
      </c>
    </row>
    <row r="10" spans="1:47">
      <c r="A10" s="102"/>
      <c r="B10" s="23">
        <v>4</v>
      </c>
      <c r="C10" s="24" t="s">
        <v>136</v>
      </c>
      <c r="D10" s="9" t="s">
        <v>110</v>
      </c>
      <c r="E10" s="50">
        <v>1</v>
      </c>
      <c r="F10" s="50">
        <v>0</v>
      </c>
      <c r="G10" s="50">
        <v>0</v>
      </c>
      <c r="H10" s="50">
        <v>1</v>
      </c>
      <c r="I10" s="50">
        <v>1</v>
      </c>
      <c r="J10" s="50">
        <v>1</v>
      </c>
      <c r="K10" s="52"/>
      <c r="L10" s="52"/>
      <c r="M10" s="50">
        <v>1</v>
      </c>
      <c r="N10" s="50">
        <v>0</v>
      </c>
      <c r="O10" s="50">
        <v>1</v>
      </c>
      <c r="P10" s="50">
        <v>1</v>
      </c>
      <c r="Q10" s="50">
        <v>1</v>
      </c>
      <c r="R10" s="50">
        <v>0</v>
      </c>
      <c r="S10" s="50">
        <v>0</v>
      </c>
      <c r="T10" s="52"/>
      <c r="U10" s="52"/>
      <c r="V10" s="50">
        <v>0</v>
      </c>
      <c r="W10" s="50">
        <v>0</v>
      </c>
      <c r="X10" s="50">
        <v>0</v>
      </c>
      <c r="Y10" s="50">
        <v>1</v>
      </c>
      <c r="Z10" s="50">
        <v>1</v>
      </c>
      <c r="AA10" s="50">
        <v>1</v>
      </c>
      <c r="AB10" s="50">
        <v>0</v>
      </c>
      <c r="AC10" s="52"/>
      <c r="AD10" s="52">
        <v>0</v>
      </c>
      <c r="AE10" s="50">
        <v>1</v>
      </c>
      <c r="AF10" s="50">
        <v>1</v>
      </c>
      <c r="AG10" s="50">
        <v>1</v>
      </c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12</v>
      </c>
    </row>
    <row r="11" spans="1:47">
      <c r="A11" s="102"/>
      <c r="B11" s="23">
        <v>5</v>
      </c>
      <c r="C11" s="24" t="s">
        <v>137</v>
      </c>
      <c r="D11" s="9" t="s">
        <v>110</v>
      </c>
      <c r="E11" s="50">
        <v>0</v>
      </c>
      <c r="F11" s="50">
        <v>0</v>
      </c>
      <c r="G11" s="50">
        <v>0</v>
      </c>
      <c r="H11" s="50">
        <v>1</v>
      </c>
      <c r="I11" s="50">
        <v>1</v>
      </c>
      <c r="J11" s="50">
        <v>1</v>
      </c>
      <c r="K11" s="52"/>
      <c r="L11" s="52"/>
      <c r="M11" s="50">
        <v>0</v>
      </c>
      <c r="N11" s="50">
        <v>0</v>
      </c>
      <c r="O11" s="50">
        <v>1</v>
      </c>
      <c r="P11" s="50">
        <v>0</v>
      </c>
      <c r="Q11" s="50">
        <v>1</v>
      </c>
      <c r="R11" s="50">
        <v>1</v>
      </c>
      <c r="S11" s="50">
        <v>1</v>
      </c>
      <c r="T11" s="52"/>
      <c r="U11" s="52"/>
      <c r="V11" s="50">
        <v>1</v>
      </c>
      <c r="W11" s="50">
        <v>1</v>
      </c>
      <c r="X11" s="50">
        <v>1</v>
      </c>
      <c r="Y11" s="50">
        <v>1</v>
      </c>
      <c r="Z11" s="50">
        <v>0</v>
      </c>
      <c r="AA11" s="50">
        <v>0</v>
      </c>
      <c r="AB11" s="50">
        <v>0</v>
      </c>
      <c r="AC11" s="52"/>
      <c r="AD11" s="52">
        <v>1</v>
      </c>
      <c r="AE11" s="50">
        <v>0</v>
      </c>
      <c r="AF11" s="50">
        <v>0</v>
      </c>
      <c r="AG11" s="50">
        <v>0</v>
      </c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11</v>
      </c>
    </row>
    <row r="12" spans="1:47">
      <c r="A12" s="102"/>
      <c r="B12" s="23">
        <v>6</v>
      </c>
      <c r="C12" s="24" t="s">
        <v>138</v>
      </c>
      <c r="D12" s="9" t="s">
        <v>110</v>
      </c>
      <c r="E12" s="87">
        <v>1</v>
      </c>
      <c r="F12" s="50">
        <v>1</v>
      </c>
      <c r="G12" s="50">
        <v>0</v>
      </c>
      <c r="H12" s="50">
        <v>1</v>
      </c>
      <c r="I12" s="50">
        <v>0</v>
      </c>
      <c r="J12" s="50">
        <v>1</v>
      </c>
      <c r="K12" s="52"/>
      <c r="L12" s="52"/>
      <c r="M12" s="50">
        <v>0</v>
      </c>
      <c r="N12" s="50">
        <v>1</v>
      </c>
      <c r="O12" s="50">
        <v>0</v>
      </c>
      <c r="P12" s="50">
        <v>1</v>
      </c>
      <c r="Q12" s="50">
        <v>1</v>
      </c>
      <c r="R12" s="50">
        <v>1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2"/>
      <c r="AD12" s="52">
        <v>1</v>
      </c>
      <c r="AE12" s="50">
        <v>0</v>
      </c>
      <c r="AF12" s="50">
        <v>0</v>
      </c>
      <c r="AG12" s="50">
        <v>1</v>
      </c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15</v>
      </c>
    </row>
    <row r="13" spans="1:47">
      <c r="A13" s="102"/>
      <c r="B13" s="23">
        <v>7</v>
      </c>
      <c r="C13" s="24" t="s">
        <v>139</v>
      </c>
      <c r="D13" s="9" t="s">
        <v>114</v>
      </c>
      <c r="E13" s="87">
        <v>1</v>
      </c>
      <c r="F13" s="50">
        <v>0</v>
      </c>
      <c r="G13" s="50">
        <v>1</v>
      </c>
      <c r="H13" s="50">
        <v>1</v>
      </c>
      <c r="I13" s="50">
        <v>1</v>
      </c>
      <c r="J13" s="50">
        <v>1</v>
      </c>
      <c r="K13" s="52"/>
      <c r="L13" s="52"/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0</v>
      </c>
      <c r="S13" s="50">
        <v>1</v>
      </c>
      <c r="T13" s="52"/>
      <c r="U13" s="52"/>
      <c r="V13" s="50">
        <v>1</v>
      </c>
      <c r="W13" s="50">
        <v>1</v>
      </c>
      <c r="X13" s="50">
        <v>1</v>
      </c>
      <c r="Y13" s="50">
        <v>1</v>
      </c>
      <c r="Z13" s="50">
        <v>1</v>
      </c>
      <c r="AA13" s="50">
        <v>1</v>
      </c>
      <c r="AB13" s="50">
        <v>1</v>
      </c>
      <c r="AC13" s="52"/>
      <c r="AD13" s="52">
        <v>1</v>
      </c>
      <c r="AE13" s="50">
        <v>1</v>
      </c>
      <c r="AF13" s="50">
        <v>1</v>
      </c>
      <c r="AG13" s="50">
        <v>1</v>
      </c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19</v>
      </c>
    </row>
    <row r="14" spans="1:47">
      <c r="A14" s="102"/>
      <c r="B14" s="23">
        <v>8</v>
      </c>
      <c r="C14" s="24" t="s">
        <v>140</v>
      </c>
      <c r="D14" s="9" t="s">
        <v>114</v>
      </c>
      <c r="E14" s="50">
        <v>0</v>
      </c>
      <c r="F14" s="50">
        <v>1</v>
      </c>
      <c r="G14" s="50">
        <v>0</v>
      </c>
      <c r="H14" s="50">
        <v>1</v>
      </c>
      <c r="I14" s="50">
        <v>1</v>
      </c>
      <c r="J14" s="50">
        <v>1</v>
      </c>
      <c r="K14" s="52"/>
      <c r="L14" s="52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2"/>
      <c r="U14" s="52"/>
      <c r="V14" s="50">
        <v>1</v>
      </c>
      <c r="W14" s="50">
        <v>1</v>
      </c>
      <c r="X14" s="50">
        <v>0</v>
      </c>
      <c r="Y14" s="50">
        <v>1</v>
      </c>
      <c r="Z14" s="50">
        <v>1</v>
      </c>
      <c r="AA14" s="50">
        <v>1</v>
      </c>
      <c r="AB14" s="50">
        <v>0</v>
      </c>
      <c r="AC14" s="52"/>
      <c r="AD14" s="52">
        <v>1</v>
      </c>
      <c r="AE14" s="50">
        <v>0</v>
      </c>
      <c r="AF14" s="50">
        <v>1</v>
      </c>
      <c r="AG14" s="50">
        <v>1</v>
      </c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17</v>
      </c>
    </row>
    <row r="15" spans="1:47">
      <c r="A15" s="102"/>
      <c r="B15" s="23">
        <v>9</v>
      </c>
      <c r="C15" s="24" t="s">
        <v>141</v>
      </c>
      <c r="D15" s="9" t="s">
        <v>114</v>
      </c>
      <c r="E15" s="89">
        <v>0</v>
      </c>
      <c r="F15" s="47">
        <v>1</v>
      </c>
      <c r="G15" s="47">
        <v>1</v>
      </c>
      <c r="H15" s="47">
        <v>1</v>
      </c>
      <c r="I15" s="47">
        <v>1</v>
      </c>
      <c r="J15" s="47">
        <v>1</v>
      </c>
      <c r="K15" s="49"/>
      <c r="L15" s="49"/>
      <c r="M15" s="47">
        <v>1</v>
      </c>
      <c r="N15" s="47">
        <v>1</v>
      </c>
      <c r="O15" s="47">
        <v>1</v>
      </c>
      <c r="P15" s="47">
        <v>1</v>
      </c>
      <c r="Q15" s="47">
        <v>1</v>
      </c>
      <c r="R15" s="47">
        <v>1</v>
      </c>
      <c r="S15" s="47">
        <v>1</v>
      </c>
      <c r="T15" s="49"/>
      <c r="U15" s="49"/>
      <c r="V15" s="4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49"/>
      <c r="AD15" s="49"/>
      <c r="AE15" s="47">
        <v>1</v>
      </c>
      <c r="AF15" s="47">
        <v>1</v>
      </c>
      <c r="AG15" s="47">
        <v>1</v>
      </c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19</v>
      </c>
    </row>
    <row r="16" spans="1:47">
      <c r="A16" s="102"/>
      <c r="B16" s="23">
        <v>10</v>
      </c>
      <c r="C16" s="11" t="s">
        <v>142</v>
      </c>
      <c r="D16" s="11" t="s">
        <v>114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/>
      <c r="L16" s="87"/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/>
      <c r="U16" s="87"/>
      <c r="V16" s="87">
        <v>0</v>
      </c>
      <c r="W16" s="87">
        <v>0</v>
      </c>
      <c r="X16" s="87">
        <v>0</v>
      </c>
      <c r="Y16" s="50">
        <v>1</v>
      </c>
      <c r="Z16" s="50">
        <v>1</v>
      </c>
      <c r="AA16" s="50">
        <v>1</v>
      </c>
      <c r="AB16" s="50">
        <v>1</v>
      </c>
      <c r="AC16" s="52"/>
      <c r="AD16" s="52"/>
      <c r="AE16" s="50">
        <v>1</v>
      </c>
      <c r="AF16" s="50">
        <v>1</v>
      </c>
      <c r="AG16" s="50">
        <v>1</v>
      </c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7</v>
      </c>
    </row>
    <row r="17" spans="1:47">
      <c r="A17" s="102"/>
      <c r="B17" s="23">
        <v>11</v>
      </c>
      <c r="C17" s="11" t="s">
        <v>143</v>
      </c>
      <c r="D17" s="11" t="s">
        <v>110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/>
      <c r="L17" s="87"/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/>
      <c r="U17" s="87"/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50">
        <v>1</v>
      </c>
      <c r="AC17" s="52"/>
      <c r="AD17" s="52"/>
      <c r="AE17" s="50">
        <v>1</v>
      </c>
      <c r="AF17" s="50">
        <v>1</v>
      </c>
      <c r="AG17" s="50">
        <v>1</v>
      </c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4</v>
      </c>
    </row>
    <row r="18" spans="1:47">
      <c r="A18" s="102"/>
      <c r="B18" s="23">
        <v>12</v>
      </c>
      <c r="C18" s="11"/>
      <c r="D18" s="11"/>
      <c r="E18" s="50"/>
      <c r="F18" s="50"/>
      <c r="G18" s="50"/>
      <c r="H18" s="50"/>
      <c r="I18" s="50"/>
      <c r="J18" s="50"/>
      <c r="K18" s="52"/>
      <c r="L18" s="52"/>
      <c r="M18" s="50"/>
      <c r="N18" s="50"/>
      <c r="O18" s="50"/>
      <c r="P18" s="50"/>
      <c r="Q18" s="50"/>
      <c r="R18" s="50"/>
      <c r="S18" s="50"/>
      <c r="T18" s="52"/>
      <c r="U18" s="52"/>
      <c r="V18" s="50"/>
      <c r="W18" s="50"/>
      <c r="X18" s="50"/>
      <c r="Y18" s="50"/>
      <c r="Z18" s="50"/>
      <c r="AA18" s="50"/>
      <c r="AB18" s="50"/>
      <c r="AC18" s="52"/>
      <c r="AD18" s="52"/>
      <c r="AE18" s="50"/>
      <c r="AF18" s="50"/>
      <c r="AG18" s="50"/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0</v>
      </c>
    </row>
    <row r="19" spans="1:47">
      <c r="A19" s="102"/>
      <c r="B19" s="23">
        <v>13</v>
      </c>
      <c r="C19" s="53"/>
      <c r="D19" s="11"/>
      <c r="E19" s="50"/>
      <c r="F19" s="50"/>
      <c r="G19" s="50"/>
      <c r="H19" s="50"/>
      <c r="I19" s="50"/>
      <c r="J19" s="50"/>
      <c r="K19" s="52"/>
      <c r="L19" s="52"/>
      <c r="M19" s="50"/>
      <c r="N19" s="50"/>
      <c r="O19" s="50"/>
      <c r="P19" s="50"/>
      <c r="Q19" s="50"/>
      <c r="R19" s="50"/>
      <c r="S19" s="50"/>
      <c r="T19" s="52"/>
      <c r="U19" s="52"/>
      <c r="V19" s="50"/>
      <c r="W19" s="50"/>
      <c r="X19" s="50"/>
      <c r="Y19" s="50"/>
      <c r="Z19" s="50"/>
      <c r="AA19" s="50"/>
      <c r="AB19" s="50"/>
      <c r="AC19" s="52"/>
      <c r="AD19" s="52"/>
      <c r="AE19" s="50"/>
      <c r="AF19" s="50"/>
      <c r="AG19" s="50"/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0</v>
      </c>
    </row>
    <row r="20" spans="1:47">
      <c r="A20" s="102"/>
      <c r="B20" s="23">
        <v>14</v>
      </c>
      <c r="C20" s="11"/>
      <c r="D20" s="11"/>
      <c r="E20" s="50"/>
      <c r="F20" s="50"/>
      <c r="G20" s="50"/>
      <c r="H20" s="50"/>
      <c r="I20" s="50"/>
      <c r="J20" s="50"/>
      <c r="K20" s="52"/>
      <c r="L20" s="52"/>
      <c r="M20" s="50"/>
      <c r="N20" s="50"/>
      <c r="O20" s="50"/>
      <c r="P20" s="50"/>
      <c r="Q20" s="50"/>
      <c r="R20" s="50"/>
      <c r="S20" s="50"/>
      <c r="T20" s="52"/>
      <c r="U20" s="52"/>
      <c r="V20" s="50"/>
      <c r="W20" s="50"/>
      <c r="X20" s="50"/>
      <c r="Y20" s="50"/>
      <c r="Z20" s="50"/>
      <c r="AA20" s="50"/>
      <c r="AB20" s="50"/>
      <c r="AC20" s="52"/>
      <c r="AD20" s="52"/>
      <c r="AE20" s="50"/>
      <c r="AF20" s="50"/>
      <c r="AG20" s="50"/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0</v>
      </c>
    </row>
    <row r="21" spans="1:47">
      <c r="A21" s="102"/>
      <c r="B21" s="23">
        <v>15</v>
      </c>
      <c r="C21" s="9"/>
      <c r="D21" s="9"/>
      <c r="E21" s="50"/>
      <c r="F21" s="50"/>
      <c r="G21" s="50"/>
      <c r="H21" s="50"/>
      <c r="I21" s="50"/>
      <c r="J21" s="50"/>
      <c r="K21" s="52"/>
      <c r="L21" s="52"/>
      <c r="M21" s="50"/>
      <c r="N21" s="50"/>
      <c r="O21" s="50"/>
      <c r="P21" s="50"/>
      <c r="Q21" s="50"/>
      <c r="R21" s="50"/>
      <c r="S21" s="50"/>
      <c r="T21" s="52"/>
      <c r="U21" s="52"/>
      <c r="V21" s="50"/>
      <c r="W21" s="50"/>
      <c r="X21" s="50"/>
      <c r="Y21" s="50"/>
      <c r="Z21" s="50"/>
      <c r="AA21" s="50"/>
      <c r="AB21" s="50"/>
      <c r="AC21" s="52"/>
      <c r="AD21" s="52"/>
      <c r="AE21" s="50"/>
      <c r="AF21" s="50"/>
      <c r="AG21" s="50"/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0</v>
      </c>
    </row>
    <row r="22" spans="1:47">
      <c r="A22" s="102"/>
      <c r="B22" s="23">
        <v>16</v>
      </c>
      <c r="C22" s="24"/>
      <c r="D22" s="9"/>
      <c r="E22" s="50"/>
      <c r="F22" s="50"/>
      <c r="G22" s="50"/>
      <c r="H22" s="50"/>
      <c r="I22" s="50"/>
      <c r="J22" s="50"/>
      <c r="K22" s="52"/>
      <c r="L22" s="52"/>
      <c r="M22" s="50"/>
      <c r="N22" s="50"/>
      <c r="O22" s="50"/>
      <c r="P22" s="50"/>
      <c r="Q22" s="50"/>
      <c r="R22" s="50"/>
      <c r="S22" s="50"/>
      <c r="T22" s="52"/>
      <c r="U22" s="52"/>
      <c r="V22" s="50"/>
      <c r="W22" s="50"/>
      <c r="X22" s="50"/>
      <c r="Y22" s="50"/>
      <c r="Z22" s="50"/>
      <c r="AA22" s="50"/>
      <c r="AB22" s="50"/>
      <c r="AC22" s="52"/>
      <c r="AD22" s="52"/>
      <c r="AE22" s="50"/>
      <c r="AF22" s="50"/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0</v>
      </c>
    </row>
    <row r="23" spans="1:47" ht="19.5">
      <c r="A23" s="3"/>
      <c r="B23" s="68">
        <v>11</v>
      </c>
      <c r="C23" s="12" t="s">
        <v>48</v>
      </c>
      <c r="D23" s="7"/>
      <c r="E23" s="8">
        <f>COUNTIF(E7:E22,"1")</f>
        <v>6</v>
      </c>
      <c r="F23" s="8">
        <f t="shared" ref="F23:AT23" si="2">COUNTIF(F7:F22,"1")</f>
        <v>6</v>
      </c>
      <c r="G23" s="8">
        <f t="shared" si="2"/>
        <v>4</v>
      </c>
      <c r="H23" s="8">
        <f t="shared" si="2"/>
        <v>9</v>
      </c>
      <c r="I23" s="8">
        <f t="shared" si="2"/>
        <v>8</v>
      </c>
      <c r="J23" s="8">
        <f t="shared" si="2"/>
        <v>8</v>
      </c>
      <c r="K23" s="8">
        <f t="shared" si="2"/>
        <v>0</v>
      </c>
      <c r="L23" s="8">
        <f t="shared" si="2"/>
        <v>0</v>
      </c>
      <c r="M23" s="8">
        <f t="shared" si="2"/>
        <v>6</v>
      </c>
      <c r="N23" s="8">
        <f t="shared" si="2"/>
        <v>6</v>
      </c>
      <c r="O23" s="8">
        <f t="shared" si="2"/>
        <v>8</v>
      </c>
      <c r="P23" s="8">
        <f t="shared" si="2"/>
        <v>8</v>
      </c>
      <c r="Q23" s="8">
        <f t="shared" si="2"/>
        <v>9</v>
      </c>
      <c r="R23" s="8">
        <f t="shared" si="2"/>
        <v>5</v>
      </c>
      <c r="S23" s="8">
        <f t="shared" si="2"/>
        <v>6</v>
      </c>
      <c r="T23" s="8">
        <f t="shared" si="2"/>
        <v>0</v>
      </c>
      <c r="U23" s="8">
        <f t="shared" si="2"/>
        <v>0</v>
      </c>
      <c r="V23" s="8">
        <f t="shared" si="2"/>
        <v>7</v>
      </c>
      <c r="W23" s="8">
        <f t="shared" si="2"/>
        <v>7</v>
      </c>
      <c r="X23" s="8">
        <f t="shared" si="2"/>
        <v>7</v>
      </c>
      <c r="Y23" s="8">
        <f t="shared" si="2"/>
        <v>9</v>
      </c>
      <c r="Z23" s="8">
        <f t="shared" si="2"/>
        <v>8</v>
      </c>
      <c r="AA23" s="8">
        <f t="shared" si="2"/>
        <v>8</v>
      </c>
      <c r="AB23" s="8">
        <f t="shared" si="2"/>
        <v>8</v>
      </c>
      <c r="AC23" s="8">
        <f t="shared" si="2"/>
        <v>0</v>
      </c>
      <c r="AD23" s="8">
        <f t="shared" si="2"/>
        <v>5</v>
      </c>
      <c r="AE23" s="8">
        <f t="shared" si="2"/>
        <v>8</v>
      </c>
      <c r="AF23" s="8">
        <f t="shared" si="2"/>
        <v>9</v>
      </c>
      <c r="AG23" s="8">
        <f t="shared" si="2"/>
        <v>10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150</v>
      </c>
    </row>
    <row r="24" spans="1:47" ht="19.5">
      <c r="A24" s="3"/>
      <c r="B24" s="22"/>
      <c r="C24"/>
      <c r="D24" s="5"/>
      <c r="E24" s="99">
        <v>45910</v>
      </c>
      <c r="F24" s="99">
        <f>E24+7</f>
        <v>45917</v>
      </c>
      <c r="G24" s="99">
        <f t="shared" ref="G24" si="3">F24+7</f>
        <v>45924</v>
      </c>
      <c r="H24" s="99">
        <f t="shared" ref="H24" si="4">G24+7</f>
        <v>45931</v>
      </c>
      <c r="I24" s="99">
        <f t="shared" ref="I24" si="5">H24+7</f>
        <v>45938</v>
      </c>
      <c r="J24" s="99">
        <f t="shared" ref="J24" si="6">I24+7</f>
        <v>45945</v>
      </c>
      <c r="K24" s="99">
        <f t="shared" ref="K24" si="7">J24+7</f>
        <v>45952</v>
      </c>
      <c r="L24" s="99">
        <f t="shared" ref="L24" si="8">K24+7</f>
        <v>45959</v>
      </c>
      <c r="M24" s="99">
        <f t="shared" ref="M24" si="9">L24+7</f>
        <v>45966</v>
      </c>
      <c r="N24" s="99">
        <f t="shared" ref="N24" si="10">M24+7</f>
        <v>45973</v>
      </c>
      <c r="O24" s="99">
        <f t="shared" ref="O24" si="11">N24+7</f>
        <v>45980</v>
      </c>
      <c r="P24" s="99">
        <f t="shared" ref="P24" si="12">O24+7</f>
        <v>45987</v>
      </c>
      <c r="Q24" s="99">
        <f t="shared" ref="Q24" si="13">P24+7</f>
        <v>45994</v>
      </c>
      <c r="R24" s="99">
        <f t="shared" ref="R24" si="14">Q24+7</f>
        <v>46001</v>
      </c>
      <c r="S24" s="99">
        <f t="shared" ref="S24" si="15">R24+7</f>
        <v>46008</v>
      </c>
      <c r="T24" s="99">
        <f t="shared" ref="T24" si="16">S24+7</f>
        <v>46015</v>
      </c>
      <c r="U24" s="99">
        <f t="shared" ref="U24" si="17">T24+7</f>
        <v>46022</v>
      </c>
      <c r="V24" s="99">
        <f t="shared" ref="V24" si="18">U24+7</f>
        <v>46029</v>
      </c>
      <c r="W24" s="99">
        <f t="shared" ref="W24" si="19">V24+7</f>
        <v>46036</v>
      </c>
      <c r="X24" s="99">
        <f t="shared" ref="X24" si="20">W24+7</f>
        <v>46043</v>
      </c>
      <c r="Y24" s="99">
        <f t="shared" ref="Y24" si="21">X24+7</f>
        <v>46050</v>
      </c>
      <c r="Z24" s="99">
        <f t="shared" ref="Z24" si="22">Y24+7</f>
        <v>46057</v>
      </c>
      <c r="AA24" s="99">
        <f t="shared" ref="AA24" si="23">Z24+7</f>
        <v>46064</v>
      </c>
      <c r="AB24" s="99">
        <f t="shared" ref="AB24" si="24">AA24+7</f>
        <v>46071</v>
      </c>
      <c r="AC24" s="99">
        <f t="shared" ref="AC24" si="25">AB24+7</f>
        <v>46078</v>
      </c>
      <c r="AD24" s="99">
        <f t="shared" ref="AD24" si="26">AC24+7</f>
        <v>46085</v>
      </c>
      <c r="AE24" s="99">
        <f t="shared" ref="AE24" si="27">AD24+7</f>
        <v>46092</v>
      </c>
      <c r="AF24" s="99">
        <f t="shared" ref="AF24" si="28">AE24+7</f>
        <v>46099</v>
      </c>
      <c r="AG24" s="99">
        <f t="shared" ref="AG24" si="29">AF24+7</f>
        <v>46106</v>
      </c>
      <c r="AH24" s="99">
        <f t="shared" ref="AH24" si="30">AG24+7</f>
        <v>46113</v>
      </c>
      <c r="AI24" s="99">
        <f t="shared" ref="AI24" si="31">AH24+7</f>
        <v>46120</v>
      </c>
      <c r="AJ24" s="99">
        <f t="shared" ref="AJ24" si="32">AI24+7</f>
        <v>46127</v>
      </c>
      <c r="AK24" s="99">
        <f t="shared" ref="AK24" si="33">AJ24+7</f>
        <v>46134</v>
      </c>
      <c r="AL24" s="99">
        <f t="shared" ref="AL24" si="34">AK24+7</f>
        <v>46141</v>
      </c>
      <c r="AM24" s="99">
        <f t="shared" ref="AM24" si="35">AL24+7</f>
        <v>46148</v>
      </c>
      <c r="AN24" s="99">
        <f t="shared" ref="AN24" si="36">AM24+7</f>
        <v>46155</v>
      </c>
      <c r="AO24" s="99">
        <f t="shared" ref="AO24" si="37">AN24+7</f>
        <v>46162</v>
      </c>
      <c r="AP24" s="99">
        <f t="shared" ref="AP24" si="38">AO24+7</f>
        <v>46169</v>
      </c>
      <c r="AQ24" s="99">
        <f t="shared" ref="AQ24" si="39">AP24+7</f>
        <v>46176</v>
      </c>
      <c r="AR24" s="99">
        <f t="shared" ref="AR24" si="40">AQ24+7</f>
        <v>46183</v>
      </c>
      <c r="AS24" s="99">
        <f t="shared" ref="AS24" si="41">AR24+7</f>
        <v>46190</v>
      </c>
      <c r="AT24" s="99">
        <f t="shared" ref="AT24" si="42">AS24+7</f>
        <v>46197</v>
      </c>
      <c r="AU24" s="1"/>
    </row>
    <row r="25" spans="1:47" ht="19.5">
      <c r="A25" s="3"/>
      <c r="B25" s="22"/>
      <c r="C25"/>
      <c r="D25" s="5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1"/>
    </row>
    <row r="26" spans="1:47">
      <c r="B26" s="3"/>
      <c r="C26"/>
      <c r="D26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>
        <f t="shared" si="1"/>
        <v>0</v>
      </c>
    </row>
    <row r="27" spans="1:47" ht="14.45" customHeight="1">
      <c r="A27" s="102" t="s">
        <v>105</v>
      </c>
      <c r="B27" s="23">
        <v>1</v>
      </c>
      <c r="C27" s="11" t="s">
        <v>144</v>
      </c>
      <c r="D27" s="11" t="s">
        <v>120</v>
      </c>
      <c r="E27" s="47">
        <v>1</v>
      </c>
      <c r="F27" s="47">
        <v>1</v>
      </c>
      <c r="G27" s="47">
        <v>1</v>
      </c>
      <c r="H27" s="47">
        <v>1</v>
      </c>
      <c r="I27" s="47">
        <v>1</v>
      </c>
      <c r="J27" s="47">
        <v>1</v>
      </c>
      <c r="K27" s="49"/>
      <c r="L27" s="49"/>
      <c r="M27" s="47">
        <v>1</v>
      </c>
      <c r="N27" s="47">
        <v>1</v>
      </c>
      <c r="O27" s="47">
        <v>1</v>
      </c>
      <c r="P27" s="47">
        <v>1</v>
      </c>
      <c r="Q27" s="47">
        <v>1</v>
      </c>
      <c r="R27" s="47">
        <v>1</v>
      </c>
      <c r="S27" s="47">
        <v>1</v>
      </c>
      <c r="T27" s="49"/>
      <c r="U27" s="49"/>
      <c r="V27" s="47">
        <v>1</v>
      </c>
      <c r="W27" s="47">
        <v>1</v>
      </c>
      <c r="X27" s="47">
        <v>1</v>
      </c>
      <c r="Y27" s="47">
        <v>1</v>
      </c>
      <c r="Z27" s="47">
        <v>1</v>
      </c>
      <c r="AA27" s="47">
        <v>1</v>
      </c>
      <c r="AB27" s="47">
        <v>1</v>
      </c>
      <c r="AC27" s="49"/>
      <c r="AD27" s="49"/>
      <c r="AE27" s="47">
        <v>1</v>
      </c>
      <c r="AF27" s="47">
        <v>1</v>
      </c>
      <c r="AG27" s="47">
        <v>1</v>
      </c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si="1"/>
        <v>19</v>
      </c>
    </row>
    <row r="28" spans="1:47">
      <c r="A28" s="102"/>
      <c r="B28" s="23">
        <v>2</v>
      </c>
      <c r="C28" s="11" t="s">
        <v>145</v>
      </c>
      <c r="D28" s="11" t="s">
        <v>120</v>
      </c>
      <c r="E28" s="50">
        <v>1</v>
      </c>
      <c r="F28" s="50">
        <v>1</v>
      </c>
      <c r="G28" s="50">
        <v>1</v>
      </c>
      <c r="H28" s="50">
        <v>1</v>
      </c>
      <c r="I28" s="50">
        <v>1</v>
      </c>
      <c r="J28" s="50">
        <v>1</v>
      </c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50">
        <v>1</v>
      </c>
      <c r="R28" s="50">
        <v>1</v>
      </c>
      <c r="S28" s="50">
        <v>1</v>
      </c>
      <c r="T28" s="52"/>
      <c r="U28" s="52"/>
      <c r="V28" s="50">
        <v>1</v>
      </c>
      <c r="W28" s="50">
        <v>1</v>
      </c>
      <c r="X28" s="50">
        <v>1</v>
      </c>
      <c r="Y28" s="50">
        <v>1</v>
      </c>
      <c r="Z28" s="50">
        <v>1</v>
      </c>
      <c r="AA28" s="50">
        <v>1</v>
      </c>
      <c r="AB28" s="50">
        <v>1</v>
      </c>
      <c r="AC28" s="52"/>
      <c r="AD28" s="52"/>
      <c r="AE28" s="50">
        <v>1</v>
      </c>
      <c r="AF28" s="50">
        <v>1</v>
      </c>
      <c r="AG28" s="50">
        <v>1</v>
      </c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1"/>
        <v>19</v>
      </c>
    </row>
    <row r="29" spans="1:47">
      <c r="A29" s="102"/>
      <c r="B29" s="23">
        <v>3</v>
      </c>
      <c r="C29" s="11" t="s">
        <v>146</v>
      </c>
      <c r="D29" s="11" t="s">
        <v>120</v>
      </c>
      <c r="E29" s="47">
        <v>1</v>
      </c>
      <c r="F29" s="47">
        <v>1</v>
      </c>
      <c r="G29" s="47">
        <v>1</v>
      </c>
      <c r="H29" s="50">
        <v>1</v>
      </c>
      <c r="I29" s="50">
        <v>1</v>
      </c>
      <c r="J29" s="50">
        <v>1</v>
      </c>
      <c r="K29" s="52"/>
      <c r="L29" s="52"/>
      <c r="M29" s="50">
        <v>1</v>
      </c>
      <c r="N29" s="50">
        <v>1</v>
      </c>
      <c r="O29" s="50">
        <v>1</v>
      </c>
      <c r="P29" s="50">
        <v>1</v>
      </c>
      <c r="Q29" s="50">
        <v>1</v>
      </c>
      <c r="R29" s="50">
        <v>1</v>
      </c>
      <c r="S29" s="50">
        <v>1</v>
      </c>
      <c r="T29" s="52"/>
      <c r="U29" s="52"/>
      <c r="V29" s="50">
        <v>1</v>
      </c>
      <c r="W29" s="50">
        <v>0</v>
      </c>
      <c r="X29" s="50">
        <v>1</v>
      </c>
      <c r="Y29" s="50">
        <v>1</v>
      </c>
      <c r="Z29" s="50">
        <v>1</v>
      </c>
      <c r="AA29" s="50">
        <v>1</v>
      </c>
      <c r="AB29" s="50">
        <v>1</v>
      </c>
      <c r="AC29" s="52"/>
      <c r="AD29" s="52"/>
      <c r="AE29" s="50">
        <v>1</v>
      </c>
      <c r="AF29" s="50">
        <v>1</v>
      </c>
      <c r="AG29" s="50">
        <v>1</v>
      </c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1"/>
        <v>18</v>
      </c>
    </row>
    <row r="30" spans="1:47">
      <c r="A30" s="102"/>
      <c r="B30" s="23">
        <v>4</v>
      </c>
      <c r="C30" s="11" t="s">
        <v>147</v>
      </c>
      <c r="D30" s="11" t="s">
        <v>123</v>
      </c>
      <c r="E30" s="87">
        <v>0</v>
      </c>
      <c r="F30" s="87">
        <v>0</v>
      </c>
      <c r="G30" s="87">
        <v>0</v>
      </c>
      <c r="H30" s="87">
        <v>0</v>
      </c>
      <c r="I30" s="50">
        <v>1</v>
      </c>
      <c r="J30" s="50">
        <v>1</v>
      </c>
      <c r="K30" s="52"/>
      <c r="L30" s="52"/>
      <c r="M30" s="50">
        <v>1</v>
      </c>
      <c r="N30" s="50">
        <v>1</v>
      </c>
      <c r="O30" s="50">
        <v>1</v>
      </c>
      <c r="P30" s="50">
        <v>1</v>
      </c>
      <c r="Q30" s="50">
        <v>1</v>
      </c>
      <c r="R30" s="50">
        <v>1</v>
      </c>
      <c r="S30" s="50">
        <v>0</v>
      </c>
      <c r="T30" s="52"/>
      <c r="U30" s="52"/>
      <c r="V30" s="50">
        <v>1</v>
      </c>
      <c r="W30" s="50">
        <v>0</v>
      </c>
      <c r="X30" s="50">
        <v>0</v>
      </c>
      <c r="Y30" s="50">
        <v>1</v>
      </c>
      <c r="Z30" s="50">
        <v>1</v>
      </c>
      <c r="AA30" s="50">
        <v>0</v>
      </c>
      <c r="AB30" s="50">
        <v>1</v>
      </c>
      <c r="AC30" s="52"/>
      <c r="AD30" s="52"/>
      <c r="AE30" s="50">
        <v>1</v>
      </c>
      <c r="AF30" s="50">
        <v>1</v>
      </c>
      <c r="AG30" s="50">
        <v>1</v>
      </c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1"/>
        <v>15</v>
      </c>
    </row>
    <row r="31" spans="1:47">
      <c r="A31" s="102"/>
      <c r="B31" s="23">
        <v>5</v>
      </c>
      <c r="C31" s="11" t="s">
        <v>148</v>
      </c>
      <c r="D31" s="11" t="s">
        <v>123</v>
      </c>
      <c r="E31" s="50">
        <v>1</v>
      </c>
      <c r="F31" s="50">
        <v>1</v>
      </c>
      <c r="G31" s="50">
        <v>1</v>
      </c>
      <c r="H31" s="50">
        <v>1</v>
      </c>
      <c r="I31" s="50">
        <v>1</v>
      </c>
      <c r="J31" s="50">
        <v>0</v>
      </c>
      <c r="K31" s="52"/>
      <c r="L31" s="52"/>
      <c r="M31" s="50">
        <v>1</v>
      </c>
      <c r="N31" s="50">
        <v>1</v>
      </c>
      <c r="O31" s="50">
        <v>0</v>
      </c>
      <c r="P31" s="50">
        <v>1</v>
      </c>
      <c r="Q31" s="50">
        <v>0</v>
      </c>
      <c r="R31" s="50">
        <v>1</v>
      </c>
      <c r="S31" s="50">
        <v>1</v>
      </c>
      <c r="T31" s="52"/>
      <c r="U31" s="52"/>
      <c r="V31" s="50">
        <v>1</v>
      </c>
      <c r="W31" s="50">
        <v>1</v>
      </c>
      <c r="X31" s="50">
        <v>1</v>
      </c>
      <c r="Y31" s="50">
        <v>1</v>
      </c>
      <c r="Z31" s="50">
        <v>1</v>
      </c>
      <c r="AA31" s="50">
        <v>1</v>
      </c>
      <c r="AB31" s="50">
        <v>1</v>
      </c>
      <c r="AC31" s="52"/>
      <c r="AD31" s="52"/>
      <c r="AE31" s="50">
        <v>1</v>
      </c>
      <c r="AF31" s="50">
        <v>0</v>
      </c>
      <c r="AG31" s="50">
        <v>1</v>
      </c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1"/>
        <v>15</v>
      </c>
    </row>
    <row r="32" spans="1:47">
      <c r="A32" s="102"/>
      <c r="B32" s="23">
        <v>6</v>
      </c>
      <c r="C32" s="11" t="s">
        <v>149</v>
      </c>
      <c r="D32" s="11" t="s">
        <v>123</v>
      </c>
      <c r="E32" s="87">
        <v>0</v>
      </c>
      <c r="F32" s="87">
        <v>0</v>
      </c>
      <c r="G32" s="50">
        <v>1</v>
      </c>
      <c r="H32" s="50">
        <v>1</v>
      </c>
      <c r="I32" s="50">
        <v>1</v>
      </c>
      <c r="J32" s="50">
        <v>0</v>
      </c>
      <c r="K32" s="52"/>
      <c r="L32" s="52"/>
      <c r="M32" s="50">
        <v>1</v>
      </c>
      <c r="N32" s="50">
        <v>1</v>
      </c>
      <c r="O32" s="50">
        <v>0</v>
      </c>
      <c r="P32" s="50">
        <v>1</v>
      </c>
      <c r="Q32" s="50">
        <v>1</v>
      </c>
      <c r="R32" s="50">
        <v>1</v>
      </c>
      <c r="S32" s="50">
        <v>1</v>
      </c>
      <c r="T32" s="52"/>
      <c r="U32" s="52"/>
      <c r="V32" s="50">
        <v>0</v>
      </c>
      <c r="W32" s="50">
        <v>1</v>
      </c>
      <c r="X32" s="50">
        <v>1</v>
      </c>
      <c r="Y32" s="50">
        <v>1</v>
      </c>
      <c r="Z32" s="50">
        <v>1</v>
      </c>
      <c r="AA32" s="50">
        <v>1</v>
      </c>
      <c r="AB32" s="50">
        <v>1</v>
      </c>
      <c r="AC32" s="52"/>
      <c r="AD32" s="52"/>
      <c r="AE32" s="50">
        <v>1</v>
      </c>
      <c r="AF32" s="50">
        <v>0</v>
      </c>
      <c r="AG32" s="50">
        <v>1</v>
      </c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1"/>
        <v>15</v>
      </c>
    </row>
    <row r="33" spans="1:47">
      <c r="A33" s="102"/>
      <c r="B33" s="23">
        <v>7</v>
      </c>
      <c r="C33" s="11" t="s">
        <v>150</v>
      </c>
      <c r="D33" s="11" t="s">
        <v>120</v>
      </c>
      <c r="E33" s="50">
        <v>1</v>
      </c>
      <c r="F33" s="50">
        <v>1</v>
      </c>
      <c r="G33" s="50">
        <v>1</v>
      </c>
      <c r="H33" s="50">
        <v>1</v>
      </c>
      <c r="I33" s="50">
        <v>1</v>
      </c>
      <c r="J33" s="50">
        <v>1</v>
      </c>
      <c r="K33" s="52"/>
      <c r="L33" s="52"/>
      <c r="M33" s="50">
        <v>1</v>
      </c>
      <c r="N33" s="50">
        <v>1</v>
      </c>
      <c r="O33" s="50">
        <v>1</v>
      </c>
      <c r="P33" s="50">
        <v>1</v>
      </c>
      <c r="Q33" s="50">
        <v>1</v>
      </c>
      <c r="R33" s="50">
        <v>1</v>
      </c>
      <c r="S33" s="50">
        <v>1</v>
      </c>
      <c r="T33" s="52"/>
      <c r="U33" s="52"/>
      <c r="V33" s="50">
        <v>1</v>
      </c>
      <c r="W33" s="50">
        <v>1</v>
      </c>
      <c r="X33" s="50">
        <v>1</v>
      </c>
      <c r="Y33" s="50">
        <v>1</v>
      </c>
      <c r="Z33" s="50">
        <v>1</v>
      </c>
      <c r="AA33" s="50">
        <v>0</v>
      </c>
      <c r="AB33" s="50">
        <v>1</v>
      </c>
      <c r="AC33" s="52"/>
      <c r="AD33" s="52"/>
      <c r="AE33" s="50">
        <v>1</v>
      </c>
      <c r="AF33" s="50">
        <v>1</v>
      </c>
      <c r="AG33" s="50">
        <v>1</v>
      </c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1"/>
        <v>18</v>
      </c>
    </row>
    <row r="34" spans="1:47">
      <c r="A34" s="102"/>
      <c r="B34" s="23">
        <v>8</v>
      </c>
      <c r="C34" s="11" t="s">
        <v>151</v>
      </c>
      <c r="D34" s="11" t="s">
        <v>120</v>
      </c>
      <c r="E34" s="50">
        <v>1</v>
      </c>
      <c r="F34" s="50">
        <v>1</v>
      </c>
      <c r="G34" s="50">
        <v>1</v>
      </c>
      <c r="H34" s="50">
        <v>0</v>
      </c>
      <c r="I34" s="50">
        <v>1</v>
      </c>
      <c r="J34" s="50">
        <v>1</v>
      </c>
      <c r="K34" s="52"/>
      <c r="L34" s="52"/>
      <c r="M34" s="50">
        <v>1</v>
      </c>
      <c r="N34" s="50">
        <v>1</v>
      </c>
      <c r="O34" s="50">
        <v>1</v>
      </c>
      <c r="P34" s="50">
        <v>1</v>
      </c>
      <c r="Q34" s="50">
        <v>1</v>
      </c>
      <c r="R34" s="50">
        <v>1</v>
      </c>
      <c r="S34" s="50">
        <v>1</v>
      </c>
      <c r="T34" s="52"/>
      <c r="U34" s="52"/>
      <c r="V34" s="50">
        <v>1</v>
      </c>
      <c r="W34" s="50">
        <v>1</v>
      </c>
      <c r="X34" s="50">
        <v>1</v>
      </c>
      <c r="Y34" s="50">
        <v>1</v>
      </c>
      <c r="Z34" s="50">
        <v>1</v>
      </c>
      <c r="AA34" s="50">
        <v>1</v>
      </c>
      <c r="AB34" s="50">
        <v>1</v>
      </c>
      <c r="AC34" s="52"/>
      <c r="AD34" s="52"/>
      <c r="AE34" s="50">
        <v>1</v>
      </c>
      <c r="AF34" s="50">
        <v>1</v>
      </c>
      <c r="AG34" s="50">
        <v>1</v>
      </c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1"/>
        <v>19</v>
      </c>
    </row>
    <row r="35" spans="1:47">
      <c r="B35" s="23">
        <v>9</v>
      </c>
      <c r="C35" s="53" t="s">
        <v>152</v>
      </c>
      <c r="D35" s="11" t="s">
        <v>120</v>
      </c>
      <c r="E35" s="50">
        <v>1</v>
      </c>
      <c r="F35" s="50">
        <v>1</v>
      </c>
      <c r="G35" s="50">
        <v>1</v>
      </c>
      <c r="H35" s="50">
        <v>1</v>
      </c>
      <c r="I35" s="50">
        <v>1</v>
      </c>
      <c r="J35" s="50">
        <v>1</v>
      </c>
      <c r="K35" s="52"/>
      <c r="L35" s="52"/>
      <c r="M35" s="50">
        <v>1</v>
      </c>
      <c r="N35" s="50">
        <v>1</v>
      </c>
      <c r="O35" s="50">
        <v>1</v>
      </c>
      <c r="P35" s="50">
        <v>1</v>
      </c>
      <c r="Q35" s="50">
        <v>0</v>
      </c>
      <c r="R35" s="50">
        <v>0</v>
      </c>
      <c r="S35" s="50">
        <v>1</v>
      </c>
      <c r="T35" s="52"/>
      <c r="U35" s="52"/>
      <c r="V35" s="50">
        <v>1</v>
      </c>
      <c r="W35" s="47">
        <v>1</v>
      </c>
      <c r="X35" s="47">
        <v>1</v>
      </c>
      <c r="Y35" s="47">
        <v>1</v>
      </c>
      <c r="Z35" s="47">
        <v>1</v>
      </c>
      <c r="AA35" s="47">
        <v>0</v>
      </c>
      <c r="AB35" s="47">
        <v>1</v>
      </c>
      <c r="AC35" s="49"/>
      <c r="AD35" s="49"/>
      <c r="AE35" s="47">
        <v>1</v>
      </c>
      <c r="AF35" s="47">
        <v>1</v>
      </c>
      <c r="AG35" s="47">
        <v>1</v>
      </c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1"/>
        <v>16</v>
      </c>
    </row>
    <row r="36" spans="1:47">
      <c r="B36" s="23">
        <v>10</v>
      </c>
      <c r="C36" s="11" t="s">
        <v>153</v>
      </c>
      <c r="D36" s="11" t="s">
        <v>120</v>
      </c>
      <c r="E36" s="50">
        <v>1</v>
      </c>
      <c r="F36" s="50">
        <v>1</v>
      </c>
      <c r="G36" s="50">
        <v>1</v>
      </c>
      <c r="H36" s="50">
        <v>1</v>
      </c>
      <c r="I36" s="50">
        <v>1</v>
      </c>
      <c r="J36" s="50">
        <v>1</v>
      </c>
      <c r="K36" s="52"/>
      <c r="L36" s="52"/>
      <c r="M36" s="50">
        <v>1</v>
      </c>
      <c r="N36" s="50">
        <v>1</v>
      </c>
      <c r="O36" s="50">
        <v>1</v>
      </c>
      <c r="P36" s="50">
        <v>1</v>
      </c>
      <c r="Q36" s="50">
        <v>1</v>
      </c>
      <c r="R36" s="50">
        <v>1</v>
      </c>
      <c r="S36" s="50">
        <v>1</v>
      </c>
      <c r="T36" s="52"/>
      <c r="U36" s="52"/>
      <c r="V36" s="50">
        <v>1</v>
      </c>
      <c r="W36" s="50">
        <v>0</v>
      </c>
      <c r="X36" s="50">
        <v>1</v>
      </c>
      <c r="Y36" s="50">
        <v>1</v>
      </c>
      <c r="Z36" s="50">
        <v>1</v>
      </c>
      <c r="AA36" s="50">
        <v>1</v>
      </c>
      <c r="AB36" s="50">
        <v>1</v>
      </c>
      <c r="AC36" s="52"/>
      <c r="AD36" s="52"/>
      <c r="AE36" s="50">
        <v>0</v>
      </c>
      <c r="AF36" s="50">
        <v>1</v>
      </c>
      <c r="AG36" s="50">
        <v>1</v>
      </c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1"/>
        <v>17</v>
      </c>
    </row>
    <row r="37" spans="1:47">
      <c r="B37" s="23">
        <v>11</v>
      </c>
      <c r="C37" s="9" t="s">
        <v>154</v>
      </c>
      <c r="D37" s="9" t="s">
        <v>123</v>
      </c>
      <c r="E37" s="50">
        <v>1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2"/>
      <c r="L37" s="52"/>
      <c r="M37" s="50">
        <v>1</v>
      </c>
      <c r="N37" s="50">
        <v>1</v>
      </c>
      <c r="O37" s="50">
        <v>1</v>
      </c>
      <c r="P37" s="50">
        <v>1</v>
      </c>
      <c r="Q37" s="50">
        <v>1</v>
      </c>
      <c r="R37" s="50">
        <v>1</v>
      </c>
      <c r="S37" s="50">
        <v>1</v>
      </c>
      <c r="T37" s="52"/>
      <c r="U37" s="52"/>
      <c r="V37" s="50">
        <v>1</v>
      </c>
      <c r="W37" s="50">
        <v>0</v>
      </c>
      <c r="X37" s="50">
        <v>1</v>
      </c>
      <c r="Y37" s="50">
        <v>1</v>
      </c>
      <c r="Z37" s="50">
        <v>0</v>
      </c>
      <c r="AA37" s="50">
        <v>0</v>
      </c>
      <c r="AB37" s="50">
        <v>1</v>
      </c>
      <c r="AC37" s="52"/>
      <c r="AD37" s="52"/>
      <c r="AE37" s="50">
        <v>1</v>
      </c>
      <c r="AF37" s="50">
        <v>1</v>
      </c>
      <c r="AG37" s="50">
        <v>1</v>
      </c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1"/>
        <v>16</v>
      </c>
    </row>
    <row r="38" spans="1:47">
      <c r="B38" s="23">
        <v>12</v>
      </c>
      <c r="C38" s="11" t="s">
        <v>155</v>
      </c>
      <c r="D38" s="11" t="s">
        <v>114</v>
      </c>
      <c r="E38" s="89"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/>
      <c r="L38" s="89"/>
      <c r="M38" s="89">
        <v>0</v>
      </c>
      <c r="N38" s="89">
        <v>0</v>
      </c>
      <c r="O38" s="47">
        <v>1</v>
      </c>
      <c r="P38" s="47">
        <v>1</v>
      </c>
      <c r="Q38" s="47">
        <v>0</v>
      </c>
      <c r="R38" s="47">
        <v>1</v>
      </c>
      <c r="S38" s="47">
        <v>0</v>
      </c>
      <c r="T38" s="49"/>
      <c r="U38" s="49"/>
      <c r="V38" s="47">
        <v>1</v>
      </c>
      <c r="W38" s="50">
        <v>1</v>
      </c>
      <c r="X38" s="50">
        <v>1</v>
      </c>
      <c r="Y38" s="50">
        <v>1</v>
      </c>
      <c r="Z38" s="50">
        <v>1</v>
      </c>
      <c r="AA38" s="50">
        <v>1</v>
      </c>
      <c r="AB38" s="50">
        <v>1</v>
      </c>
      <c r="AC38" s="52"/>
      <c r="AD38" s="52"/>
      <c r="AE38" s="50">
        <v>1</v>
      </c>
      <c r="AF38" s="50">
        <v>1</v>
      </c>
      <c r="AG38" s="50">
        <v>1</v>
      </c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1"/>
        <v>13</v>
      </c>
    </row>
    <row r="39" spans="1:47">
      <c r="B39" s="23">
        <v>13</v>
      </c>
      <c r="C39" s="11" t="s">
        <v>156</v>
      </c>
      <c r="D39" s="11" t="s">
        <v>120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/>
      <c r="L39" s="87"/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</v>
      </c>
      <c r="S39" s="87">
        <v>0</v>
      </c>
      <c r="T39" s="87"/>
      <c r="U39" s="87"/>
      <c r="V39" s="87">
        <v>0</v>
      </c>
      <c r="W39" s="87">
        <v>0</v>
      </c>
      <c r="X39" s="87">
        <v>0</v>
      </c>
      <c r="Y39" s="87">
        <v>0</v>
      </c>
      <c r="Z39" s="87">
        <v>0</v>
      </c>
      <c r="AA39" s="87">
        <v>0</v>
      </c>
      <c r="AB39" s="87">
        <v>0</v>
      </c>
      <c r="AC39" s="87"/>
      <c r="AD39" s="87"/>
      <c r="AE39" s="87">
        <v>0</v>
      </c>
      <c r="AF39" s="87">
        <v>0</v>
      </c>
      <c r="AG39" s="50">
        <v>0</v>
      </c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1"/>
        <v>0</v>
      </c>
    </row>
    <row r="40" spans="1:47">
      <c r="B40" s="23">
        <v>14</v>
      </c>
      <c r="C40" s="11"/>
      <c r="D40" s="11"/>
      <c r="E40" s="50"/>
      <c r="F40" s="50"/>
      <c r="G40" s="50"/>
      <c r="H40" s="50"/>
      <c r="I40" s="50"/>
      <c r="J40" s="50"/>
      <c r="K40" s="52"/>
      <c r="L40" s="52"/>
      <c r="M40" s="50"/>
      <c r="N40" s="50"/>
      <c r="O40" s="50"/>
      <c r="P40" s="50"/>
      <c r="Q40" s="50"/>
      <c r="R40" s="50"/>
      <c r="S40" s="50"/>
      <c r="T40" s="52"/>
      <c r="U40" s="52"/>
      <c r="V40" s="50"/>
      <c r="W40" s="50"/>
      <c r="X40" s="50"/>
      <c r="Y40" s="50"/>
      <c r="Z40" s="50"/>
      <c r="AA40" s="50"/>
      <c r="AB40" s="50"/>
      <c r="AC40" s="52"/>
      <c r="AD40" s="52"/>
      <c r="AE40" s="50"/>
      <c r="AF40" s="50"/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1"/>
        <v>0</v>
      </c>
    </row>
    <row r="41" spans="1:47">
      <c r="B41" s="23">
        <v>15</v>
      </c>
      <c r="C41" s="11"/>
      <c r="D41" s="11"/>
      <c r="E41" s="50"/>
      <c r="F41" s="50"/>
      <c r="G41" s="50"/>
      <c r="H41" s="50"/>
      <c r="I41" s="50"/>
      <c r="J41" s="50"/>
      <c r="K41" s="52"/>
      <c r="L41" s="52"/>
      <c r="M41" s="50"/>
      <c r="N41" s="50"/>
      <c r="O41" s="50"/>
      <c r="P41" s="50"/>
      <c r="Q41" s="50"/>
      <c r="R41" s="50"/>
      <c r="S41" s="50"/>
      <c r="T41" s="52"/>
      <c r="U41" s="52"/>
      <c r="V41" s="50"/>
      <c r="W41" s="50"/>
      <c r="X41" s="50"/>
      <c r="Y41" s="50"/>
      <c r="Z41" s="50"/>
      <c r="AA41" s="50"/>
      <c r="AB41" s="50"/>
      <c r="AC41" s="52"/>
      <c r="AD41" s="52"/>
      <c r="AE41" s="50"/>
      <c r="AF41" s="50"/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1"/>
        <v>0</v>
      </c>
    </row>
    <row r="42" spans="1:47">
      <c r="B42" s="23">
        <v>16</v>
      </c>
      <c r="C42" s="11"/>
      <c r="D42" s="11"/>
      <c r="E42" s="50"/>
      <c r="F42" s="50"/>
      <c r="G42" s="50"/>
      <c r="H42" s="50"/>
      <c r="I42" s="50"/>
      <c r="J42" s="50"/>
      <c r="K42" s="52"/>
      <c r="L42" s="52"/>
      <c r="M42" s="50"/>
      <c r="N42" s="50"/>
      <c r="O42" s="50"/>
      <c r="P42" s="50"/>
      <c r="Q42" s="50"/>
      <c r="R42" s="50"/>
      <c r="S42" s="50"/>
      <c r="T42" s="52"/>
      <c r="U42" s="52"/>
      <c r="V42" s="50"/>
      <c r="W42" s="50"/>
      <c r="X42" s="50"/>
      <c r="Y42" s="50"/>
      <c r="Z42" s="50"/>
      <c r="AA42" s="50"/>
      <c r="AB42" s="50"/>
      <c r="AC42" s="52"/>
      <c r="AD42" s="52"/>
      <c r="AE42" s="50"/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1"/>
        <v>0</v>
      </c>
    </row>
    <row r="43" spans="1:47" ht="19.5">
      <c r="B43" s="68">
        <v>13</v>
      </c>
      <c r="C43" s="12" t="s">
        <v>58</v>
      </c>
      <c r="D43" s="7"/>
      <c r="E43" s="8">
        <f>COUNTIF(E27:E42,"1")</f>
        <v>9</v>
      </c>
      <c r="F43" s="8">
        <f>COUNTIF(F27:F42,"1")</f>
        <v>9</v>
      </c>
      <c r="G43" s="8">
        <f>COUNTIF(G27:G42,"1")</f>
        <v>10</v>
      </c>
      <c r="H43" s="8">
        <f>COUNTIF(H27:H42,"1")</f>
        <v>9</v>
      </c>
      <c r="I43" s="8">
        <f>COUNTIF(I27:I42,"1")</f>
        <v>11</v>
      </c>
      <c r="J43" s="8">
        <f>COUNTIF(J27:J42,"1")</f>
        <v>9</v>
      </c>
      <c r="K43" s="8">
        <f>COUNTIF(K27:K42,"1")</f>
        <v>0</v>
      </c>
      <c r="L43" s="8">
        <f>COUNTIF(L27:L42,"1")</f>
        <v>0</v>
      </c>
      <c r="M43" s="8">
        <f>COUNTIF(M27:M42,"1")</f>
        <v>11</v>
      </c>
      <c r="N43" s="8">
        <f>COUNTIF(N27:N42,"1")</f>
        <v>11</v>
      </c>
      <c r="O43" s="8">
        <f>COUNTIF(O27:O42,"1")</f>
        <v>10</v>
      </c>
      <c r="P43" s="8">
        <f>COUNTIF(P27:P42,"1")</f>
        <v>12</v>
      </c>
      <c r="Q43" s="8">
        <f>COUNTIF(Q27:Q42,"1")</f>
        <v>9</v>
      </c>
      <c r="R43" s="8">
        <f>COUNTIF(R27:R42,"1")</f>
        <v>11</v>
      </c>
      <c r="S43" s="8">
        <f>COUNTIF(S27:S42,"1")</f>
        <v>10</v>
      </c>
      <c r="T43" s="8">
        <f>COUNTIF(T27:T42,"1")</f>
        <v>0</v>
      </c>
      <c r="U43" s="8">
        <f>COUNTIF(U27:U42,"1")</f>
        <v>0</v>
      </c>
      <c r="V43" s="8">
        <f>COUNTIF(V27:V42,"1")</f>
        <v>11</v>
      </c>
      <c r="W43" s="8">
        <f>COUNTIF(W27:W42,"1")</f>
        <v>8</v>
      </c>
      <c r="X43" s="8">
        <f>COUNTIF(X27:X42,"1")</f>
        <v>11</v>
      </c>
      <c r="Y43" s="8">
        <f>COUNTIF(Y27:Y42,"1")</f>
        <v>12</v>
      </c>
      <c r="Z43" s="8">
        <f>COUNTIF(Z27:Z42,"1")</f>
        <v>11</v>
      </c>
      <c r="AA43" s="8">
        <f>COUNTIF(AA27:AA42,"1")</f>
        <v>8</v>
      </c>
      <c r="AB43" s="8">
        <f>COUNTIF(AB27:AB42,"1")</f>
        <v>12</v>
      </c>
      <c r="AC43" s="8">
        <f>COUNTIF(AC27:AC42,"1")</f>
        <v>0</v>
      </c>
      <c r="AD43" s="8">
        <f>COUNTIF(AD27:AD42,"1")</f>
        <v>0</v>
      </c>
      <c r="AE43" s="8">
        <f>COUNTIF(AE27:AE42,"1")</f>
        <v>11</v>
      </c>
      <c r="AF43" s="8">
        <f>COUNTIF(AF27:AF42,"1")</f>
        <v>10</v>
      </c>
      <c r="AG43" s="8">
        <f>COUNTIF(AG27:AG42,"1")</f>
        <v>12</v>
      </c>
      <c r="AH43" s="8">
        <f>COUNTIF(AH27:AH42,"1")</f>
        <v>0</v>
      </c>
      <c r="AI43" s="8">
        <f>COUNTIF(AI27:AI42,"1")</f>
        <v>0</v>
      </c>
      <c r="AJ43" s="8">
        <f>COUNTIF(AJ27:AJ42,"1")</f>
        <v>0</v>
      </c>
      <c r="AK43" s="8">
        <f>COUNTIF(AK27:AK42,"1")</f>
        <v>0</v>
      </c>
      <c r="AL43" s="8">
        <f>COUNTIF(AL27:AL42,"1")</f>
        <v>0</v>
      </c>
      <c r="AM43" s="8">
        <f>COUNTIF(AM27:AM42,"1")</f>
        <v>0</v>
      </c>
      <c r="AN43" s="8">
        <f>COUNTIF(AN27:AN42,"1")</f>
        <v>0</v>
      </c>
      <c r="AO43" s="8">
        <f>COUNTIF(AO27:AO42,"1")</f>
        <v>0</v>
      </c>
      <c r="AP43" s="8">
        <f>COUNTIF(AP27:AP42,"1")</f>
        <v>0</v>
      </c>
      <c r="AQ43" s="8">
        <f t="shared" ref="AQ43:AT43" si="43">COUNTIF(AQ27:AQ42,"1")</f>
        <v>0</v>
      </c>
      <c r="AR43" s="8">
        <f t="shared" si="43"/>
        <v>0</v>
      </c>
      <c r="AS43" s="8">
        <f t="shared" si="43"/>
        <v>0</v>
      </c>
      <c r="AT43" s="8">
        <f t="shared" si="43"/>
        <v>0</v>
      </c>
      <c r="AU43" s="1">
        <f t="shared" si="1"/>
        <v>200</v>
      </c>
    </row>
    <row r="44" spans="1:47">
      <c r="A44"/>
      <c r="B44"/>
      <c r="C44"/>
      <c r="D44"/>
      <c r="E44" s="99">
        <v>45910</v>
      </c>
      <c r="F44" s="99">
        <f>E44+7</f>
        <v>45917</v>
      </c>
      <c r="G44" s="99">
        <f t="shared" ref="G44" si="44">F44+7</f>
        <v>45924</v>
      </c>
      <c r="H44" s="99">
        <f t="shared" ref="H44" si="45">G44+7</f>
        <v>45931</v>
      </c>
      <c r="I44" s="99">
        <f t="shared" ref="I44" si="46">H44+7</f>
        <v>45938</v>
      </c>
      <c r="J44" s="99">
        <f t="shared" ref="J44" si="47">I44+7</f>
        <v>45945</v>
      </c>
      <c r="K44" s="99">
        <f t="shared" ref="K44" si="48">J44+7</f>
        <v>45952</v>
      </c>
      <c r="L44" s="99">
        <f t="shared" ref="L44" si="49">K44+7</f>
        <v>45959</v>
      </c>
      <c r="M44" s="99">
        <f t="shared" ref="M44" si="50">L44+7</f>
        <v>45966</v>
      </c>
      <c r="N44" s="99">
        <f t="shared" ref="N44" si="51">M44+7</f>
        <v>45973</v>
      </c>
      <c r="O44" s="99">
        <f t="shared" ref="O44" si="52">N44+7</f>
        <v>45980</v>
      </c>
      <c r="P44" s="99">
        <f t="shared" ref="P44" si="53">O44+7</f>
        <v>45987</v>
      </c>
      <c r="Q44" s="99">
        <f t="shared" ref="Q44" si="54">P44+7</f>
        <v>45994</v>
      </c>
      <c r="R44" s="99">
        <f t="shared" ref="R44" si="55">Q44+7</f>
        <v>46001</v>
      </c>
      <c r="S44" s="99">
        <f t="shared" ref="S44" si="56">R44+7</f>
        <v>46008</v>
      </c>
      <c r="T44" s="99">
        <f t="shared" ref="T44" si="57">S44+7</f>
        <v>46015</v>
      </c>
      <c r="U44" s="99">
        <f t="shared" ref="U44" si="58">T44+7</f>
        <v>46022</v>
      </c>
      <c r="V44" s="99">
        <f t="shared" ref="V44" si="59">U44+7</f>
        <v>46029</v>
      </c>
      <c r="W44" s="99">
        <f t="shared" ref="W44" si="60">V44+7</f>
        <v>46036</v>
      </c>
      <c r="X44" s="99">
        <f t="shared" ref="X44" si="61">W44+7</f>
        <v>46043</v>
      </c>
      <c r="Y44" s="99">
        <f t="shared" ref="Y44" si="62">X44+7</f>
        <v>46050</v>
      </c>
      <c r="Z44" s="99">
        <f t="shared" ref="Z44" si="63">Y44+7</f>
        <v>46057</v>
      </c>
      <c r="AA44" s="99">
        <f t="shared" ref="AA44" si="64">Z44+7</f>
        <v>46064</v>
      </c>
      <c r="AB44" s="99">
        <f t="shared" ref="AB44" si="65">AA44+7</f>
        <v>46071</v>
      </c>
      <c r="AC44" s="99">
        <f t="shared" ref="AC44" si="66">AB44+7</f>
        <v>46078</v>
      </c>
      <c r="AD44" s="99">
        <f t="shared" ref="AD44" si="67">AC44+7</f>
        <v>46085</v>
      </c>
      <c r="AE44" s="99">
        <f t="shared" ref="AE44" si="68">AD44+7</f>
        <v>46092</v>
      </c>
      <c r="AF44" s="99">
        <f t="shared" ref="AF44" si="69">AE44+7</f>
        <v>46099</v>
      </c>
      <c r="AG44" s="99">
        <f t="shared" ref="AG44" si="70">AF44+7</f>
        <v>46106</v>
      </c>
      <c r="AH44" s="99">
        <f t="shared" ref="AH44" si="71">AG44+7</f>
        <v>46113</v>
      </c>
      <c r="AI44" s="99">
        <f t="shared" ref="AI44" si="72">AH44+7</f>
        <v>46120</v>
      </c>
      <c r="AJ44" s="99">
        <f t="shared" ref="AJ44" si="73">AI44+7</f>
        <v>46127</v>
      </c>
      <c r="AK44" s="99">
        <f t="shared" ref="AK44" si="74">AJ44+7</f>
        <v>46134</v>
      </c>
      <c r="AL44" s="99">
        <f t="shared" ref="AL44" si="75">AK44+7</f>
        <v>46141</v>
      </c>
      <c r="AM44" s="99">
        <f t="shared" ref="AM44" si="76">AL44+7</f>
        <v>46148</v>
      </c>
      <c r="AN44" s="99">
        <f t="shared" ref="AN44" si="77">AM44+7</f>
        <v>46155</v>
      </c>
      <c r="AO44" s="99">
        <f t="shared" ref="AO44" si="78">AN44+7</f>
        <v>46162</v>
      </c>
      <c r="AP44" s="99">
        <f t="shared" ref="AP44" si="79">AO44+7</f>
        <v>46169</v>
      </c>
      <c r="AQ44" s="99">
        <f t="shared" ref="AQ44" si="80">AP44+7</f>
        <v>46176</v>
      </c>
      <c r="AR44" s="99">
        <f t="shared" ref="AR44" si="81">AQ44+7</f>
        <v>46183</v>
      </c>
      <c r="AS44" s="99">
        <f t="shared" ref="AS44" si="82">AR44+7</f>
        <v>46190</v>
      </c>
      <c r="AT44" s="99">
        <f t="shared" ref="AT44" si="83">AS44+7</f>
        <v>46197</v>
      </c>
      <c r="AU44" s="1"/>
    </row>
    <row r="45" spans="1:47">
      <c r="A45"/>
      <c r="B45"/>
      <c r="C45"/>
      <c r="D45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1"/>
    </row>
    <row r="46" spans="1:47">
      <c r="A46"/>
      <c r="B46"/>
      <c r="C46"/>
      <c r="D46"/>
      <c r="E46" s="6" t="s">
        <v>4</v>
      </c>
      <c r="F46" s="15" t="s">
        <v>5</v>
      </c>
      <c r="G46" s="6" t="s">
        <v>6</v>
      </c>
      <c r="H46" s="15" t="s">
        <v>7</v>
      </c>
      <c r="I46" s="6" t="s">
        <v>8</v>
      </c>
      <c r="J46" s="15" t="s">
        <v>9</v>
      </c>
      <c r="K46" s="27" t="s">
        <v>10</v>
      </c>
      <c r="L46" s="27" t="s">
        <v>10</v>
      </c>
      <c r="M46" s="6" t="s">
        <v>11</v>
      </c>
      <c r="N46" s="15" t="s">
        <v>12</v>
      </c>
      <c r="O46" s="6" t="s">
        <v>13</v>
      </c>
      <c r="P46" s="15" t="s">
        <v>14</v>
      </c>
      <c r="Q46" s="6" t="s">
        <v>15</v>
      </c>
      <c r="R46" s="6" t="s">
        <v>16</v>
      </c>
      <c r="S46" s="6" t="s">
        <v>17</v>
      </c>
      <c r="T46" s="27" t="s">
        <v>10</v>
      </c>
      <c r="U46" s="27" t="s">
        <v>10</v>
      </c>
      <c r="V46" s="15" t="s">
        <v>18</v>
      </c>
      <c r="W46" s="6" t="s">
        <v>19</v>
      </c>
      <c r="X46" s="15" t="s">
        <v>20</v>
      </c>
      <c r="Y46" s="6" t="s">
        <v>21</v>
      </c>
      <c r="Z46" s="15" t="s">
        <v>22</v>
      </c>
      <c r="AA46" s="6" t="s">
        <v>23</v>
      </c>
      <c r="AB46" s="15" t="s">
        <v>24</v>
      </c>
      <c r="AC46" s="27" t="s">
        <v>10</v>
      </c>
      <c r="AD46" s="27" t="s">
        <v>10</v>
      </c>
      <c r="AE46" s="6" t="s">
        <v>25</v>
      </c>
      <c r="AF46" s="15" t="s">
        <v>26</v>
      </c>
      <c r="AG46" s="6" t="s">
        <v>27</v>
      </c>
      <c r="AH46" s="6" t="s">
        <v>28</v>
      </c>
      <c r="AI46" s="15" t="s">
        <v>29</v>
      </c>
      <c r="AJ46" s="6" t="s">
        <v>30</v>
      </c>
      <c r="AK46" s="27" t="s">
        <v>10</v>
      </c>
      <c r="AL46" s="27" t="s">
        <v>10</v>
      </c>
      <c r="AM46" s="15" t="s">
        <v>31</v>
      </c>
      <c r="AN46" s="14" t="s">
        <v>32</v>
      </c>
      <c r="AO46" s="15" t="s">
        <v>33</v>
      </c>
      <c r="AP46" s="14" t="s">
        <v>34</v>
      </c>
      <c r="AQ46" s="14" t="s">
        <v>35</v>
      </c>
      <c r="AR46" s="14" t="s">
        <v>36</v>
      </c>
      <c r="AS46" s="14" t="s">
        <v>37</v>
      </c>
      <c r="AT46" s="14" t="s">
        <v>38</v>
      </c>
      <c r="AU46" s="1">
        <f t="shared" si="1"/>
        <v>0</v>
      </c>
    </row>
    <row r="47" spans="1:47" ht="15" customHeight="1">
      <c r="A47" s="102" t="s">
        <v>157</v>
      </c>
      <c r="B47" s="23">
        <v>1</v>
      </c>
      <c r="C47" s="24" t="s">
        <v>158</v>
      </c>
      <c r="D47" s="9" t="s">
        <v>123</v>
      </c>
      <c r="E47" s="87">
        <v>0</v>
      </c>
      <c r="F47" s="87">
        <v>0</v>
      </c>
      <c r="G47" s="87">
        <v>0</v>
      </c>
      <c r="H47" s="87">
        <v>0</v>
      </c>
      <c r="I47" s="87">
        <v>0</v>
      </c>
      <c r="J47" s="50">
        <v>1</v>
      </c>
      <c r="K47" s="52"/>
      <c r="L47" s="52"/>
      <c r="M47" s="50">
        <v>1</v>
      </c>
      <c r="N47" s="50">
        <v>1</v>
      </c>
      <c r="O47" s="50">
        <v>1</v>
      </c>
      <c r="P47" s="50">
        <v>1</v>
      </c>
      <c r="Q47" s="50">
        <v>1</v>
      </c>
      <c r="R47" s="50">
        <v>1</v>
      </c>
      <c r="S47" s="50">
        <v>1</v>
      </c>
      <c r="T47" s="52"/>
      <c r="U47" s="52"/>
      <c r="V47" s="50">
        <v>1</v>
      </c>
      <c r="W47" s="47">
        <v>1</v>
      </c>
      <c r="X47" s="47">
        <v>1</v>
      </c>
      <c r="Y47" s="47">
        <v>1</v>
      </c>
      <c r="Z47" s="47">
        <v>1</v>
      </c>
      <c r="AA47" s="47">
        <v>1</v>
      </c>
      <c r="AB47" s="47">
        <v>1</v>
      </c>
      <c r="AC47" s="49"/>
      <c r="AD47" s="49"/>
      <c r="AE47" s="47">
        <v>1</v>
      </c>
      <c r="AF47" s="47">
        <v>1</v>
      </c>
      <c r="AG47" s="47"/>
      <c r="AH47" s="48"/>
      <c r="AI47" s="48"/>
      <c r="AJ47" s="48"/>
      <c r="AK47" s="49"/>
      <c r="AL47" s="49"/>
      <c r="AM47" s="48"/>
      <c r="AN47" s="48"/>
      <c r="AO47" s="48"/>
      <c r="AP47" s="48"/>
      <c r="AQ47" s="48"/>
      <c r="AR47" s="48"/>
      <c r="AS47" s="48"/>
      <c r="AT47" s="48"/>
      <c r="AU47" s="1">
        <f t="shared" si="1"/>
        <v>17</v>
      </c>
    </row>
    <row r="48" spans="1:47" ht="15" customHeight="1">
      <c r="A48" s="102"/>
      <c r="B48" s="23">
        <v>2</v>
      </c>
      <c r="C48" s="11" t="s">
        <v>159</v>
      </c>
      <c r="D48" s="11" t="s">
        <v>120</v>
      </c>
      <c r="E48" s="50">
        <v>1</v>
      </c>
      <c r="F48" s="50">
        <v>1</v>
      </c>
      <c r="G48" s="50">
        <v>1</v>
      </c>
      <c r="H48" s="50">
        <v>1</v>
      </c>
      <c r="I48" s="50">
        <v>1</v>
      </c>
      <c r="J48" s="50">
        <v>1</v>
      </c>
      <c r="K48" s="52"/>
      <c r="L48" s="52"/>
      <c r="M48" s="50">
        <v>1</v>
      </c>
      <c r="N48" s="50">
        <v>0</v>
      </c>
      <c r="O48" s="50">
        <v>1</v>
      </c>
      <c r="P48" s="50">
        <v>1</v>
      </c>
      <c r="Q48" s="50">
        <v>1</v>
      </c>
      <c r="R48" s="50">
        <v>1</v>
      </c>
      <c r="S48" s="50">
        <v>0</v>
      </c>
      <c r="T48" s="52"/>
      <c r="U48" s="52"/>
      <c r="V48" s="50">
        <v>1</v>
      </c>
      <c r="W48" s="50">
        <v>1</v>
      </c>
      <c r="X48" s="50">
        <v>1</v>
      </c>
      <c r="Y48" s="50">
        <v>0</v>
      </c>
      <c r="Z48" s="50">
        <v>1</v>
      </c>
      <c r="AA48" s="50">
        <v>1</v>
      </c>
      <c r="AB48" s="50">
        <v>1</v>
      </c>
      <c r="AC48" s="52"/>
      <c r="AD48" s="52"/>
      <c r="AE48" s="50">
        <v>1</v>
      </c>
      <c r="AF48" s="50">
        <v>1</v>
      </c>
      <c r="AG48" s="50">
        <v>1</v>
      </c>
      <c r="AH48" s="51"/>
      <c r="AI48" s="51"/>
      <c r="AJ48" s="51"/>
      <c r="AK48" s="52"/>
      <c r="AL48" s="52"/>
      <c r="AM48" s="51"/>
      <c r="AN48" s="51"/>
      <c r="AO48" s="51"/>
      <c r="AP48" s="51"/>
      <c r="AQ48" s="51"/>
      <c r="AR48" s="51"/>
      <c r="AS48" s="51"/>
      <c r="AT48" s="51"/>
      <c r="AU48" s="1">
        <f t="shared" si="1"/>
        <v>16</v>
      </c>
    </row>
    <row r="49" spans="1:47" ht="15" customHeight="1">
      <c r="A49" s="102"/>
      <c r="B49" s="23">
        <v>3</v>
      </c>
      <c r="C49" s="11" t="s">
        <v>160</v>
      </c>
      <c r="D49" s="11" t="s">
        <v>120</v>
      </c>
      <c r="E49" s="50">
        <v>1</v>
      </c>
      <c r="F49" s="50">
        <v>1</v>
      </c>
      <c r="G49" s="50">
        <v>1</v>
      </c>
      <c r="H49" s="50">
        <v>1</v>
      </c>
      <c r="I49" s="50">
        <v>1</v>
      </c>
      <c r="J49" s="50">
        <v>1</v>
      </c>
      <c r="K49" s="52"/>
      <c r="L49" s="52"/>
      <c r="M49" s="50">
        <v>1</v>
      </c>
      <c r="N49" s="50">
        <v>1</v>
      </c>
      <c r="O49" s="50">
        <v>1</v>
      </c>
      <c r="P49" s="50">
        <v>1</v>
      </c>
      <c r="Q49" s="50">
        <v>1</v>
      </c>
      <c r="R49" s="50">
        <v>1</v>
      </c>
      <c r="S49" s="50">
        <v>1</v>
      </c>
      <c r="T49" s="52"/>
      <c r="U49" s="52"/>
      <c r="V49" s="50">
        <v>1</v>
      </c>
      <c r="W49" s="50">
        <v>1</v>
      </c>
      <c r="X49" s="50">
        <v>1</v>
      </c>
      <c r="Y49" s="50">
        <v>1</v>
      </c>
      <c r="Z49" s="50">
        <v>1</v>
      </c>
      <c r="AA49" s="50">
        <v>1</v>
      </c>
      <c r="AB49" s="50">
        <v>1</v>
      </c>
      <c r="AC49" s="52"/>
      <c r="AD49" s="52"/>
      <c r="AE49" s="50">
        <v>1</v>
      </c>
      <c r="AF49" s="50">
        <v>1</v>
      </c>
      <c r="AG49" s="50">
        <v>1</v>
      </c>
      <c r="AH49" s="51"/>
      <c r="AI49" s="51"/>
      <c r="AJ49" s="51"/>
      <c r="AK49" s="52"/>
      <c r="AL49" s="52"/>
      <c r="AM49" s="51"/>
      <c r="AN49" s="51"/>
      <c r="AO49" s="51"/>
      <c r="AP49" s="51"/>
      <c r="AQ49" s="51"/>
      <c r="AR49" s="51"/>
      <c r="AS49" s="51"/>
      <c r="AT49" s="51"/>
      <c r="AU49" s="1">
        <f t="shared" si="1"/>
        <v>19</v>
      </c>
    </row>
    <row r="50" spans="1:47" ht="15" customHeight="1">
      <c r="A50" s="102"/>
      <c r="B50" s="23">
        <v>4</v>
      </c>
      <c r="C50" s="11" t="s">
        <v>161</v>
      </c>
      <c r="D50" s="11" t="s">
        <v>120</v>
      </c>
      <c r="E50" s="50">
        <v>1</v>
      </c>
      <c r="F50" s="50">
        <v>1</v>
      </c>
      <c r="G50" s="50">
        <v>1</v>
      </c>
      <c r="H50" s="50">
        <v>1</v>
      </c>
      <c r="I50" s="50">
        <v>1</v>
      </c>
      <c r="J50" s="50">
        <v>1</v>
      </c>
      <c r="K50" s="52"/>
      <c r="L50" s="52"/>
      <c r="M50" s="50">
        <v>1</v>
      </c>
      <c r="N50" s="50">
        <v>1</v>
      </c>
      <c r="O50" s="50">
        <v>1</v>
      </c>
      <c r="P50" s="50">
        <v>1</v>
      </c>
      <c r="Q50" s="50">
        <v>1</v>
      </c>
      <c r="R50" s="50">
        <v>1</v>
      </c>
      <c r="S50" s="50">
        <v>1</v>
      </c>
      <c r="T50" s="52"/>
      <c r="U50" s="52"/>
      <c r="V50" s="50">
        <v>1</v>
      </c>
      <c r="W50" s="50" t="s">
        <v>162</v>
      </c>
      <c r="X50" s="50">
        <v>1</v>
      </c>
      <c r="Y50" s="50">
        <v>1</v>
      </c>
      <c r="Z50" s="50">
        <v>1</v>
      </c>
      <c r="AA50" s="50">
        <v>1</v>
      </c>
      <c r="AB50" s="50">
        <v>1</v>
      </c>
      <c r="AC50" s="52"/>
      <c r="AD50" s="52"/>
      <c r="AE50" s="50">
        <v>1</v>
      </c>
      <c r="AF50" s="50">
        <v>1</v>
      </c>
      <c r="AG50" s="50">
        <v>1</v>
      </c>
      <c r="AH50" s="51"/>
      <c r="AI50" s="51"/>
      <c r="AJ50" s="51"/>
      <c r="AK50" s="52"/>
      <c r="AL50" s="52"/>
      <c r="AM50" s="51"/>
      <c r="AN50" s="51"/>
      <c r="AO50" s="51"/>
      <c r="AP50" s="51"/>
      <c r="AQ50" s="51"/>
      <c r="AR50" s="51"/>
      <c r="AS50" s="51"/>
      <c r="AT50" s="51"/>
      <c r="AU50" s="1">
        <f t="shared" si="1"/>
        <v>18</v>
      </c>
    </row>
    <row r="51" spans="1:47" ht="15" customHeight="1">
      <c r="A51" s="102"/>
      <c r="B51" s="23">
        <v>5</v>
      </c>
      <c r="C51" s="11" t="s">
        <v>163</v>
      </c>
      <c r="D51" s="11" t="s">
        <v>120</v>
      </c>
      <c r="E51" s="50">
        <v>1</v>
      </c>
      <c r="F51" s="50">
        <v>1</v>
      </c>
      <c r="G51" s="50">
        <v>1</v>
      </c>
      <c r="H51" s="50">
        <v>1</v>
      </c>
      <c r="I51" s="50">
        <v>1</v>
      </c>
      <c r="J51" s="50">
        <v>1</v>
      </c>
      <c r="K51" s="52"/>
      <c r="L51" s="52"/>
      <c r="M51" s="50">
        <v>0</v>
      </c>
      <c r="N51" s="50">
        <v>1</v>
      </c>
      <c r="O51" s="50">
        <v>1</v>
      </c>
      <c r="P51" s="50">
        <v>1</v>
      </c>
      <c r="Q51" s="50">
        <v>1</v>
      </c>
      <c r="R51" s="50">
        <v>1</v>
      </c>
      <c r="S51" s="50">
        <v>1</v>
      </c>
      <c r="T51" s="52"/>
      <c r="U51" s="52"/>
      <c r="V51" s="50">
        <v>1</v>
      </c>
      <c r="W51" s="50">
        <v>1</v>
      </c>
      <c r="X51" s="50">
        <v>1</v>
      </c>
      <c r="Y51" s="50">
        <v>1</v>
      </c>
      <c r="Z51" s="50">
        <v>1</v>
      </c>
      <c r="AA51" s="50">
        <v>1</v>
      </c>
      <c r="AB51" s="50">
        <v>1</v>
      </c>
      <c r="AC51" s="52"/>
      <c r="AD51" s="52"/>
      <c r="AE51" s="50">
        <v>1</v>
      </c>
      <c r="AF51" s="50">
        <v>1</v>
      </c>
      <c r="AG51" s="50">
        <v>1</v>
      </c>
      <c r="AH51" s="51"/>
      <c r="AI51" s="51"/>
      <c r="AJ51" s="51"/>
      <c r="AK51" s="52"/>
      <c r="AL51" s="52"/>
      <c r="AM51" s="51"/>
      <c r="AN51" s="51"/>
      <c r="AO51" s="51"/>
      <c r="AP51" s="51"/>
      <c r="AQ51" s="51"/>
      <c r="AR51" s="51"/>
      <c r="AS51" s="51"/>
      <c r="AT51" s="51"/>
      <c r="AU51" s="1">
        <f t="shared" si="1"/>
        <v>18</v>
      </c>
    </row>
    <row r="52" spans="1:47" ht="15" customHeight="1">
      <c r="A52" s="102"/>
      <c r="B52" s="23">
        <v>6</v>
      </c>
      <c r="C52" s="11" t="s">
        <v>164</v>
      </c>
      <c r="D52" s="11" t="s">
        <v>120</v>
      </c>
      <c r="E52" s="50">
        <v>1</v>
      </c>
      <c r="F52" s="50">
        <v>1</v>
      </c>
      <c r="G52" s="50">
        <v>1</v>
      </c>
      <c r="H52" s="50">
        <v>1</v>
      </c>
      <c r="I52" s="50">
        <v>1</v>
      </c>
      <c r="J52" s="50">
        <v>1</v>
      </c>
      <c r="K52" s="52"/>
      <c r="L52" s="52"/>
      <c r="M52" s="50">
        <v>1</v>
      </c>
      <c r="N52" s="50">
        <v>1</v>
      </c>
      <c r="O52" s="50">
        <v>1</v>
      </c>
      <c r="P52" s="50">
        <v>1</v>
      </c>
      <c r="Q52" s="50">
        <v>1</v>
      </c>
      <c r="R52" s="50">
        <v>1</v>
      </c>
      <c r="S52" s="50">
        <v>1</v>
      </c>
      <c r="T52" s="52"/>
      <c r="U52" s="52"/>
      <c r="V52" s="50">
        <v>1</v>
      </c>
      <c r="W52" s="50">
        <v>1</v>
      </c>
      <c r="X52" s="50">
        <v>1</v>
      </c>
      <c r="Y52" s="50">
        <v>1</v>
      </c>
      <c r="Z52" s="50">
        <v>1</v>
      </c>
      <c r="AA52" s="50">
        <v>1</v>
      </c>
      <c r="AB52" s="50">
        <v>1</v>
      </c>
      <c r="AC52" s="52"/>
      <c r="AD52" s="52"/>
      <c r="AE52" s="50">
        <v>1</v>
      </c>
      <c r="AF52" s="50">
        <v>1</v>
      </c>
      <c r="AG52" s="50">
        <v>1</v>
      </c>
      <c r="AH52" s="51"/>
      <c r="AI52" s="51"/>
      <c r="AJ52" s="51"/>
      <c r="AK52" s="52"/>
      <c r="AL52" s="52"/>
      <c r="AM52" s="51"/>
      <c r="AN52" s="51"/>
      <c r="AO52" s="51"/>
      <c r="AP52" s="51"/>
      <c r="AQ52" s="51"/>
      <c r="AR52" s="51"/>
      <c r="AS52" s="51"/>
      <c r="AT52" s="51"/>
      <c r="AU52" s="1">
        <f t="shared" si="1"/>
        <v>19</v>
      </c>
    </row>
    <row r="53" spans="1:47" ht="15" customHeight="1">
      <c r="A53" s="102"/>
      <c r="B53" s="23">
        <v>7</v>
      </c>
      <c r="C53" s="11" t="s">
        <v>165</v>
      </c>
      <c r="D53" s="11" t="s">
        <v>120</v>
      </c>
      <c r="E53" s="87">
        <v>0</v>
      </c>
      <c r="F53" s="50">
        <v>1</v>
      </c>
      <c r="G53" s="50">
        <v>1</v>
      </c>
      <c r="H53" s="47">
        <v>1</v>
      </c>
      <c r="I53" s="47">
        <v>1</v>
      </c>
      <c r="J53" s="47">
        <v>1</v>
      </c>
      <c r="K53" s="49"/>
      <c r="L53" s="49"/>
      <c r="M53" s="47">
        <v>1</v>
      </c>
      <c r="N53" s="47">
        <v>1</v>
      </c>
      <c r="O53" s="47">
        <v>1</v>
      </c>
      <c r="P53" s="47">
        <v>1</v>
      </c>
      <c r="Q53" s="47">
        <v>1</v>
      </c>
      <c r="R53" s="47">
        <v>1</v>
      </c>
      <c r="S53" s="47">
        <v>1</v>
      </c>
      <c r="T53" s="49"/>
      <c r="U53" s="49"/>
      <c r="V53" s="47">
        <v>1</v>
      </c>
      <c r="W53" s="50">
        <v>1</v>
      </c>
      <c r="X53" s="50">
        <v>1</v>
      </c>
      <c r="Y53" s="50">
        <v>1</v>
      </c>
      <c r="Z53" s="50">
        <v>0</v>
      </c>
      <c r="AA53" s="50">
        <v>0</v>
      </c>
      <c r="AB53" s="50">
        <v>1</v>
      </c>
      <c r="AC53" s="52"/>
      <c r="AD53" s="52"/>
      <c r="AE53" s="50">
        <v>1</v>
      </c>
      <c r="AF53" s="50">
        <v>0</v>
      </c>
      <c r="AG53" s="50">
        <v>1</v>
      </c>
      <c r="AH53" s="51"/>
      <c r="AI53" s="51"/>
      <c r="AJ53" s="51"/>
      <c r="AK53" s="52"/>
      <c r="AL53" s="52"/>
      <c r="AM53" s="51"/>
      <c r="AN53" s="51"/>
      <c r="AO53" s="51"/>
      <c r="AP53" s="51"/>
      <c r="AQ53" s="51"/>
      <c r="AR53" s="51"/>
      <c r="AS53" s="51"/>
      <c r="AT53" s="51"/>
      <c r="AU53" s="1">
        <f t="shared" si="1"/>
        <v>16</v>
      </c>
    </row>
    <row r="54" spans="1:47" ht="15" customHeight="1">
      <c r="A54" s="102"/>
      <c r="B54" s="23">
        <v>8</v>
      </c>
      <c r="C54" s="11" t="s">
        <v>166</v>
      </c>
      <c r="D54" s="11" t="s">
        <v>123</v>
      </c>
      <c r="E54" s="47">
        <v>1</v>
      </c>
      <c r="F54" s="47">
        <v>1</v>
      </c>
      <c r="G54" s="47">
        <v>1</v>
      </c>
      <c r="H54" s="50">
        <v>1</v>
      </c>
      <c r="I54" s="50">
        <v>1</v>
      </c>
      <c r="J54" s="50">
        <v>1</v>
      </c>
      <c r="K54" s="52"/>
      <c r="L54" s="52"/>
      <c r="M54" s="50">
        <v>1</v>
      </c>
      <c r="N54" s="50">
        <v>1</v>
      </c>
      <c r="O54" s="50">
        <v>1</v>
      </c>
      <c r="P54" s="50">
        <v>1</v>
      </c>
      <c r="Q54" s="50">
        <v>1</v>
      </c>
      <c r="R54" s="50">
        <v>1</v>
      </c>
      <c r="S54" s="50">
        <v>1</v>
      </c>
      <c r="T54" s="52"/>
      <c r="U54" s="52"/>
      <c r="V54" s="50">
        <v>1</v>
      </c>
      <c r="W54" s="50">
        <v>1</v>
      </c>
      <c r="X54" s="50">
        <v>0</v>
      </c>
      <c r="Y54" s="50">
        <v>1</v>
      </c>
      <c r="Z54" s="50">
        <v>1</v>
      </c>
      <c r="AA54" s="50">
        <v>1</v>
      </c>
      <c r="AB54" s="50">
        <v>1</v>
      </c>
      <c r="AC54" s="52"/>
      <c r="AD54" s="52"/>
      <c r="AE54" s="50">
        <v>1</v>
      </c>
      <c r="AF54" s="50">
        <v>0</v>
      </c>
      <c r="AG54" s="50">
        <v>1</v>
      </c>
      <c r="AH54" s="51"/>
      <c r="AI54" s="51"/>
      <c r="AJ54" s="51"/>
      <c r="AK54" s="52"/>
      <c r="AL54" s="52"/>
      <c r="AM54" s="51"/>
      <c r="AN54" s="51"/>
      <c r="AO54" s="51"/>
      <c r="AP54" s="51"/>
      <c r="AQ54" s="51"/>
      <c r="AR54" s="51"/>
      <c r="AS54" s="51"/>
      <c r="AT54" s="51"/>
      <c r="AU54" s="1">
        <f t="shared" si="1"/>
        <v>17</v>
      </c>
    </row>
    <row r="55" spans="1:47" ht="15" customHeight="1">
      <c r="B55" s="23">
        <v>9</v>
      </c>
      <c r="C55" s="11" t="s">
        <v>167</v>
      </c>
      <c r="D55" s="11" t="s">
        <v>123</v>
      </c>
      <c r="E55" s="50">
        <v>1</v>
      </c>
      <c r="F55" s="50">
        <v>1</v>
      </c>
      <c r="G55" s="50">
        <v>1</v>
      </c>
      <c r="H55" s="50">
        <v>1</v>
      </c>
      <c r="I55" s="50">
        <v>1</v>
      </c>
      <c r="J55" s="50">
        <v>1</v>
      </c>
      <c r="K55" s="52"/>
      <c r="L55" s="52"/>
      <c r="M55" s="50">
        <v>1</v>
      </c>
      <c r="N55" s="50">
        <v>1</v>
      </c>
      <c r="O55" s="50">
        <v>1</v>
      </c>
      <c r="P55" s="50">
        <v>1</v>
      </c>
      <c r="Q55" s="50">
        <v>1</v>
      </c>
      <c r="R55" s="50">
        <v>1</v>
      </c>
      <c r="S55" s="50">
        <v>1</v>
      </c>
      <c r="T55" s="52"/>
      <c r="U55" s="52"/>
      <c r="V55" s="50">
        <v>1</v>
      </c>
      <c r="W55" s="47">
        <v>1</v>
      </c>
      <c r="X55" s="47">
        <v>1</v>
      </c>
      <c r="Y55" s="47">
        <v>1</v>
      </c>
      <c r="Z55" s="47">
        <v>1</v>
      </c>
      <c r="AA55" s="47">
        <v>1</v>
      </c>
      <c r="AB55" s="47">
        <v>1</v>
      </c>
      <c r="AC55" s="49"/>
      <c r="AD55" s="49"/>
      <c r="AE55" s="47">
        <v>1</v>
      </c>
      <c r="AF55" s="47">
        <v>1</v>
      </c>
      <c r="AG55" s="47">
        <v>1</v>
      </c>
      <c r="AH55" s="48"/>
      <c r="AI55" s="48"/>
      <c r="AJ55" s="48"/>
      <c r="AK55" s="49"/>
      <c r="AL55" s="49"/>
      <c r="AM55" s="48"/>
      <c r="AN55" s="48"/>
      <c r="AO55" s="48"/>
      <c r="AP55" s="48"/>
      <c r="AQ55" s="48"/>
      <c r="AR55" s="48"/>
      <c r="AS55" s="48"/>
      <c r="AT55" s="48"/>
      <c r="AU55" s="1">
        <f t="shared" si="1"/>
        <v>19</v>
      </c>
    </row>
    <row r="56" spans="1:47" ht="15" customHeight="1">
      <c r="B56" s="23">
        <v>10</v>
      </c>
      <c r="C56" s="11" t="s">
        <v>168</v>
      </c>
      <c r="D56" s="11" t="s">
        <v>123</v>
      </c>
      <c r="E56" s="87">
        <v>0</v>
      </c>
      <c r="F56" s="50">
        <v>1</v>
      </c>
      <c r="G56" s="50">
        <v>1</v>
      </c>
      <c r="H56" s="50">
        <v>1</v>
      </c>
      <c r="I56" s="50">
        <v>1</v>
      </c>
      <c r="J56" s="50">
        <v>1</v>
      </c>
      <c r="K56" s="52"/>
      <c r="L56" s="52"/>
      <c r="M56" s="50">
        <v>1</v>
      </c>
      <c r="N56" s="50">
        <v>1</v>
      </c>
      <c r="O56" s="50">
        <v>1</v>
      </c>
      <c r="P56" s="50">
        <v>1</v>
      </c>
      <c r="Q56" s="50">
        <v>1</v>
      </c>
      <c r="R56" s="50">
        <v>1</v>
      </c>
      <c r="S56" s="50">
        <v>1</v>
      </c>
      <c r="T56" s="52"/>
      <c r="U56" s="52"/>
      <c r="V56" s="50">
        <v>0</v>
      </c>
      <c r="W56" s="50">
        <v>1</v>
      </c>
      <c r="X56" s="50">
        <v>1</v>
      </c>
      <c r="Y56" s="50">
        <v>1</v>
      </c>
      <c r="Z56" s="50">
        <v>1</v>
      </c>
      <c r="AA56" s="50">
        <v>1</v>
      </c>
      <c r="AB56" s="50">
        <v>1</v>
      </c>
      <c r="AC56" s="52"/>
      <c r="AD56" s="52"/>
      <c r="AE56" s="50">
        <v>1</v>
      </c>
      <c r="AF56" s="50">
        <v>1</v>
      </c>
      <c r="AG56" s="50">
        <v>0</v>
      </c>
      <c r="AH56" s="51"/>
      <c r="AI56" s="51"/>
      <c r="AJ56" s="51"/>
      <c r="AK56" s="52"/>
      <c r="AL56" s="52"/>
      <c r="AM56" s="51"/>
      <c r="AN56" s="51"/>
      <c r="AO56" s="51"/>
      <c r="AP56" s="51"/>
      <c r="AQ56" s="51"/>
      <c r="AR56" s="51"/>
      <c r="AS56" s="51"/>
      <c r="AT56" s="51"/>
      <c r="AU56" s="1">
        <f t="shared" si="1"/>
        <v>17</v>
      </c>
    </row>
    <row r="57" spans="1:47" ht="15" customHeight="1">
      <c r="B57" s="23">
        <v>11</v>
      </c>
      <c r="C57" s="11" t="s">
        <v>169</v>
      </c>
      <c r="D57" s="11" t="s">
        <v>123</v>
      </c>
      <c r="E57" s="50">
        <v>1</v>
      </c>
      <c r="F57" s="50">
        <v>1</v>
      </c>
      <c r="G57" s="50">
        <v>1</v>
      </c>
      <c r="H57" s="50">
        <v>1</v>
      </c>
      <c r="I57" s="50">
        <v>1</v>
      </c>
      <c r="J57" s="50">
        <v>1</v>
      </c>
      <c r="K57" s="52"/>
      <c r="L57" s="52"/>
      <c r="M57" s="50">
        <v>1</v>
      </c>
      <c r="N57" s="50">
        <v>1</v>
      </c>
      <c r="O57" s="50">
        <v>1</v>
      </c>
      <c r="P57" s="50">
        <v>1</v>
      </c>
      <c r="Q57" s="50">
        <v>1</v>
      </c>
      <c r="R57" s="50">
        <v>1</v>
      </c>
      <c r="S57" s="50">
        <v>1</v>
      </c>
      <c r="T57" s="52"/>
      <c r="U57" s="52"/>
      <c r="V57" s="50">
        <v>1</v>
      </c>
      <c r="W57" s="50">
        <v>1</v>
      </c>
      <c r="X57" s="50">
        <v>1</v>
      </c>
      <c r="Y57" s="50">
        <v>1</v>
      </c>
      <c r="Z57" s="50">
        <v>1</v>
      </c>
      <c r="AA57" s="50">
        <v>0</v>
      </c>
      <c r="AB57" s="50">
        <v>1</v>
      </c>
      <c r="AC57" s="52"/>
      <c r="AD57" s="52"/>
      <c r="AE57" s="50">
        <v>1</v>
      </c>
      <c r="AF57" s="50">
        <v>1</v>
      </c>
      <c r="AG57" s="50">
        <v>1</v>
      </c>
      <c r="AH57" s="51"/>
      <c r="AI57" s="51"/>
      <c r="AJ57" s="51"/>
      <c r="AK57" s="52"/>
      <c r="AL57" s="52"/>
      <c r="AM57" s="51"/>
      <c r="AN57" s="51"/>
      <c r="AO57" s="51"/>
      <c r="AP57" s="51"/>
      <c r="AQ57" s="51"/>
      <c r="AR57" s="51"/>
      <c r="AS57" s="51"/>
      <c r="AT57" s="51"/>
      <c r="AU57" s="1">
        <f t="shared" si="1"/>
        <v>18</v>
      </c>
    </row>
    <row r="58" spans="1:47" ht="15" customHeight="1">
      <c r="B58" s="23">
        <v>12</v>
      </c>
      <c r="C58" s="11"/>
      <c r="D58" s="11"/>
      <c r="E58" s="50"/>
      <c r="F58" s="50"/>
      <c r="G58" s="50"/>
      <c r="H58" s="50"/>
      <c r="I58" s="50"/>
      <c r="J58" s="50"/>
      <c r="K58" s="52"/>
      <c r="L58" s="52"/>
      <c r="M58" s="50"/>
      <c r="N58" s="50"/>
      <c r="O58" s="50"/>
      <c r="P58" s="50"/>
      <c r="Q58" s="50"/>
      <c r="R58" s="50"/>
      <c r="S58" s="50"/>
      <c r="T58" s="52"/>
      <c r="U58" s="52"/>
      <c r="V58" s="50"/>
      <c r="W58" s="50"/>
      <c r="X58" s="50"/>
      <c r="Y58" s="50"/>
      <c r="Z58" s="50"/>
      <c r="AA58" s="50"/>
      <c r="AB58" s="50"/>
      <c r="AC58" s="52"/>
      <c r="AD58" s="52"/>
      <c r="AE58" s="50"/>
      <c r="AF58" s="50"/>
      <c r="AG58" s="50"/>
      <c r="AH58" s="51"/>
      <c r="AI58" s="51"/>
      <c r="AJ58" s="51"/>
      <c r="AK58" s="52"/>
      <c r="AL58" s="52"/>
      <c r="AM58" s="51"/>
      <c r="AN58" s="51"/>
      <c r="AO58" s="51"/>
      <c r="AP58" s="51"/>
      <c r="AQ58" s="51"/>
      <c r="AR58" s="51"/>
      <c r="AS58" s="51"/>
      <c r="AT58" s="51"/>
      <c r="AU58" s="1">
        <f t="shared" si="1"/>
        <v>0</v>
      </c>
    </row>
    <row r="59" spans="1:47" ht="15" customHeight="1">
      <c r="B59" s="23">
        <v>13</v>
      </c>
      <c r="C59" s="11"/>
      <c r="D59" s="11"/>
      <c r="E59" s="50"/>
      <c r="F59" s="50"/>
      <c r="G59" s="50"/>
      <c r="H59" s="50"/>
      <c r="I59" s="50"/>
      <c r="J59" s="50"/>
      <c r="K59" s="52"/>
      <c r="L59" s="52"/>
      <c r="M59" s="50"/>
      <c r="N59" s="50"/>
      <c r="O59" s="50"/>
      <c r="P59" s="50"/>
      <c r="Q59" s="50"/>
      <c r="R59" s="50"/>
      <c r="S59" s="50"/>
      <c r="T59" s="52"/>
      <c r="U59" s="52"/>
      <c r="V59" s="50"/>
      <c r="W59" s="50"/>
      <c r="X59" s="50"/>
      <c r="Y59" s="50"/>
      <c r="Z59" s="50"/>
      <c r="AA59" s="50"/>
      <c r="AB59" s="50"/>
      <c r="AC59" s="52"/>
      <c r="AD59" s="52"/>
      <c r="AE59" s="50"/>
      <c r="AF59" s="50"/>
      <c r="AG59" s="50"/>
      <c r="AH59" s="51"/>
      <c r="AI59" s="51"/>
      <c r="AJ59" s="51"/>
      <c r="AK59" s="52"/>
      <c r="AL59" s="52"/>
      <c r="AM59" s="51"/>
      <c r="AN59" s="51"/>
      <c r="AO59" s="51"/>
      <c r="AP59" s="51"/>
      <c r="AQ59" s="51"/>
      <c r="AR59" s="51"/>
      <c r="AS59" s="51"/>
      <c r="AT59" s="51"/>
      <c r="AU59" s="1">
        <f t="shared" si="1"/>
        <v>0</v>
      </c>
    </row>
    <row r="60" spans="1:47" ht="15" customHeight="1">
      <c r="B60" s="23">
        <v>14</v>
      </c>
      <c r="C60" s="11"/>
      <c r="D60" s="11"/>
      <c r="E60" s="50"/>
      <c r="F60" s="50"/>
      <c r="G60" s="50"/>
      <c r="H60" s="50"/>
      <c r="I60" s="50"/>
      <c r="J60" s="50"/>
      <c r="K60" s="52"/>
      <c r="L60" s="52"/>
      <c r="M60" s="50"/>
      <c r="N60" s="50"/>
      <c r="O60" s="50"/>
      <c r="P60" s="50"/>
      <c r="Q60" s="50"/>
      <c r="R60" s="50"/>
      <c r="S60" s="50"/>
      <c r="T60" s="52"/>
      <c r="U60" s="52"/>
      <c r="V60" s="50"/>
      <c r="W60" s="50"/>
      <c r="X60" s="50"/>
      <c r="Y60" s="50"/>
      <c r="Z60" s="50"/>
      <c r="AA60" s="50"/>
      <c r="AB60" s="50"/>
      <c r="AC60" s="52"/>
      <c r="AD60" s="52"/>
      <c r="AE60" s="50"/>
      <c r="AF60" s="50"/>
      <c r="AG60" s="50"/>
      <c r="AH60" s="51"/>
      <c r="AI60" s="51"/>
      <c r="AJ60" s="51"/>
      <c r="AK60" s="52"/>
      <c r="AL60" s="52"/>
      <c r="AM60" s="51"/>
      <c r="AN60" s="51"/>
      <c r="AO60" s="51"/>
      <c r="AP60" s="51"/>
      <c r="AQ60" s="51"/>
      <c r="AR60" s="51"/>
      <c r="AS60" s="51"/>
      <c r="AT60" s="51"/>
      <c r="AU60" s="1">
        <f t="shared" si="1"/>
        <v>0</v>
      </c>
    </row>
    <row r="61" spans="1:47" ht="15" customHeight="1">
      <c r="B61" s="23">
        <v>15</v>
      </c>
      <c r="C61" s="11"/>
      <c r="D61" s="11"/>
      <c r="E61" s="50"/>
      <c r="F61" s="50"/>
      <c r="G61" s="50"/>
      <c r="H61" s="50"/>
      <c r="I61" s="50"/>
      <c r="J61" s="50"/>
      <c r="K61" s="52"/>
      <c r="L61" s="52"/>
      <c r="M61" s="50"/>
      <c r="N61" s="50"/>
      <c r="O61" s="50"/>
      <c r="P61" s="50"/>
      <c r="Q61" s="50"/>
      <c r="R61" s="50"/>
      <c r="S61" s="50"/>
      <c r="T61" s="52"/>
      <c r="U61" s="52"/>
      <c r="V61" s="50"/>
      <c r="W61" s="50"/>
      <c r="X61" s="50"/>
      <c r="Y61" s="50"/>
      <c r="Z61" s="50"/>
      <c r="AA61" s="50"/>
      <c r="AB61" s="50"/>
      <c r="AC61" s="52"/>
      <c r="AD61" s="52"/>
      <c r="AE61" s="50"/>
      <c r="AF61" s="50"/>
      <c r="AG61" s="50"/>
      <c r="AH61" s="51"/>
      <c r="AI61" s="51"/>
      <c r="AJ61" s="51"/>
      <c r="AK61" s="52"/>
      <c r="AL61" s="52"/>
      <c r="AM61" s="51"/>
      <c r="AN61" s="51"/>
      <c r="AO61" s="51"/>
      <c r="AP61" s="51"/>
      <c r="AQ61" s="51"/>
      <c r="AR61" s="51"/>
      <c r="AS61" s="51"/>
      <c r="AT61" s="51"/>
      <c r="AU61" s="1">
        <f t="shared" si="1"/>
        <v>0</v>
      </c>
    </row>
    <row r="62" spans="1:47" ht="15" customHeight="1">
      <c r="B62" s="23">
        <v>16</v>
      </c>
      <c r="C62" s="11"/>
      <c r="D62" s="11"/>
      <c r="E62" s="47"/>
      <c r="F62" s="47"/>
      <c r="G62" s="47"/>
      <c r="H62" s="47"/>
      <c r="I62" s="47"/>
      <c r="J62" s="47"/>
      <c r="K62" s="49"/>
      <c r="L62" s="49"/>
      <c r="M62" s="47"/>
      <c r="N62" s="47"/>
      <c r="O62" s="47"/>
      <c r="P62" s="47"/>
      <c r="Q62" s="47"/>
      <c r="R62" s="47"/>
      <c r="S62" s="47"/>
      <c r="T62" s="49"/>
      <c r="U62" s="49"/>
      <c r="V62" s="47"/>
      <c r="W62" s="50"/>
      <c r="X62" s="50"/>
      <c r="Y62" s="50"/>
      <c r="Z62" s="50"/>
      <c r="AA62" s="50"/>
      <c r="AB62" s="50"/>
      <c r="AC62" s="52"/>
      <c r="AD62" s="52"/>
      <c r="AE62" s="50"/>
      <c r="AF62" s="50"/>
      <c r="AG62" s="50"/>
      <c r="AH62" s="51"/>
      <c r="AI62" s="51"/>
      <c r="AJ62" s="51"/>
      <c r="AK62" s="52"/>
      <c r="AL62" s="52"/>
      <c r="AM62" s="51"/>
      <c r="AN62" s="51"/>
      <c r="AO62" s="51"/>
      <c r="AP62" s="51"/>
      <c r="AQ62" s="51"/>
      <c r="AR62" s="51"/>
      <c r="AS62" s="51"/>
      <c r="AT62" s="51"/>
      <c r="AU62" s="1">
        <f t="shared" si="1"/>
        <v>0</v>
      </c>
    </row>
    <row r="63" spans="1:47" ht="15" customHeight="1">
      <c r="B63" s="68">
        <v>11</v>
      </c>
      <c r="C63" s="12" t="s">
        <v>70</v>
      </c>
      <c r="D63" s="7"/>
      <c r="E63" s="8">
        <f>COUNTIF(E47:E62,"1")</f>
        <v>8</v>
      </c>
      <c r="F63" s="8">
        <f>COUNTIF(F47:F62,"1")</f>
        <v>10</v>
      </c>
      <c r="G63" s="8">
        <f>COUNTIF(G47:G62,"1")</f>
        <v>10</v>
      </c>
      <c r="H63" s="8">
        <f>COUNTIF(H47:H62,"1")</f>
        <v>10</v>
      </c>
      <c r="I63" s="8">
        <f>COUNTIF(I47:I62,"1")</f>
        <v>10</v>
      </c>
      <c r="J63" s="8">
        <f>COUNTIF(J47:J62,"1")</f>
        <v>11</v>
      </c>
      <c r="K63" s="8">
        <f>COUNTIF(K47:K62,"1")</f>
        <v>0</v>
      </c>
      <c r="L63" s="8">
        <f>COUNTIF(L47:L62,"1")</f>
        <v>0</v>
      </c>
      <c r="M63" s="8">
        <f>COUNTIF(M47:M62,"1")</f>
        <v>10</v>
      </c>
      <c r="N63" s="8">
        <f>COUNTIF(N47:N62,"1")</f>
        <v>10</v>
      </c>
      <c r="O63" s="8">
        <f>COUNTIF(O47:O62,"1")</f>
        <v>11</v>
      </c>
      <c r="P63" s="8">
        <f>COUNTIF(P47:P62,"1")</f>
        <v>11</v>
      </c>
      <c r="Q63" s="8">
        <f>COUNTIF(Q47:Q62,"1")</f>
        <v>11</v>
      </c>
      <c r="R63" s="8">
        <f>COUNTIF(R47:R62,"1")</f>
        <v>11</v>
      </c>
      <c r="S63" s="8">
        <f>COUNTIF(S47:S62,"1")</f>
        <v>10</v>
      </c>
      <c r="T63" s="8">
        <f>COUNTIF(T47:T62,"1")</f>
        <v>0</v>
      </c>
      <c r="U63" s="8">
        <f>COUNTIF(U47:U62,"1")</f>
        <v>0</v>
      </c>
      <c r="V63" s="8">
        <f>COUNTIF(V47:V62,"1")</f>
        <v>10</v>
      </c>
      <c r="W63" s="8">
        <f>COUNTIF(W47:W62,"1")</f>
        <v>10</v>
      </c>
      <c r="X63" s="8">
        <f>COUNTIF(X47:X62,"1")</f>
        <v>10</v>
      </c>
      <c r="Y63" s="8">
        <f>COUNTIF(Y47:Y62,"1")</f>
        <v>10</v>
      </c>
      <c r="Z63" s="8">
        <f>COUNTIF(Z47:Z62,"1")</f>
        <v>10</v>
      </c>
      <c r="AA63" s="8">
        <f>COUNTIF(AA47:AA62,"1")</f>
        <v>9</v>
      </c>
      <c r="AB63" s="8">
        <f>COUNTIF(AB47:AB62,"1")</f>
        <v>11</v>
      </c>
      <c r="AC63" s="8">
        <f>COUNTIF(AC47:AC62,"1")</f>
        <v>0</v>
      </c>
      <c r="AD63" s="8">
        <f>COUNTIF(AD47:AD62,"1")</f>
        <v>0</v>
      </c>
      <c r="AE63" s="8">
        <f>COUNTIF(AE47:AE62,"1")</f>
        <v>11</v>
      </c>
      <c r="AF63" s="8">
        <f>COUNTIF(AF47:AF62,"1")</f>
        <v>9</v>
      </c>
      <c r="AG63" s="8">
        <f>COUNTIF(AG47:AG62,"1")</f>
        <v>9</v>
      </c>
      <c r="AH63" s="8">
        <f>COUNTIF(AH47:AH62,"1")</f>
        <v>0</v>
      </c>
      <c r="AI63" s="8">
        <f>COUNTIF(AI47:AI62,"1")</f>
        <v>0</v>
      </c>
      <c r="AJ63" s="8">
        <f>COUNTIF(AJ47:AJ62,"1")</f>
        <v>0</v>
      </c>
      <c r="AK63" s="8">
        <f>COUNTIF(AK47:AK62,"1")</f>
        <v>0</v>
      </c>
      <c r="AL63" s="8">
        <f>COUNTIF(AL47:AL62,"1")</f>
        <v>0</v>
      </c>
      <c r="AM63" s="8">
        <f>COUNTIF(AM47:AM62,"1")</f>
        <v>0</v>
      </c>
      <c r="AN63" s="8">
        <f>COUNTIF(AN47:AN62,"1")</f>
        <v>0</v>
      </c>
      <c r="AO63" s="8">
        <f>COUNTIF(AO47:AO62,"1")</f>
        <v>0</v>
      </c>
      <c r="AP63" s="8">
        <f>COUNTIF(AP47:AP62,"1")</f>
        <v>0</v>
      </c>
      <c r="AQ63" s="8">
        <f t="shared" ref="AQ63:AT63" si="84">COUNTIF(AQ47:AQ62,"1")</f>
        <v>0</v>
      </c>
      <c r="AR63" s="8">
        <f t="shared" si="84"/>
        <v>0</v>
      </c>
      <c r="AS63" s="8">
        <f t="shared" si="84"/>
        <v>0</v>
      </c>
      <c r="AT63" s="8">
        <f t="shared" si="84"/>
        <v>0</v>
      </c>
    </row>
    <row r="65" spans="3:3" ht="15" customHeight="1">
      <c r="C65" s="71">
        <f>SUM(B23+B43+B63)</f>
        <v>35</v>
      </c>
    </row>
  </sheetData>
  <sortState xmlns:xlrd2="http://schemas.microsoft.com/office/spreadsheetml/2017/richdata2" ref="C8:I21">
    <sortCondition ref="D8:D21"/>
  </sortState>
  <mergeCells count="131">
    <mergeCell ref="AR44:AR45"/>
    <mergeCell ref="AS44:AS45"/>
    <mergeCell ref="AT44:AT45"/>
    <mergeCell ref="AM44:AM45"/>
    <mergeCell ref="AN44:AN45"/>
    <mergeCell ref="AO44:AO45"/>
    <mergeCell ref="AP44:AP45"/>
    <mergeCell ref="AQ44:AQ45"/>
    <mergeCell ref="AH44:AH45"/>
    <mergeCell ref="AI44:AI45"/>
    <mergeCell ref="AJ44:AJ45"/>
    <mergeCell ref="AK44:AK45"/>
    <mergeCell ref="AL44:AL45"/>
    <mergeCell ref="AC44:AC45"/>
    <mergeCell ref="AD44:AD45"/>
    <mergeCell ref="AE44:AE45"/>
    <mergeCell ref="AF44:AF45"/>
    <mergeCell ref="AG44:AG45"/>
    <mergeCell ref="X44:X45"/>
    <mergeCell ref="Y44:Y45"/>
    <mergeCell ref="Z44:Z45"/>
    <mergeCell ref="AA44:AA45"/>
    <mergeCell ref="AB44:AB45"/>
    <mergeCell ref="S44:S45"/>
    <mergeCell ref="T44:T45"/>
    <mergeCell ref="U44:U45"/>
    <mergeCell ref="V44:V45"/>
    <mergeCell ref="W44:W45"/>
    <mergeCell ref="AS24:AS25"/>
    <mergeCell ref="AT24:AT2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AN24:AN25"/>
    <mergeCell ref="AO24:AO25"/>
    <mergeCell ref="AP24:AP25"/>
    <mergeCell ref="AQ24:AQ25"/>
    <mergeCell ref="AR24:AR25"/>
    <mergeCell ref="AI24:AI25"/>
    <mergeCell ref="AJ24:AJ25"/>
    <mergeCell ref="AK24:AK25"/>
    <mergeCell ref="AL24:AL25"/>
    <mergeCell ref="AM24:AM25"/>
    <mergeCell ref="AD24:AD25"/>
    <mergeCell ref="AE24:AE25"/>
    <mergeCell ref="AF24:AF25"/>
    <mergeCell ref="AG24:AG25"/>
    <mergeCell ref="AH24:AH25"/>
    <mergeCell ref="Y24:Y25"/>
    <mergeCell ref="Z24:Z25"/>
    <mergeCell ref="AA24:AA25"/>
    <mergeCell ref="AB24:AB25"/>
    <mergeCell ref="AC24:AC25"/>
    <mergeCell ref="T24:T25"/>
    <mergeCell ref="U24:U25"/>
    <mergeCell ref="V24:V25"/>
    <mergeCell ref="W24:W25"/>
    <mergeCell ref="X24:X25"/>
    <mergeCell ref="AT4:AT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L4:AL5"/>
    <mergeCell ref="AM4:AM5"/>
    <mergeCell ref="AQ4:AQ5"/>
    <mergeCell ref="AR4:AR5"/>
    <mergeCell ref="AS4:AS5"/>
    <mergeCell ref="AG4:AG5"/>
    <mergeCell ref="AH4:AH5"/>
    <mergeCell ref="AI4:AI5"/>
    <mergeCell ref="P4:P5"/>
    <mergeCell ref="Q4:Q5"/>
    <mergeCell ref="AJ4:AJ5"/>
    <mergeCell ref="AK4:AK5"/>
    <mergeCell ref="AB4:AB5"/>
    <mergeCell ref="AC4:AC5"/>
    <mergeCell ref="AD4:AD5"/>
    <mergeCell ref="AE4:AE5"/>
    <mergeCell ref="AF4:AF5"/>
    <mergeCell ref="W4:W5"/>
    <mergeCell ref="X4:X5"/>
    <mergeCell ref="Y4:Y5"/>
    <mergeCell ref="Z4:Z5"/>
    <mergeCell ref="AA4:AA5"/>
    <mergeCell ref="A6:A13"/>
    <mergeCell ref="A14:A22"/>
    <mergeCell ref="A47:A54"/>
    <mergeCell ref="A27:A34"/>
    <mergeCell ref="C1:AP3"/>
    <mergeCell ref="AN4:AN5"/>
    <mergeCell ref="AO4:AO5"/>
    <mergeCell ref="AP4:AP5"/>
    <mergeCell ref="E4:E5"/>
    <mergeCell ref="F4:F5"/>
    <mergeCell ref="G4:G5"/>
    <mergeCell ref="H4:H5"/>
    <mergeCell ref="I4:I5"/>
    <mergeCell ref="J4:J5"/>
    <mergeCell ref="K4:K5"/>
    <mergeCell ref="L4:L5"/>
    <mergeCell ref="R4:R5"/>
    <mergeCell ref="S4:S5"/>
    <mergeCell ref="T4:T5"/>
    <mergeCell ref="U4:U5"/>
    <mergeCell ref="V4:V5"/>
    <mergeCell ref="M4:M5"/>
    <mergeCell ref="N4:N5"/>
    <mergeCell ref="O4:O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83" orientation="landscape" r:id="rId1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74DA-8A4F-4D64-BFAA-28C893A169F8}">
  <sheetPr>
    <tabColor rgb="FFC00000"/>
    <pageSetUpPr fitToPage="1"/>
  </sheetPr>
  <dimension ref="A1:XFD65"/>
  <sheetViews>
    <sheetView topLeftCell="C1" zoomScale="68" workbookViewId="0">
      <selection activeCell="AG22" sqref="AG22"/>
    </sheetView>
  </sheetViews>
  <sheetFormatPr defaultColWidth="11.42578125" defaultRowHeight="15"/>
  <cols>
    <col min="1" max="1" width="6.5703125" style="2" customWidth="1"/>
    <col min="2" max="2" width="4" style="2" bestFit="1" customWidth="1"/>
    <col min="3" max="3" width="31.28515625" bestFit="1" customWidth="1"/>
    <col min="4" max="4" width="4.42578125" customWidth="1"/>
    <col min="5" max="23" width="7.140625" bestFit="1" customWidth="1"/>
    <col min="24" max="24" width="8.42578125" bestFit="1" customWidth="1"/>
    <col min="25" max="42" width="7.140625" bestFit="1" customWidth="1"/>
    <col min="43" max="43" width="7.140625" style="1" bestFit="1" customWidth="1"/>
    <col min="44" max="46" width="7.140625" bestFit="1" customWidth="1"/>
    <col min="47" max="47" width="5.85546875" customWidth="1"/>
  </cols>
  <sheetData>
    <row r="1" spans="1:16384" ht="14.45" customHeight="1">
      <c r="C1" s="101" t="s">
        <v>170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16384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16384" customFormat="1" ht="21" customHeight="1">
      <c r="A3" s="2"/>
      <c r="B3" s="2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"/>
    </row>
    <row r="4" spans="1:16384" customFormat="1" ht="21" customHeight="1">
      <c r="A4" s="2"/>
      <c r="B4" s="22"/>
      <c r="C4" s="13"/>
      <c r="D4" s="13"/>
      <c r="E4" s="99">
        <v>45910</v>
      </c>
      <c r="F4" s="99">
        <f>E4+7</f>
        <v>45917</v>
      </c>
      <c r="G4" s="99">
        <f t="shared" ref="G4:AT4" si="0">F4+7</f>
        <v>45924</v>
      </c>
      <c r="H4" s="99">
        <f t="shared" si="0"/>
        <v>45931</v>
      </c>
      <c r="I4" s="99">
        <f t="shared" si="0"/>
        <v>45938</v>
      </c>
      <c r="J4" s="99">
        <f t="shared" si="0"/>
        <v>45945</v>
      </c>
      <c r="K4" s="99">
        <f t="shared" si="0"/>
        <v>45952</v>
      </c>
      <c r="L4" s="99">
        <f t="shared" si="0"/>
        <v>45959</v>
      </c>
      <c r="M4" s="99">
        <f t="shared" si="0"/>
        <v>45966</v>
      </c>
      <c r="N4" s="99">
        <f t="shared" si="0"/>
        <v>45973</v>
      </c>
      <c r="O4" s="99">
        <f t="shared" si="0"/>
        <v>45980</v>
      </c>
      <c r="P4" s="99">
        <f t="shared" si="0"/>
        <v>45987</v>
      </c>
      <c r="Q4" s="99">
        <f t="shared" si="0"/>
        <v>45994</v>
      </c>
      <c r="R4" s="99">
        <f t="shared" si="0"/>
        <v>46001</v>
      </c>
      <c r="S4" s="99">
        <f t="shared" si="0"/>
        <v>46008</v>
      </c>
      <c r="T4" s="99">
        <f t="shared" si="0"/>
        <v>46015</v>
      </c>
      <c r="U4" s="99">
        <f t="shared" si="0"/>
        <v>46022</v>
      </c>
      <c r="V4" s="99">
        <f t="shared" si="0"/>
        <v>46029</v>
      </c>
      <c r="W4" s="99">
        <f t="shared" si="0"/>
        <v>46036</v>
      </c>
      <c r="X4" s="99">
        <f t="shared" si="0"/>
        <v>46043</v>
      </c>
      <c r="Y4" s="99">
        <f t="shared" si="0"/>
        <v>46050</v>
      </c>
      <c r="Z4" s="99">
        <f t="shared" si="0"/>
        <v>46057</v>
      </c>
      <c r="AA4" s="99">
        <f t="shared" si="0"/>
        <v>46064</v>
      </c>
      <c r="AB4" s="99">
        <f t="shared" si="0"/>
        <v>46071</v>
      </c>
      <c r="AC4" s="99">
        <f t="shared" si="0"/>
        <v>46078</v>
      </c>
      <c r="AD4" s="99">
        <f t="shared" si="0"/>
        <v>46085</v>
      </c>
      <c r="AE4" s="99">
        <f t="shared" si="0"/>
        <v>46092</v>
      </c>
      <c r="AF4" s="99">
        <f t="shared" si="0"/>
        <v>46099</v>
      </c>
      <c r="AG4" s="99">
        <f t="shared" si="0"/>
        <v>46106</v>
      </c>
      <c r="AH4" s="99">
        <f t="shared" si="0"/>
        <v>46113</v>
      </c>
      <c r="AI4" s="99">
        <f t="shared" si="0"/>
        <v>46120</v>
      </c>
      <c r="AJ4" s="99">
        <f t="shared" si="0"/>
        <v>46127</v>
      </c>
      <c r="AK4" s="99">
        <f t="shared" si="0"/>
        <v>46134</v>
      </c>
      <c r="AL4" s="99">
        <f t="shared" si="0"/>
        <v>46141</v>
      </c>
      <c r="AM4" s="99">
        <f t="shared" si="0"/>
        <v>46148</v>
      </c>
      <c r="AN4" s="99">
        <f t="shared" si="0"/>
        <v>46155</v>
      </c>
      <c r="AO4" s="99">
        <f t="shared" si="0"/>
        <v>46162</v>
      </c>
      <c r="AP4" s="99">
        <f t="shared" si="0"/>
        <v>46169</v>
      </c>
      <c r="AQ4" s="99">
        <f t="shared" si="0"/>
        <v>46176</v>
      </c>
      <c r="AR4" s="99">
        <f t="shared" si="0"/>
        <v>46183</v>
      </c>
      <c r="AS4" s="99">
        <f t="shared" si="0"/>
        <v>46190</v>
      </c>
      <c r="AT4" s="99">
        <f t="shared" si="0"/>
        <v>46197</v>
      </c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  <c r="FK4" s="106"/>
      <c r="FL4" s="106"/>
      <c r="FM4" s="106"/>
      <c r="FN4" s="106"/>
      <c r="FO4" s="106"/>
      <c r="FP4" s="106"/>
      <c r="FQ4" s="106"/>
      <c r="FR4" s="106"/>
      <c r="FS4" s="106"/>
      <c r="FT4" s="106"/>
      <c r="FU4" s="106"/>
      <c r="FV4" s="106"/>
      <c r="FW4" s="106"/>
      <c r="FX4" s="106"/>
      <c r="FY4" s="106"/>
      <c r="FZ4" s="106"/>
      <c r="GA4" s="106"/>
      <c r="GB4" s="106"/>
      <c r="GC4" s="106"/>
      <c r="GD4" s="106"/>
      <c r="GE4" s="106"/>
      <c r="GF4" s="106"/>
      <c r="GG4" s="106"/>
      <c r="GH4" s="106"/>
      <c r="GI4" s="106"/>
      <c r="GJ4" s="106"/>
      <c r="GK4" s="106"/>
      <c r="GL4" s="106"/>
      <c r="GM4" s="106"/>
      <c r="GN4" s="106"/>
      <c r="GO4" s="106"/>
      <c r="GP4" s="106"/>
      <c r="GQ4" s="106"/>
      <c r="GR4" s="106"/>
      <c r="GS4" s="106"/>
      <c r="GT4" s="106"/>
      <c r="GU4" s="106"/>
      <c r="GV4" s="106"/>
      <c r="GW4" s="106"/>
      <c r="GX4" s="106"/>
      <c r="GY4" s="106"/>
      <c r="GZ4" s="106"/>
      <c r="HA4" s="106"/>
      <c r="HB4" s="106"/>
      <c r="HC4" s="106"/>
      <c r="HD4" s="106"/>
      <c r="HE4" s="106"/>
      <c r="HF4" s="106"/>
      <c r="HG4" s="106"/>
      <c r="HH4" s="106"/>
      <c r="HI4" s="106"/>
      <c r="HJ4" s="106"/>
      <c r="HK4" s="106"/>
      <c r="HL4" s="106"/>
      <c r="HM4" s="106"/>
      <c r="HN4" s="106"/>
      <c r="HO4" s="106"/>
      <c r="HP4" s="106"/>
      <c r="HQ4" s="106"/>
      <c r="HR4" s="106"/>
      <c r="HS4" s="106"/>
      <c r="HT4" s="106"/>
      <c r="HU4" s="106"/>
      <c r="HV4" s="106"/>
      <c r="HW4" s="106"/>
      <c r="HX4" s="106"/>
      <c r="HY4" s="106"/>
      <c r="HZ4" s="106"/>
      <c r="IA4" s="106"/>
      <c r="IB4" s="106"/>
      <c r="IC4" s="106"/>
      <c r="ID4" s="106"/>
      <c r="IE4" s="106"/>
      <c r="IF4" s="106"/>
      <c r="IG4" s="106"/>
      <c r="IH4" s="106"/>
      <c r="II4" s="106"/>
      <c r="IJ4" s="106"/>
      <c r="IK4" s="106"/>
      <c r="IL4" s="106"/>
      <c r="IM4" s="106"/>
      <c r="IN4" s="106"/>
      <c r="IO4" s="106"/>
      <c r="IP4" s="106"/>
      <c r="IQ4" s="106"/>
      <c r="IR4" s="106"/>
      <c r="IS4" s="106"/>
      <c r="IT4" s="106"/>
      <c r="IU4" s="106"/>
      <c r="IV4" s="106"/>
      <c r="IW4" s="106"/>
      <c r="IX4" s="106"/>
      <c r="IY4" s="106"/>
      <c r="IZ4" s="106"/>
      <c r="JA4" s="106"/>
      <c r="JB4" s="106"/>
      <c r="JC4" s="106"/>
      <c r="JD4" s="106"/>
      <c r="JE4" s="106"/>
      <c r="JF4" s="106"/>
      <c r="JG4" s="106"/>
      <c r="JH4" s="106"/>
      <c r="JI4" s="106"/>
      <c r="JJ4" s="106"/>
      <c r="JK4" s="106"/>
      <c r="JL4" s="106"/>
      <c r="JM4" s="106"/>
      <c r="JN4" s="106"/>
      <c r="JO4" s="106"/>
      <c r="JP4" s="106"/>
      <c r="JQ4" s="106"/>
      <c r="JR4" s="106"/>
      <c r="JS4" s="106"/>
      <c r="JT4" s="106"/>
      <c r="JU4" s="106"/>
      <c r="JV4" s="106"/>
      <c r="JW4" s="106"/>
      <c r="JX4" s="106"/>
      <c r="JY4" s="106"/>
      <c r="JZ4" s="106"/>
      <c r="KA4" s="106"/>
      <c r="KB4" s="106"/>
      <c r="KC4" s="106"/>
      <c r="KD4" s="106"/>
      <c r="KE4" s="106"/>
      <c r="KF4" s="106"/>
      <c r="KG4" s="106"/>
      <c r="KH4" s="106"/>
      <c r="KI4" s="106"/>
      <c r="KJ4" s="106"/>
      <c r="KK4" s="106"/>
      <c r="KL4" s="106"/>
      <c r="KM4" s="106"/>
      <c r="KN4" s="106"/>
      <c r="KO4" s="106"/>
      <c r="KP4" s="106"/>
      <c r="KQ4" s="106"/>
      <c r="KR4" s="106"/>
      <c r="KS4" s="106"/>
      <c r="KT4" s="106"/>
      <c r="KU4" s="106"/>
      <c r="KV4" s="106"/>
      <c r="KW4" s="106"/>
      <c r="KX4" s="106"/>
      <c r="KY4" s="106"/>
      <c r="KZ4" s="106"/>
      <c r="LA4" s="106"/>
      <c r="LB4" s="106"/>
      <c r="LC4" s="106"/>
      <c r="LD4" s="106"/>
      <c r="LE4" s="106"/>
      <c r="LF4" s="106"/>
      <c r="LG4" s="106"/>
      <c r="LH4" s="106"/>
      <c r="LI4" s="106"/>
      <c r="LJ4" s="106"/>
      <c r="LK4" s="106"/>
      <c r="LL4" s="106"/>
      <c r="LM4" s="106"/>
      <c r="LN4" s="106"/>
      <c r="LO4" s="106"/>
      <c r="LP4" s="106"/>
      <c r="LQ4" s="106"/>
      <c r="LR4" s="106"/>
      <c r="LS4" s="106"/>
      <c r="LT4" s="106"/>
      <c r="LU4" s="106"/>
      <c r="LV4" s="106"/>
      <c r="LW4" s="106"/>
      <c r="LX4" s="106"/>
      <c r="LY4" s="106"/>
      <c r="LZ4" s="106"/>
      <c r="MA4" s="106"/>
      <c r="MB4" s="106"/>
      <c r="MC4" s="106"/>
      <c r="MD4" s="106"/>
      <c r="ME4" s="106"/>
      <c r="MF4" s="106"/>
      <c r="MG4" s="106"/>
      <c r="MH4" s="106"/>
      <c r="MI4" s="106"/>
      <c r="MJ4" s="106"/>
      <c r="MK4" s="106"/>
      <c r="ML4" s="106"/>
      <c r="MM4" s="106"/>
      <c r="MN4" s="106"/>
      <c r="MO4" s="106"/>
      <c r="MP4" s="106"/>
      <c r="MQ4" s="106"/>
      <c r="MR4" s="106"/>
      <c r="MS4" s="106"/>
      <c r="MT4" s="106"/>
      <c r="MU4" s="106"/>
      <c r="MV4" s="106"/>
      <c r="MW4" s="106"/>
      <c r="MX4" s="106"/>
      <c r="MY4" s="106"/>
      <c r="MZ4" s="106"/>
      <c r="NA4" s="106"/>
      <c r="NB4" s="106"/>
      <c r="NC4" s="106"/>
      <c r="ND4" s="106"/>
      <c r="NE4" s="106"/>
      <c r="NF4" s="106"/>
      <c r="NG4" s="106"/>
      <c r="NH4" s="106"/>
      <c r="NI4" s="106"/>
      <c r="NJ4" s="106"/>
      <c r="NK4" s="106"/>
      <c r="NL4" s="106"/>
      <c r="NM4" s="106"/>
      <c r="NN4" s="106"/>
      <c r="NO4" s="106"/>
      <c r="NP4" s="106"/>
      <c r="NQ4" s="106"/>
      <c r="NR4" s="106"/>
      <c r="NS4" s="106"/>
      <c r="NT4" s="106"/>
      <c r="NU4" s="106"/>
      <c r="NV4" s="106"/>
      <c r="NW4" s="106"/>
      <c r="NX4" s="106"/>
      <c r="NY4" s="106"/>
      <c r="NZ4" s="106"/>
      <c r="OA4" s="106"/>
      <c r="OB4" s="106"/>
      <c r="OC4" s="106"/>
      <c r="OD4" s="106"/>
      <c r="OE4" s="106"/>
      <c r="OF4" s="106"/>
      <c r="OG4" s="106"/>
      <c r="OH4" s="106"/>
      <c r="OI4" s="106"/>
      <c r="OJ4" s="106"/>
      <c r="OK4" s="106"/>
      <c r="OL4" s="106"/>
      <c r="OM4" s="106"/>
      <c r="ON4" s="106"/>
      <c r="OO4" s="106"/>
      <c r="OP4" s="106"/>
      <c r="OQ4" s="106"/>
      <c r="OR4" s="106"/>
      <c r="OS4" s="106"/>
      <c r="OT4" s="106"/>
      <c r="OU4" s="106"/>
      <c r="OV4" s="106"/>
      <c r="OW4" s="106"/>
      <c r="OX4" s="106"/>
      <c r="OY4" s="106"/>
      <c r="OZ4" s="106"/>
      <c r="PA4" s="106"/>
      <c r="PB4" s="106"/>
      <c r="PC4" s="106"/>
      <c r="PD4" s="106"/>
      <c r="PE4" s="106"/>
      <c r="PF4" s="106"/>
      <c r="PG4" s="106"/>
      <c r="PH4" s="106"/>
      <c r="PI4" s="106"/>
      <c r="PJ4" s="106"/>
      <c r="PK4" s="106"/>
      <c r="PL4" s="106"/>
      <c r="PM4" s="106"/>
      <c r="PN4" s="106"/>
      <c r="PO4" s="106"/>
      <c r="PP4" s="106"/>
      <c r="PQ4" s="106"/>
      <c r="PR4" s="106"/>
      <c r="PS4" s="106"/>
      <c r="PT4" s="106"/>
      <c r="PU4" s="106"/>
      <c r="PV4" s="106"/>
      <c r="PW4" s="106"/>
      <c r="PX4" s="106"/>
      <c r="PY4" s="106"/>
      <c r="PZ4" s="106"/>
      <c r="QA4" s="106"/>
      <c r="QB4" s="106"/>
      <c r="QC4" s="106"/>
      <c r="QD4" s="106"/>
      <c r="QE4" s="106"/>
      <c r="QF4" s="106"/>
      <c r="QG4" s="106"/>
      <c r="QH4" s="106"/>
      <c r="QI4" s="106"/>
      <c r="QJ4" s="106"/>
      <c r="QK4" s="106"/>
      <c r="QL4" s="106"/>
      <c r="QM4" s="106"/>
      <c r="QN4" s="106"/>
      <c r="QO4" s="106"/>
      <c r="QP4" s="106"/>
      <c r="QQ4" s="106"/>
      <c r="QR4" s="106"/>
      <c r="QS4" s="106"/>
      <c r="QT4" s="106"/>
      <c r="QU4" s="106"/>
      <c r="QV4" s="106"/>
      <c r="QW4" s="106"/>
      <c r="QX4" s="106"/>
      <c r="QY4" s="106"/>
      <c r="QZ4" s="106"/>
      <c r="RA4" s="106"/>
      <c r="RB4" s="106"/>
      <c r="RC4" s="106"/>
      <c r="RD4" s="106"/>
      <c r="RE4" s="106"/>
      <c r="RF4" s="106"/>
      <c r="RG4" s="106"/>
      <c r="RH4" s="106"/>
      <c r="RI4" s="106"/>
      <c r="RJ4" s="106"/>
      <c r="RK4" s="106"/>
      <c r="RL4" s="106"/>
      <c r="RM4" s="106"/>
      <c r="RN4" s="106"/>
      <c r="RO4" s="106"/>
      <c r="RP4" s="106"/>
      <c r="RQ4" s="106"/>
      <c r="RR4" s="106"/>
      <c r="RS4" s="106"/>
      <c r="RT4" s="106"/>
      <c r="RU4" s="106"/>
      <c r="RV4" s="106"/>
      <c r="RW4" s="106"/>
      <c r="RX4" s="106"/>
      <c r="RY4" s="106"/>
      <c r="RZ4" s="106"/>
      <c r="SA4" s="106"/>
      <c r="SB4" s="106"/>
      <c r="SC4" s="106"/>
      <c r="SD4" s="106"/>
      <c r="SE4" s="106"/>
      <c r="SF4" s="106"/>
      <c r="SG4" s="106"/>
      <c r="SH4" s="106"/>
      <c r="SI4" s="106"/>
      <c r="SJ4" s="106"/>
      <c r="SK4" s="106"/>
      <c r="SL4" s="106"/>
      <c r="SM4" s="106"/>
      <c r="SN4" s="106"/>
      <c r="SO4" s="106"/>
      <c r="SP4" s="106"/>
      <c r="SQ4" s="106"/>
      <c r="SR4" s="106"/>
      <c r="SS4" s="106"/>
      <c r="ST4" s="106"/>
      <c r="SU4" s="106"/>
      <c r="SV4" s="106"/>
      <c r="SW4" s="106"/>
      <c r="SX4" s="106"/>
      <c r="SY4" s="106"/>
      <c r="SZ4" s="106"/>
      <c r="TA4" s="106"/>
      <c r="TB4" s="106"/>
      <c r="TC4" s="106"/>
      <c r="TD4" s="106"/>
      <c r="TE4" s="106"/>
      <c r="TF4" s="106"/>
      <c r="TG4" s="106"/>
      <c r="TH4" s="106"/>
      <c r="TI4" s="106"/>
      <c r="TJ4" s="106"/>
      <c r="TK4" s="106"/>
      <c r="TL4" s="106"/>
      <c r="TM4" s="106"/>
      <c r="TN4" s="106"/>
      <c r="TO4" s="106"/>
      <c r="TP4" s="106"/>
      <c r="TQ4" s="106"/>
      <c r="TR4" s="106"/>
      <c r="TS4" s="106"/>
      <c r="TT4" s="106"/>
      <c r="TU4" s="106"/>
      <c r="TV4" s="106"/>
      <c r="TW4" s="106"/>
      <c r="TX4" s="106"/>
      <c r="TY4" s="106"/>
      <c r="TZ4" s="106"/>
      <c r="UA4" s="106"/>
      <c r="UB4" s="106"/>
      <c r="UC4" s="106"/>
      <c r="UD4" s="106"/>
      <c r="UE4" s="106"/>
      <c r="UF4" s="106"/>
      <c r="UG4" s="106"/>
      <c r="UH4" s="106"/>
      <c r="UI4" s="106"/>
      <c r="UJ4" s="106"/>
      <c r="UK4" s="106"/>
      <c r="UL4" s="106"/>
      <c r="UM4" s="106"/>
      <c r="UN4" s="106"/>
      <c r="UO4" s="106"/>
      <c r="UP4" s="106"/>
      <c r="UQ4" s="106"/>
      <c r="UR4" s="106"/>
      <c r="US4" s="106"/>
      <c r="UT4" s="106"/>
      <c r="UU4" s="106"/>
      <c r="UV4" s="106"/>
      <c r="UW4" s="106"/>
      <c r="UX4" s="106"/>
      <c r="UY4" s="106"/>
      <c r="UZ4" s="106"/>
      <c r="VA4" s="106"/>
      <c r="VB4" s="106"/>
      <c r="VC4" s="106"/>
      <c r="VD4" s="106"/>
      <c r="VE4" s="106"/>
      <c r="VF4" s="106"/>
      <c r="VG4" s="106"/>
      <c r="VH4" s="106"/>
      <c r="VI4" s="106"/>
      <c r="VJ4" s="106"/>
      <c r="VK4" s="106"/>
      <c r="VL4" s="106"/>
      <c r="VM4" s="106"/>
      <c r="VN4" s="106"/>
      <c r="VO4" s="106"/>
      <c r="VP4" s="106"/>
      <c r="VQ4" s="106"/>
      <c r="VR4" s="106"/>
      <c r="VS4" s="106"/>
      <c r="VT4" s="106"/>
      <c r="VU4" s="106"/>
      <c r="VV4" s="106"/>
      <c r="VW4" s="106"/>
      <c r="VX4" s="106"/>
      <c r="VY4" s="106"/>
      <c r="VZ4" s="106"/>
      <c r="WA4" s="106"/>
      <c r="WB4" s="106"/>
      <c r="WC4" s="106"/>
      <c r="WD4" s="106"/>
      <c r="WE4" s="106"/>
      <c r="WF4" s="106"/>
      <c r="WG4" s="106"/>
      <c r="WH4" s="106"/>
      <c r="WI4" s="106"/>
      <c r="WJ4" s="106"/>
      <c r="WK4" s="106"/>
      <c r="WL4" s="106"/>
      <c r="WM4" s="106"/>
      <c r="WN4" s="106"/>
      <c r="WO4" s="106"/>
      <c r="WP4" s="106"/>
      <c r="WQ4" s="106"/>
      <c r="WR4" s="106"/>
      <c r="WS4" s="106"/>
      <c r="WT4" s="106"/>
      <c r="WU4" s="106"/>
      <c r="WV4" s="106"/>
      <c r="WW4" s="106"/>
      <c r="WX4" s="106"/>
      <c r="WY4" s="106"/>
      <c r="WZ4" s="106"/>
      <c r="XA4" s="106"/>
      <c r="XB4" s="106"/>
      <c r="XC4" s="106"/>
      <c r="XD4" s="106"/>
      <c r="XE4" s="106"/>
      <c r="XF4" s="106"/>
      <c r="XG4" s="106"/>
      <c r="XH4" s="106"/>
      <c r="XI4" s="106"/>
      <c r="XJ4" s="106"/>
      <c r="XK4" s="106"/>
      <c r="XL4" s="106"/>
      <c r="XM4" s="106"/>
      <c r="XN4" s="106"/>
      <c r="XO4" s="106"/>
      <c r="XP4" s="106"/>
      <c r="XQ4" s="106"/>
      <c r="XR4" s="106"/>
      <c r="XS4" s="106"/>
      <c r="XT4" s="106"/>
      <c r="XU4" s="106"/>
      <c r="XV4" s="106"/>
      <c r="XW4" s="106"/>
      <c r="XX4" s="106"/>
      <c r="XY4" s="106"/>
      <c r="XZ4" s="106"/>
      <c r="YA4" s="106"/>
      <c r="YB4" s="106"/>
      <c r="YC4" s="106"/>
      <c r="YD4" s="106"/>
      <c r="YE4" s="106"/>
      <c r="YF4" s="106"/>
      <c r="YG4" s="106"/>
      <c r="YH4" s="106"/>
      <c r="YI4" s="106"/>
      <c r="YJ4" s="106"/>
      <c r="YK4" s="106"/>
      <c r="YL4" s="106"/>
      <c r="YM4" s="106"/>
      <c r="YN4" s="106"/>
      <c r="YO4" s="106"/>
      <c r="YP4" s="106"/>
      <c r="YQ4" s="106"/>
      <c r="YR4" s="106"/>
      <c r="YS4" s="106"/>
      <c r="YT4" s="106"/>
      <c r="YU4" s="106"/>
      <c r="YV4" s="106"/>
      <c r="YW4" s="106"/>
      <c r="YX4" s="106"/>
      <c r="YY4" s="106"/>
      <c r="YZ4" s="106"/>
      <c r="ZA4" s="106"/>
      <c r="ZB4" s="106"/>
      <c r="ZC4" s="106"/>
      <c r="ZD4" s="106"/>
      <c r="ZE4" s="106"/>
      <c r="ZF4" s="106"/>
      <c r="ZG4" s="106"/>
      <c r="ZH4" s="106"/>
      <c r="ZI4" s="106"/>
      <c r="ZJ4" s="106"/>
      <c r="ZK4" s="106"/>
      <c r="ZL4" s="106"/>
      <c r="ZM4" s="106"/>
      <c r="ZN4" s="106"/>
      <c r="ZO4" s="106"/>
      <c r="ZP4" s="106"/>
      <c r="ZQ4" s="106"/>
      <c r="ZR4" s="106"/>
      <c r="ZS4" s="106"/>
      <c r="ZT4" s="106"/>
      <c r="ZU4" s="106"/>
      <c r="ZV4" s="106"/>
      <c r="ZW4" s="106"/>
      <c r="ZX4" s="106"/>
      <c r="ZY4" s="106"/>
      <c r="ZZ4" s="106"/>
      <c r="AAA4" s="106"/>
      <c r="AAB4" s="106"/>
      <c r="AAC4" s="106"/>
      <c r="AAD4" s="106"/>
      <c r="AAE4" s="106"/>
      <c r="AAF4" s="106"/>
      <c r="AAG4" s="106"/>
      <c r="AAH4" s="106"/>
      <c r="AAI4" s="106"/>
      <c r="AAJ4" s="106"/>
      <c r="AAK4" s="106"/>
      <c r="AAL4" s="106"/>
      <c r="AAM4" s="106"/>
      <c r="AAN4" s="106"/>
      <c r="AAO4" s="106"/>
      <c r="AAP4" s="106"/>
      <c r="AAQ4" s="106"/>
      <c r="AAR4" s="106"/>
      <c r="AAS4" s="106"/>
      <c r="AAT4" s="106"/>
      <c r="AAU4" s="106"/>
      <c r="AAV4" s="106"/>
      <c r="AAW4" s="106"/>
      <c r="AAX4" s="106"/>
      <c r="AAY4" s="106"/>
      <c r="AAZ4" s="106"/>
      <c r="ABA4" s="106"/>
      <c r="ABB4" s="106"/>
      <c r="ABC4" s="106"/>
      <c r="ABD4" s="106"/>
      <c r="ABE4" s="106"/>
      <c r="ABF4" s="106"/>
      <c r="ABG4" s="106"/>
      <c r="ABH4" s="106"/>
      <c r="ABI4" s="106"/>
      <c r="ABJ4" s="106"/>
      <c r="ABK4" s="106"/>
      <c r="ABL4" s="106"/>
      <c r="ABM4" s="106"/>
      <c r="ABN4" s="106"/>
      <c r="ABO4" s="106"/>
      <c r="ABP4" s="106"/>
      <c r="ABQ4" s="106"/>
      <c r="ABR4" s="106"/>
      <c r="ABS4" s="106"/>
      <c r="ABT4" s="106"/>
      <c r="ABU4" s="106"/>
      <c r="ABV4" s="106"/>
      <c r="ABW4" s="106"/>
      <c r="ABX4" s="106"/>
      <c r="ABY4" s="106"/>
      <c r="ABZ4" s="106"/>
      <c r="ACA4" s="106"/>
      <c r="ACB4" s="106"/>
      <c r="ACC4" s="106"/>
      <c r="ACD4" s="106"/>
      <c r="ACE4" s="106"/>
      <c r="ACF4" s="106"/>
      <c r="ACG4" s="106"/>
      <c r="ACH4" s="106"/>
      <c r="ACI4" s="106"/>
      <c r="ACJ4" s="106"/>
      <c r="ACK4" s="106"/>
      <c r="ACL4" s="106"/>
      <c r="ACM4" s="106"/>
      <c r="ACN4" s="106"/>
      <c r="ACO4" s="106"/>
      <c r="ACP4" s="106"/>
      <c r="ACQ4" s="106"/>
      <c r="ACR4" s="106"/>
      <c r="ACS4" s="106"/>
      <c r="ACT4" s="106"/>
      <c r="ACU4" s="106"/>
      <c r="ACV4" s="106"/>
      <c r="ACW4" s="106"/>
      <c r="ACX4" s="106"/>
      <c r="ACY4" s="106"/>
      <c r="ACZ4" s="106"/>
      <c r="ADA4" s="106"/>
      <c r="ADB4" s="106"/>
      <c r="ADC4" s="106"/>
      <c r="ADD4" s="106"/>
      <c r="ADE4" s="106"/>
      <c r="ADF4" s="106"/>
      <c r="ADG4" s="106"/>
      <c r="ADH4" s="106"/>
      <c r="ADI4" s="106"/>
      <c r="ADJ4" s="106"/>
      <c r="ADK4" s="106"/>
      <c r="ADL4" s="106"/>
      <c r="ADM4" s="106"/>
      <c r="ADN4" s="106"/>
      <c r="ADO4" s="106"/>
      <c r="ADP4" s="106"/>
      <c r="ADQ4" s="106"/>
      <c r="ADR4" s="106"/>
      <c r="ADS4" s="106"/>
      <c r="ADT4" s="106"/>
      <c r="ADU4" s="106"/>
      <c r="ADV4" s="106"/>
      <c r="ADW4" s="106"/>
      <c r="ADX4" s="106"/>
      <c r="ADY4" s="106"/>
      <c r="ADZ4" s="106"/>
      <c r="AEA4" s="106"/>
      <c r="AEB4" s="106"/>
      <c r="AEC4" s="106"/>
      <c r="AED4" s="106"/>
      <c r="AEE4" s="106"/>
      <c r="AEF4" s="106"/>
      <c r="AEG4" s="106"/>
      <c r="AEH4" s="106"/>
      <c r="AEI4" s="106"/>
      <c r="AEJ4" s="106"/>
      <c r="AEK4" s="106"/>
      <c r="AEL4" s="106"/>
      <c r="AEM4" s="106"/>
      <c r="AEN4" s="106"/>
      <c r="AEO4" s="106"/>
      <c r="AEP4" s="106"/>
      <c r="AEQ4" s="106"/>
      <c r="AER4" s="106"/>
      <c r="AES4" s="106"/>
      <c r="AET4" s="106"/>
      <c r="AEU4" s="106"/>
      <c r="AEV4" s="106"/>
      <c r="AEW4" s="106"/>
      <c r="AEX4" s="106"/>
      <c r="AEY4" s="106"/>
      <c r="AEZ4" s="106"/>
      <c r="AFA4" s="106"/>
      <c r="AFB4" s="106"/>
      <c r="AFC4" s="106"/>
      <c r="AFD4" s="106"/>
      <c r="AFE4" s="106"/>
      <c r="AFF4" s="106"/>
      <c r="AFG4" s="106"/>
      <c r="AFH4" s="106"/>
      <c r="AFI4" s="106"/>
      <c r="AFJ4" s="106"/>
      <c r="AFK4" s="106"/>
      <c r="AFL4" s="106"/>
      <c r="AFM4" s="106"/>
      <c r="AFN4" s="106"/>
      <c r="AFO4" s="106"/>
      <c r="AFP4" s="106"/>
      <c r="AFQ4" s="106"/>
      <c r="AFR4" s="106"/>
      <c r="AFS4" s="106"/>
      <c r="AFT4" s="106"/>
      <c r="AFU4" s="106"/>
      <c r="AFV4" s="106"/>
      <c r="AFW4" s="106"/>
      <c r="AFX4" s="106"/>
      <c r="AFY4" s="106"/>
      <c r="AFZ4" s="106"/>
      <c r="AGA4" s="106"/>
      <c r="AGB4" s="106"/>
      <c r="AGC4" s="106"/>
      <c r="AGD4" s="106"/>
      <c r="AGE4" s="106"/>
      <c r="AGF4" s="106"/>
      <c r="AGG4" s="106"/>
      <c r="AGH4" s="106"/>
      <c r="AGI4" s="106"/>
      <c r="AGJ4" s="106"/>
      <c r="AGK4" s="106"/>
      <c r="AGL4" s="106"/>
      <c r="AGM4" s="106"/>
      <c r="AGN4" s="106"/>
      <c r="AGO4" s="106"/>
      <c r="AGP4" s="106"/>
      <c r="AGQ4" s="106"/>
      <c r="AGR4" s="106"/>
      <c r="AGS4" s="106"/>
      <c r="AGT4" s="106"/>
      <c r="AGU4" s="106"/>
      <c r="AGV4" s="106"/>
      <c r="AGW4" s="106"/>
      <c r="AGX4" s="106"/>
      <c r="AGY4" s="106"/>
      <c r="AGZ4" s="106"/>
      <c r="AHA4" s="106"/>
      <c r="AHB4" s="106"/>
      <c r="AHC4" s="106"/>
      <c r="AHD4" s="106"/>
      <c r="AHE4" s="106"/>
      <c r="AHF4" s="106"/>
      <c r="AHG4" s="106"/>
      <c r="AHH4" s="106"/>
      <c r="AHI4" s="106"/>
      <c r="AHJ4" s="106"/>
      <c r="AHK4" s="106"/>
      <c r="AHL4" s="106"/>
      <c r="AHM4" s="106"/>
      <c r="AHN4" s="106"/>
      <c r="AHO4" s="106"/>
      <c r="AHP4" s="106"/>
      <c r="AHQ4" s="106"/>
      <c r="AHR4" s="106"/>
      <c r="AHS4" s="106"/>
      <c r="AHT4" s="106"/>
      <c r="AHU4" s="106"/>
      <c r="AHV4" s="106"/>
      <c r="AHW4" s="106"/>
      <c r="AHX4" s="106"/>
      <c r="AHY4" s="106"/>
      <c r="AHZ4" s="106"/>
      <c r="AIA4" s="106"/>
      <c r="AIB4" s="106"/>
      <c r="AIC4" s="106"/>
      <c r="AID4" s="106"/>
      <c r="AIE4" s="106"/>
      <c r="AIF4" s="106"/>
      <c r="AIG4" s="106"/>
      <c r="AIH4" s="106"/>
      <c r="AII4" s="106"/>
      <c r="AIJ4" s="106"/>
      <c r="AIK4" s="106"/>
      <c r="AIL4" s="106"/>
      <c r="AIM4" s="106"/>
      <c r="AIN4" s="106"/>
      <c r="AIO4" s="106"/>
      <c r="AIP4" s="106"/>
      <c r="AIQ4" s="106"/>
      <c r="AIR4" s="106"/>
      <c r="AIS4" s="106"/>
      <c r="AIT4" s="106"/>
      <c r="AIU4" s="106"/>
      <c r="AIV4" s="106"/>
      <c r="AIW4" s="106"/>
      <c r="AIX4" s="106"/>
      <c r="AIY4" s="106"/>
      <c r="AIZ4" s="106"/>
      <c r="AJA4" s="106"/>
      <c r="AJB4" s="106"/>
      <c r="AJC4" s="106"/>
      <c r="AJD4" s="106"/>
      <c r="AJE4" s="106"/>
      <c r="AJF4" s="106"/>
      <c r="AJG4" s="106"/>
      <c r="AJH4" s="106"/>
      <c r="AJI4" s="106"/>
      <c r="AJJ4" s="106"/>
      <c r="AJK4" s="106"/>
      <c r="AJL4" s="106"/>
      <c r="AJM4" s="106"/>
      <c r="AJN4" s="106"/>
      <c r="AJO4" s="106"/>
      <c r="AJP4" s="106"/>
      <c r="AJQ4" s="106"/>
      <c r="AJR4" s="106"/>
      <c r="AJS4" s="106"/>
      <c r="AJT4" s="106"/>
      <c r="AJU4" s="106"/>
      <c r="AJV4" s="106"/>
      <c r="AJW4" s="106"/>
      <c r="AJX4" s="106"/>
      <c r="AJY4" s="106"/>
      <c r="AJZ4" s="106"/>
      <c r="AKA4" s="106"/>
      <c r="AKB4" s="106"/>
      <c r="AKC4" s="106"/>
      <c r="AKD4" s="106"/>
      <c r="AKE4" s="106"/>
      <c r="AKF4" s="106"/>
      <c r="AKG4" s="106"/>
      <c r="AKH4" s="106"/>
      <c r="AKI4" s="106"/>
      <c r="AKJ4" s="106"/>
      <c r="AKK4" s="106"/>
      <c r="AKL4" s="106"/>
      <c r="AKM4" s="106"/>
      <c r="AKN4" s="106"/>
      <c r="AKO4" s="106"/>
      <c r="AKP4" s="106"/>
      <c r="AKQ4" s="106"/>
      <c r="AKR4" s="106"/>
      <c r="AKS4" s="106"/>
      <c r="AKT4" s="106"/>
      <c r="AKU4" s="106"/>
      <c r="AKV4" s="106"/>
      <c r="AKW4" s="106"/>
      <c r="AKX4" s="106"/>
      <c r="AKY4" s="106"/>
      <c r="AKZ4" s="106"/>
      <c r="ALA4" s="106"/>
      <c r="ALB4" s="106"/>
      <c r="ALC4" s="106"/>
      <c r="ALD4" s="106"/>
      <c r="ALE4" s="106"/>
      <c r="ALF4" s="106"/>
      <c r="ALG4" s="106"/>
      <c r="ALH4" s="106"/>
      <c r="ALI4" s="106"/>
      <c r="ALJ4" s="106"/>
      <c r="ALK4" s="106"/>
      <c r="ALL4" s="106"/>
      <c r="ALM4" s="106"/>
      <c r="ALN4" s="106"/>
      <c r="ALO4" s="106"/>
      <c r="ALP4" s="106"/>
      <c r="ALQ4" s="106"/>
      <c r="ALR4" s="106"/>
      <c r="ALS4" s="106"/>
      <c r="ALT4" s="106"/>
      <c r="ALU4" s="106"/>
      <c r="ALV4" s="106"/>
      <c r="ALW4" s="106"/>
      <c r="ALX4" s="106"/>
      <c r="ALY4" s="106"/>
      <c r="ALZ4" s="106"/>
      <c r="AMA4" s="106"/>
      <c r="AMB4" s="106"/>
      <c r="AMC4" s="106"/>
      <c r="AMD4" s="106"/>
      <c r="AME4" s="106"/>
      <c r="AMF4" s="106"/>
      <c r="AMG4" s="106"/>
      <c r="AMH4" s="106"/>
      <c r="AMI4" s="106"/>
      <c r="AMJ4" s="106"/>
      <c r="AMK4" s="106"/>
      <c r="AML4" s="106"/>
      <c r="AMM4" s="106"/>
      <c r="AMN4" s="106"/>
      <c r="AMO4" s="106"/>
      <c r="AMP4" s="106"/>
      <c r="AMQ4" s="106"/>
      <c r="AMR4" s="106"/>
      <c r="AMS4" s="106"/>
      <c r="AMT4" s="106"/>
      <c r="AMU4" s="106"/>
      <c r="AMV4" s="106"/>
      <c r="AMW4" s="106"/>
      <c r="AMX4" s="106"/>
      <c r="AMY4" s="106"/>
      <c r="AMZ4" s="106"/>
      <c r="ANA4" s="106"/>
      <c r="ANB4" s="106"/>
      <c r="ANC4" s="106"/>
      <c r="AND4" s="106"/>
      <c r="ANE4" s="106"/>
      <c r="ANF4" s="106"/>
      <c r="ANG4" s="106"/>
      <c r="ANH4" s="106"/>
      <c r="ANI4" s="106"/>
      <c r="ANJ4" s="106"/>
      <c r="ANK4" s="106"/>
      <c r="ANL4" s="106"/>
      <c r="ANM4" s="106"/>
      <c r="ANN4" s="106"/>
      <c r="ANO4" s="106"/>
      <c r="ANP4" s="106"/>
      <c r="ANQ4" s="106"/>
      <c r="ANR4" s="106"/>
      <c r="ANS4" s="106"/>
      <c r="ANT4" s="106"/>
      <c r="ANU4" s="106"/>
      <c r="ANV4" s="106"/>
      <c r="ANW4" s="106"/>
      <c r="ANX4" s="106"/>
      <c r="ANY4" s="106"/>
      <c r="ANZ4" s="106"/>
      <c r="AOA4" s="106"/>
      <c r="AOB4" s="106"/>
      <c r="AOC4" s="106"/>
      <c r="AOD4" s="106"/>
      <c r="AOE4" s="106"/>
      <c r="AOF4" s="106"/>
      <c r="AOG4" s="106"/>
      <c r="AOH4" s="106"/>
      <c r="AOI4" s="106"/>
      <c r="AOJ4" s="106"/>
      <c r="AOK4" s="106"/>
      <c r="AOL4" s="106"/>
      <c r="AOM4" s="106"/>
      <c r="AON4" s="106"/>
      <c r="AOO4" s="106"/>
      <c r="AOP4" s="106"/>
      <c r="AOQ4" s="106"/>
      <c r="AOR4" s="106"/>
      <c r="AOS4" s="106"/>
      <c r="AOT4" s="106"/>
      <c r="AOU4" s="106"/>
      <c r="AOV4" s="106"/>
      <c r="AOW4" s="106"/>
      <c r="AOX4" s="106"/>
      <c r="AOY4" s="106"/>
      <c r="AOZ4" s="106"/>
      <c r="APA4" s="106"/>
      <c r="APB4" s="106"/>
      <c r="APC4" s="106"/>
      <c r="APD4" s="106"/>
      <c r="APE4" s="106"/>
      <c r="APF4" s="106"/>
      <c r="APG4" s="106"/>
      <c r="APH4" s="106"/>
      <c r="API4" s="106"/>
      <c r="APJ4" s="106"/>
      <c r="APK4" s="106"/>
      <c r="APL4" s="106"/>
      <c r="APM4" s="106"/>
      <c r="APN4" s="106"/>
      <c r="APO4" s="106"/>
      <c r="APP4" s="106"/>
      <c r="APQ4" s="106"/>
      <c r="APR4" s="106"/>
      <c r="APS4" s="106"/>
      <c r="APT4" s="106"/>
      <c r="APU4" s="106"/>
      <c r="APV4" s="106"/>
      <c r="APW4" s="106"/>
      <c r="APX4" s="106"/>
      <c r="APY4" s="106"/>
      <c r="APZ4" s="106"/>
      <c r="AQA4" s="106"/>
      <c r="AQB4" s="106"/>
      <c r="AQC4" s="106"/>
      <c r="AQD4" s="106"/>
      <c r="AQE4" s="106"/>
      <c r="AQF4" s="106"/>
      <c r="AQG4" s="106"/>
      <c r="AQH4" s="106"/>
      <c r="AQI4" s="106"/>
      <c r="AQJ4" s="106"/>
      <c r="AQK4" s="106"/>
      <c r="AQL4" s="106"/>
      <c r="AQM4" s="106"/>
      <c r="AQN4" s="106"/>
      <c r="AQO4" s="106"/>
      <c r="AQP4" s="106"/>
      <c r="AQQ4" s="106"/>
      <c r="AQR4" s="106"/>
      <c r="AQS4" s="106"/>
      <c r="AQT4" s="106"/>
      <c r="AQU4" s="106"/>
      <c r="AQV4" s="106"/>
      <c r="AQW4" s="106"/>
      <c r="AQX4" s="106"/>
      <c r="AQY4" s="106"/>
      <c r="AQZ4" s="106"/>
      <c r="ARA4" s="106"/>
      <c r="ARB4" s="106"/>
      <c r="ARC4" s="106"/>
      <c r="ARD4" s="106"/>
      <c r="ARE4" s="106"/>
      <c r="ARF4" s="106"/>
      <c r="ARG4" s="106"/>
      <c r="ARH4" s="106"/>
      <c r="ARI4" s="106"/>
      <c r="ARJ4" s="106"/>
      <c r="ARK4" s="106"/>
      <c r="ARL4" s="106"/>
      <c r="ARM4" s="106"/>
      <c r="ARN4" s="106"/>
      <c r="ARO4" s="106"/>
      <c r="ARP4" s="106"/>
      <c r="ARQ4" s="106"/>
      <c r="ARR4" s="106"/>
      <c r="ARS4" s="106"/>
      <c r="ART4" s="106"/>
      <c r="ARU4" s="106"/>
      <c r="ARV4" s="106"/>
      <c r="ARW4" s="106"/>
      <c r="ARX4" s="106"/>
      <c r="ARY4" s="106"/>
      <c r="ARZ4" s="106"/>
      <c r="ASA4" s="106"/>
      <c r="ASB4" s="106"/>
      <c r="ASC4" s="106"/>
      <c r="ASD4" s="106"/>
      <c r="ASE4" s="106"/>
      <c r="ASF4" s="106"/>
      <c r="ASG4" s="106"/>
      <c r="ASH4" s="106"/>
      <c r="ASI4" s="106"/>
      <c r="ASJ4" s="106"/>
      <c r="ASK4" s="106"/>
      <c r="ASL4" s="106"/>
      <c r="ASM4" s="106"/>
      <c r="ASN4" s="106"/>
      <c r="ASO4" s="106"/>
      <c r="ASP4" s="106"/>
      <c r="ASQ4" s="106"/>
      <c r="ASR4" s="106"/>
      <c r="ASS4" s="106"/>
      <c r="AST4" s="106"/>
      <c r="ASU4" s="106"/>
      <c r="ASV4" s="106"/>
      <c r="ASW4" s="106"/>
      <c r="ASX4" s="106"/>
      <c r="ASY4" s="106"/>
      <c r="ASZ4" s="106"/>
      <c r="ATA4" s="106"/>
      <c r="ATB4" s="106"/>
      <c r="ATC4" s="106"/>
      <c r="ATD4" s="106"/>
      <c r="ATE4" s="106"/>
      <c r="ATF4" s="106"/>
      <c r="ATG4" s="106"/>
      <c r="ATH4" s="106"/>
      <c r="ATI4" s="106"/>
      <c r="ATJ4" s="106"/>
      <c r="ATK4" s="106"/>
      <c r="ATL4" s="106"/>
      <c r="ATM4" s="106"/>
      <c r="ATN4" s="106"/>
      <c r="ATO4" s="106"/>
      <c r="ATP4" s="106"/>
      <c r="ATQ4" s="106"/>
      <c r="ATR4" s="106"/>
      <c r="ATS4" s="106"/>
      <c r="ATT4" s="106"/>
      <c r="ATU4" s="106"/>
      <c r="ATV4" s="106"/>
      <c r="ATW4" s="106"/>
      <c r="ATX4" s="106"/>
      <c r="ATY4" s="106"/>
      <c r="ATZ4" s="106"/>
      <c r="AUA4" s="106"/>
      <c r="AUB4" s="106"/>
      <c r="AUC4" s="106"/>
      <c r="AUD4" s="106"/>
      <c r="AUE4" s="106"/>
      <c r="AUF4" s="106"/>
      <c r="AUG4" s="106"/>
      <c r="AUH4" s="106"/>
      <c r="AUI4" s="106"/>
      <c r="AUJ4" s="106"/>
      <c r="AUK4" s="106"/>
      <c r="AUL4" s="106"/>
      <c r="AUM4" s="106"/>
      <c r="AUN4" s="106"/>
      <c r="AUO4" s="106"/>
      <c r="AUP4" s="106"/>
      <c r="AUQ4" s="106"/>
      <c r="AUR4" s="106"/>
      <c r="AUS4" s="106"/>
      <c r="AUT4" s="106"/>
      <c r="AUU4" s="106"/>
      <c r="AUV4" s="106"/>
      <c r="AUW4" s="106"/>
      <c r="AUX4" s="106"/>
      <c r="AUY4" s="106"/>
      <c r="AUZ4" s="106"/>
      <c r="AVA4" s="106"/>
      <c r="AVB4" s="106"/>
      <c r="AVC4" s="106"/>
      <c r="AVD4" s="106"/>
      <c r="AVE4" s="106"/>
      <c r="AVF4" s="106"/>
      <c r="AVG4" s="106"/>
      <c r="AVH4" s="106"/>
      <c r="AVI4" s="106"/>
      <c r="AVJ4" s="106"/>
      <c r="AVK4" s="106"/>
      <c r="AVL4" s="106"/>
      <c r="AVM4" s="106"/>
      <c r="AVN4" s="106"/>
      <c r="AVO4" s="106"/>
      <c r="AVP4" s="106"/>
      <c r="AVQ4" s="106"/>
      <c r="AVR4" s="106"/>
      <c r="AVS4" s="106"/>
      <c r="AVT4" s="106"/>
      <c r="AVU4" s="106"/>
      <c r="AVV4" s="106"/>
      <c r="AVW4" s="106"/>
      <c r="AVX4" s="106"/>
      <c r="AVY4" s="106"/>
      <c r="AVZ4" s="106"/>
      <c r="AWA4" s="106"/>
      <c r="AWB4" s="106"/>
      <c r="AWC4" s="106"/>
      <c r="AWD4" s="106"/>
      <c r="AWE4" s="106"/>
      <c r="AWF4" s="106"/>
      <c r="AWG4" s="106"/>
      <c r="AWH4" s="106"/>
      <c r="AWI4" s="106"/>
      <c r="AWJ4" s="106"/>
      <c r="AWK4" s="106"/>
      <c r="AWL4" s="106"/>
      <c r="AWM4" s="106"/>
      <c r="AWN4" s="106"/>
      <c r="AWO4" s="106"/>
      <c r="AWP4" s="106"/>
      <c r="AWQ4" s="106"/>
      <c r="AWR4" s="106"/>
      <c r="AWS4" s="106"/>
      <c r="AWT4" s="106"/>
      <c r="AWU4" s="106"/>
      <c r="AWV4" s="106"/>
      <c r="AWW4" s="106"/>
      <c r="AWX4" s="106"/>
      <c r="AWY4" s="106"/>
      <c r="AWZ4" s="106"/>
      <c r="AXA4" s="106"/>
      <c r="AXB4" s="106"/>
      <c r="AXC4" s="106"/>
      <c r="AXD4" s="106"/>
      <c r="AXE4" s="106"/>
      <c r="AXF4" s="106"/>
      <c r="AXG4" s="106"/>
      <c r="AXH4" s="106"/>
      <c r="AXI4" s="106"/>
      <c r="AXJ4" s="106"/>
      <c r="AXK4" s="106"/>
      <c r="AXL4" s="106"/>
      <c r="AXM4" s="106"/>
      <c r="AXN4" s="106"/>
      <c r="AXO4" s="106"/>
      <c r="AXP4" s="106"/>
      <c r="AXQ4" s="106"/>
      <c r="AXR4" s="106"/>
      <c r="AXS4" s="106"/>
      <c r="AXT4" s="106"/>
      <c r="AXU4" s="106"/>
      <c r="AXV4" s="106"/>
      <c r="AXW4" s="106"/>
      <c r="AXX4" s="106"/>
      <c r="AXY4" s="106"/>
      <c r="AXZ4" s="106"/>
      <c r="AYA4" s="106"/>
      <c r="AYB4" s="106"/>
      <c r="AYC4" s="106"/>
      <c r="AYD4" s="106"/>
      <c r="AYE4" s="106"/>
      <c r="AYF4" s="106"/>
      <c r="AYG4" s="106"/>
      <c r="AYH4" s="106"/>
      <c r="AYI4" s="106"/>
      <c r="AYJ4" s="106"/>
      <c r="AYK4" s="106"/>
      <c r="AYL4" s="106"/>
      <c r="AYM4" s="106"/>
      <c r="AYN4" s="106"/>
      <c r="AYO4" s="106"/>
      <c r="AYP4" s="106"/>
      <c r="AYQ4" s="106"/>
      <c r="AYR4" s="106"/>
      <c r="AYS4" s="106"/>
      <c r="AYT4" s="106"/>
      <c r="AYU4" s="106"/>
      <c r="AYV4" s="106"/>
      <c r="AYW4" s="106"/>
      <c r="AYX4" s="106"/>
      <c r="AYY4" s="106"/>
      <c r="AYZ4" s="106"/>
      <c r="AZA4" s="106"/>
      <c r="AZB4" s="106"/>
      <c r="AZC4" s="106"/>
      <c r="AZD4" s="106"/>
      <c r="AZE4" s="106"/>
      <c r="AZF4" s="106"/>
      <c r="AZG4" s="106"/>
      <c r="AZH4" s="106"/>
      <c r="AZI4" s="106"/>
      <c r="AZJ4" s="106"/>
      <c r="AZK4" s="106"/>
      <c r="AZL4" s="106"/>
      <c r="AZM4" s="106"/>
      <c r="AZN4" s="106"/>
      <c r="AZO4" s="106"/>
      <c r="AZP4" s="106"/>
      <c r="AZQ4" s="106"/>
      <c r="AZR4" s="106"/>
      <c r="AZS4" s="106"/>
      <c r="AZT4" s="106"/>
      <c r="AZU4" s="106"/>
      <c r="AZV4" s="106"/>
      <c r="AZW4" s="106"/>
      <c r="AZX4" s="106"/>
      <c r="AZY4" s="106"/>
      <c r="AZZ4" s="106"/>
      <c r="BAA4" s="106"/>
      <c r="BAB4" s="106"/>
      <c r="BAC4" s="106"/>
      <c r="BAD4" s="106"/>
      <c r="BAE4" s="106"/>
      <c r="BAF4" s="106"/>
      <c r="BAG4" s="106"/>
      <c r="BAH4" s="106"/>
      <c r="BAI4" s="106"/>
      <c r="BAJ4" s="106"/>
      <c r="BAK4" s="106"/>
      <c r="BAL4" s="106"/>
      <c r="BAM4" s="106"/>
      <c r="BAN4" s="106"/>
      <c r="BAO4" s="106"/>
      <c r="BAP4" s="106"/>
      <c r="BAQ4" s="106"/>
      <c r="BAR4" s="106"/>
      <c r="BAS4" s="106"/>
      <c r="BAT4" s="106"/>
      <c r="BAU4" s="106"/>
      <c r="BAV4" s="106"/>
      <c r="BAW4" s="106"/>
      <c r="BAX4" s="106"/>
      <c r="BAY4" s="106"/>
      <c r="BAZ4" s="106"/>
      <c r="BBA4" s="106"/>
      <c r="BBB4" s="106"/>
      <c r="BBC4" s="106"/>
      <c r="BBD4" s="106"/>
      <c r="BBE4" s="106"/>
      <c r="BBF4" s="106"/>
      <c r="BBG4" s="106"/>
      <c r="BBH4" s="106"/>
      <c r="BBI4" s="106"/>
      <c r="BBJ4" s="106"/>
      <c r="BBK4" s="106"/>
      <c r="BBL4" s="106"/>
      <c r="BBM4" s="106"/>
      <c r="BBN4" s="106"/>
      <c r="BBO4" s="106"/>
      <c r="BBP4" s="106"/>
      <c r="BBQ4" s="106"/>
      <c r="BBR4" s="106"/>
      <c r="BBS4" s="106"/>
      <c r="BBT4" s="106"/>
      <c r="BBU4" s="106"/>
      <c r="BBV4" s="106"/>
      <c r="BBW4" s="106"/>
      <c r="BBX4" s="106"/>
      <c r="BBY4" s="106"/>
      <c r="BBZ4" s="106"/>
      <c r="BCA4" s="106"/>
      <c r="BCB4" s="106"/>
      <c r="BCC4" s="106"/>
      <c r="BCD4" s="106"/>
      <c r="BCE4" s="106"/>
      <c r="BCF4" s="106"/>
      <c r="BCG4" s="106"/>
      <c r="BCH4" s="106"/>
      <c r="BCI4" s="106"/>
      <c r="BCJ4" s="106"/>
      <c r="BCK4" s="106"/>
      <c r="BCL4" s="106"/>
      <c r="BCM4" s="106"/>
      <c r="BCN4" s="106"/>
      <c r="BCO4" s="106"/>
      <c r="BCP4" s="106"/>
      <c r="BCQ4" s="106"/>
      <c r="BCR4" s="106"/>
      <c r="BCS4" s="106"/>
      <c r="BCT4" s="106"/>
      <c r="BCU4" s="106"/>
      <c r="BCV4" s="106"/>
      <c r="BCW4" s="106"/>
      <c r="BCX4" s="106"/>
      <c r="BCY4" s="106"/>
      <c r="BCZ4" s="106"/>
      <c r="BDA4" s="106"/>
      <c r="BDB4" s="106"/>
      <c r="BDC4" s="106"/>
      <c r="BDD4" s="106"/>
      <c r="BDE4" s="106"/>
      <c r="BDF4" s="106"/>
      <c r="BDG4" s="106"/>
      <c r="BDH4" s="106"/>
      <c r="BDI4" s="106"/>
      <c r="BDJ4" s="106"/>
      <c r="BDK4" s="106"/>
      <c r="BDL4" s="106"/>
      <c r="BDM4" s="106"/>
      <c r="BDN4" s="106"/>
      <c r="BDO4" s="106"/>
      <c r="BDP4" s="106"/>
      <c r="BDQ4" s="106"/>
      <c r="BDR4" s="106"/>
      <c r="BDS4" s="106"/>
      <c r="BDT4" s="106"/>
      <c r="BDU4" s="106"/>
      <c r="BDV4" s="106"/>
      <c r="BDW4" s="106"/>
      <c r="BDX4" s="106"/>
      <c r="BDY4" s="106"/>
      <c r="BDZ4" s="106"/>
      <c r="BEA4" s="106"/>
      <c r="BEB4" s="106"/>
      <c r="BEC4" s="106"/>
      <c r="BED4" s="106"/>
      <c r="BEE4" s="106"/>
      <c r="BEF4" s="106"/>
      <c r="BEG4" s="106"/>
      <c r="BEH4" s="106"/>
      <c r="BEI4" s="106"/>
      <c r="BEJ4" s="106"/>
      <c r="BEK4" s="106"/>
      <c r="BEL4" s="106"/>
      <c r="BEM4" s="106"/>
      <c r="BEN4" s="106"/>
      <c r="BEO4" s="106"/>
      <c r="BEP4" s="106"/>
      <c r="BEQ4" s="106"/>
      <c r="BER4" s="106"/>
      <c r="BES4" s="106"/>
      <c r="BET4" s="106"/>
      <c r="BEU4" s="106"/>
      <c r="BEV4" s="106"/>
      <c r="BEW4" s="106"/>
      <c r="BEX4" s="106"/>
      <c r="BEY4" s="106"/>
      <c r="BEZ4" s="106"/>
      <c r="BFA4" s="106"/>
      <c r="BFB4" s="106"/>
      <c r="BFC4" s="106"/>
      <c r="BFD4" s="106"/>
      <c r="BFE4" s="106"/>
      <c r="BFF4" s="106"/>
      <c r="BFG4" s="106"/>
      <c r="BFH4" s="106"/>
      <c r="BFI4" s="106"/>
      <c r="BFJ4" s="106"/>
      <c r="BFK4" s="106"/>
      <c r="BFL4" s="106"/>
      <c r="BFM4" s="106"/>
      <c r="BFN4" s="106"/>
      <c r="BFO4" s="106"/>
      <c r="BFP4" s="106"/>
      <c r="BFQ4" s="106"/>
      <c r="BFR4" s="106"/>
      <c r="BFS4" s="106"/>
      <c r="BFT4" s="106"/>
      <c r="BFU4" s="106"/>
      <c r="BFV4" s="106"/>
      <c r="BFW4" s="106"/>
      <c r="BFX4" s="106"/>
      <c r="BFY4" s="106"/>
      <c r="BFZ4" s="106"/>
      <c r="BGA4" s="106"/>
      <c r="BGB4" s="106"/>
      <c r="BGC4" s="106"/>
      <c r="BGD4" s="106"/>
      <c r="BGE4" s="106"/>
      <c r="BGF4" s="106"/>
      <c r="BGG4" s="106"/>
      <c r="BGH4" s="106"/>
      <c r="BGI4" s="106"/>
      <c r="BGJ4" s="106"/>
      <c r="BGK4" s="106"/>
      <c r="BGL4" s="106"/>
      <c r="BGM4" s="106"/>
      <c r="BGN4" s="106"/>
      <c r="BGO4" s="106"/>
      <c r="BGP4" s="106"/>
      <c r="BGQ4" s="106"/>
      <c r="BGR4" s="106"/>
      <c r="BGS4" s="106"/>
      <c r="BGT4" s="106"/>
      <c r="BGU4" s="106"/>
      <c r="BGV4" s="106"/>
      <c r="BGW4" s="106"/>
      <c r="BGX4" s="106"/>
      <c r="BGY4" s="106"/>
      <c r="BGZ4" s="106"/>
      <c r="BHA4" s="106"/>
      <c r="BHB4" s="106"/>
      <c r="BHC4" s="106"/>
      <c r="BHD4" s="106"/>
      <c r="BHE4" s="106"/>
      <c r="BHF4" s="106"/>
      <c r="BHG4" s="106"/>
      <c r="BHH4" s="106"/>
      <c r="BHI4" s="106"/>
      <c r="BHJ4" s="106"/>
      <c r="BHK4" s="106"/>
      <c r="BHL4" s="106"/>
      <c r="BHM4" s="106"/>
      <c r="BHN4" s="106"/>
      <c r="BHO4" s="106"/>
      <c r="BHP4" s="106"/>
      <c r="BHQ4" s="106"/>
      <c r="BHR4" s="106"/>
      <c r="BHS4" s="106"/>
      <c r="BHT4" s="106"/>
      <c r="BHU4" s="106"/>
      <c r="BHV4" s="106"/>
      <c r="BHW4" s="106"/>
      <c r="BHX4" s="106"/>
      <c r="BHY4" s="106"/>
      <c r="BHZ4" s="106"/>
      <c r="BIA4" s="106"/>
      <c r="BIB4" s="106"/>
      <c r="BIC4" s="106"/>
      <c r="BID4" s="106"/>
      <c r="BIE4" s="106"/>
      <c r="BIF4" s="106"/>
      <c r="BIG4" s="106"/>
      <c r="BIH4" s="106"/>
      <c r="BII4" s="106"/>
      <c r="BIJ4" s="106"/>
      <c r="BIK4" s="106"/>
      <c r="BIL4" s="106"/>
      <c r="BIM4" s="106"/>
      <c r="BIN4" s="106"/>
      <c r="BIO4" s="106"/>
      <c r="BIP4" s="106"/>
      <c r="BIQ4" s="106"/>
      <c r="BIR4" s="106"/>
      <c r="BIS4" s="106"/>
      <c r="BIT4" s="106"/>
      <c r="BIU4" s="106"/>
      <c r="BIV4" s="106"/>
      <c r="BIW4" s="106"/>
      <c r="BIX4" s="106"/>
      <c r="BIY4" s="106"/>
      <c r="BIZ4" s="106"/>
      <c r="BJA4" s="106"/>
      <c r="BJB4" s="106"/>
      <c r="BJC4" s="106"/>
      <c r="BJD4" s="106"/>
      <c r="BJE4" s="106"/>
      <c r="BJF4" s="106"/>
      <c r="BJG4" s="106"/>
      <c r="BJH4" s="106"/>
      <c r="BJI4" s="106"/>
      <c r="BJJ4" s="106"/>
      <c r="BJK4" s="106"/>
      <c r="BJL4" s="106"/>
      <c r="BJM4" s="106"/>
      <c r="BJN4" s="106"/>
      <c r="BJO4" s="106"/>
      <c r="BJP4" s="106"/>
      <c r="BJQ4" s="106"/>
      <c r="BJR4" s="106"/>
      <c r="BJS4" s="106"/>
      <c r="BJT4" s="106"/>
      <c r="BJU4" s="106"/>
      <c r="BJV4" s="106"/>
      <c r="BJW4" s="106"/>
      <c r="BJX4" s="106"/>
      <c r="BJY4" s="106"/>
      <c r="BJZ4" s="106"/>
      <c r="BKA4" s="106"/>
      <c r="BKB4" s="106"/>
      <c r="BKC4" s="106"/>
      <c r="BKD4" s="106"/>
      <c r="BKE4" s="106"/>
      <c r="BKF4" s="106"/>
      <c r="BKG4" s="106"/>
      <c r="BKH4" s="106"/>
      <c r="BKI4" s="106"/>
      <c r="BKJ4" s="106"/>
      <c r="BKK4" s="106"/>
      <c r="BKL4" s="106"/>
      <c r="BKM4" s="106"/>
      <c r="BKN4" s="106"/>
      <c r="BKO4" s="106"/>
      <c r="BKP4" s="106"/>
      <c r="BKQ4" s="106"/>
      <c r="BKR4" s="106"/>
      <c r="BKS4" s="106"/>
      <c r="BKT4" s="106"/>
      <c r="BKU4" s="106"/>
      <c r="BKV4" s="106"/>
      <c r="BKW4" s="106"/>
      <c r="BKX4" s="106"/>
      <c r="BKY4" s="106"/>
      <c r="BKZ4" s="106"/>
      <c r="BLA4" s="106"/>
      <c r="BLB4" s="106"/>
      <c r="BLC4" s="106"/>
      <c r="BLD4" s="106"/>
      <c r="BLE4" s="106"/>
      <c r="BLF4" s="106"/>
      <c r="BLG4" s="106"/>
      <c r="BLH4" s="106"/>
      <c r="BLI4" s="106"/>
      <c r="BLJ4" s="106"/>
      <c r="BLK4" s="106"/>
      <c r="BLL4" s="106"/>
      <c r="BLM4" s="106"/>
      <c r="BLN4" s="106"/>
      <c r="BLO4" s="106"/>
      <c r="BLP4" s="106"/>
      <c r="BLQ4" s="106"/>
      <c r="BLR4" s="106"/>
      <c r="BLS4" s="106"/>
      <c r="BLT4" s="106"/>
      <c r="BLU4" s="106"/>
      <c r="BLV4" s="106"/>
      <c r="BLW4" s="106"/>
      <c r="BLX4" s="106"/>
      <c r="BLY4" s="106"/>
      <c r="BLZ4" s="106"/>
      <c r="BMA4" s="106"/>
      <c r="BMB4" s="106"/>
      <c r="BMC4" s="106"/>
      <c r="BMD4" s="106"/>
      <c r="BME4" s="106"/>
      <c r="BMF4" s="106"/>
      <c r="BMG4" s="106"/>
      <c r="BMH4" s="106"/>
      <c r="BMI4" s="106"/>
      <c r="BMJ4" s="106"/>
      <c r="BMK4" s="106"/>
      <c r="BML4" s="106"/>
      <c r="BMM4" s="106"/>
      <c r="BMN4" s="106"/>
      <c r="BMO4" s="106"/>
      <c r="BMP4" s="106"/>
      <c r="BMQ4" s="106"/>
      <c r="BMR4" s="106"/>
      <c r="BMS4" s="106"/>
      <c r="BMT4" s="106"/>
      <c r="BMU4" s="106"/>
      <c r="BMV4" s="106"/>
      <c r="BMW4" s="106"/>
      <c r="BMX4" s="106"/>
      <c r="BMY4" s="106"/>
      <c r="BMZ4" s="106"/>
      <c r="BNA4" s="106"/>
      <c r="BNB4" s="106"/>
      <c r="BNC4" s="106"/>
      <c r="BND4" s="106"/>
      <c r="BNE4" s="106"/>
      <c r="BNF4" s="106"/>
      <c r="BNG4" s="106"/>
      <c r="BNH4" s="106"/>
      <c r="BNI4" s="106"/>
      <c r="BNJ4" s="106"/>
      <c r="BNK4" s="106"/>
      <c r="BNL4" s="106"/>
      <c r="BNM4" s="106"/>
      <c r="BNN4" s="106"/>
      <c r="BNO4" s="106"/>
      <c r="BNP4" s="106"/>
      <c r="BNQ4" s="106"/>
      <c r="BNR4" s="106"/>
      <c r="BNS4" s="106"/>
      <c r="BNT4" s="106"/>
      <c r="BNU4" s="106"/>
      <c r="BNV4" s="106"/>
      <c r="BNW4" s="106"/>
      <c r="BNX4" s="106"/>
      <c r="BNY4" s="106"/>
      <c r="BNZ4" s="106"/>
      <c r="BOA4" s="106"/>
      <c r="BOB4" s="106"/>
      <c r="BOC4" s="106"/>
      <c r="BOD4" s="106"/>
      <c r="BOE4" s="106"/>
      <c r="BOF4" s="106"/>
      <c r="BOG4" s="106"/>
      <c r="BOH4" s="106"/>
      <c r="BOI4" s="106"/>
      <c r="BOJ4" s="106"/>
      <c r="BOK4" s="106"/>
      <c r="BOL4" s="106"/>
      <c r="BOM4" s="106"/>
      <c r="BON4" s="106"/>
      <c r="BOO4" s="106"/>
      <c r="BOP4" s="106"/>
      <c r="BOQ4" s="106"/>
      <c r="BOR4" s="106"/>
      <c r="BOS4" s="106"/>
      <c r="BOT4" s="106"/>
      <c r="BOU4" s="106"/>
      <c r="BOV4" s="106"/>
      <c r="BOW4" s="106"/>
      <c r="BOX4" s="106"/>
      <c r="BOY4" s="106"/>
      <c r="BOZ4" s="106"/>
      <c r="BPA4" s="106"/>
      <c r="BPB4" s="106"/>
      <c r="BPC4" s="106"/>
      <c r="BPD4" s="106"/>
      <c r="BPE4" s="106"/>
      <c r="BPF4" s="106"/>
      <c r="BPG4" s="106"/>
      <c r="BPH4" s="106"/>
      <c r="BPI4" s="106"/>
      <c r="BPJ4" s="106"/>
      <c r="BPK4" s="106"/>
      <c r="BPL4" s="106"/>
      <c r="BPM4" s="106"/>
      <c r="BPN4" s="106"/>
      <c r="BPO4" s="106"/>
      <c r="BPP4" s="106"/>
      <c r="BPQ4" s="106"/>
      <c r="BPR4" s="106"/>
      <c r="BPS4" s="106"/>
      <c r="BPT4" s="106"/>
      <c r="BPU4" s="106"/>
      <c r="BPV4" s="106"/>
      <c r="BPW4" s="106"/>
      <c r="BPX4" s="106"/>
      <c r="BPY4" s="106"/>
      <c r="BPZ4" s="106"/>
      <c r="BQA4" s="106"/>
      <c r="BQB4" s="106"/>
      <c r="BQC4" s="106"/>
      <c r="BQD4" s="106"/>
      <c r="BQE4" s="106"/>
      <c r="BQF4" s="106"/>
      <c r="BQG4" s="106"/>
      <c r="BQH4" s="106"/>
      <c r="BQI4" s="106"/>
      <c r="BQJ4" s="106"/>
      <c r="BQK4" s="106"/>
      <c r="BQL4" s="106"/>
      <c r="BQM4" s="106"/>
      <c r="BQN4" s="106"/>
      <c r="BQO4" s="106"/>
      <c r="BQP4" s="106"/>
      <c r="BQQ4" s="106"/>
      <c r="BQR4" s="106"/>
      <c r="BQS4" s="106"/>
      <c r="BQT4" s="106"/>
      <c r="BQU4" s="106"/>
      <c r="BQV4" s="106"/>
      <c r="BQW4" s="106"/>
      <c r="BQX4" s="106"/>
      <c r="BQY4" s="106"/>
      <c r="BQZ4" s="106"/>
      <c r="BRA4" s="106"/>
      <c r="BRB4" s="106"/>
      <c r="BRC4" s="106"/>
      <c r="BRD4" s="106"/>
      <c r="BRE4" s="106"/>
      <c r="BRF4" s="106"/>
      <c r="BRG4" s="106"/>
      <c r="BRH4" s="106"/>
      <c r="BRI4" s="106"/>
      <c r="BRJ4" s="106"/>
      <c r="BRK4" s="106"/>
      <c r="BRL4" s="106"/>
      <c r="BRM4" s="106"/>
      <c r="BRN4" s="106"/>
      <c r="BRO4" s="106"/>
      <c r="BRP4" s="106"/>
      <c r="BRQ4" s="106"/>
      <c r="BRR4" s="106"/>
      <c r="BRS4" s="106"/>
      <c r="BRT4" s="106"/>
      <c r="BRU4" s="106"/>
      <c r="BRV4" s="106"/>
      <c r="BRW4" s="106"/>
      <c r="BRX4" s="106"/>
      <c r="BRY4" s="106"/>
      <c r="BRZ4" s="106"/>
      <c r="BSA4" s="106"/>
      <c r="BSB4" s="106"/>
      <c r="BSC4" s="106"/>
      <c r="BSD4" s="106"/>
      <c r="BSE4" s="106"/>
      <c r="BSF4" s="106"/>
      <c r="BSG4" s="106"/>
      <c r="BSH4" s="106"/>
      <c r="BSI4" s="106"/>
      <c r="BSJ4" s="106"/>
      <c r="BSK4" s="106"/>
      <c r="BSL4" s="106"/>
      <c r="BSM4" s="106"/>
      <c r="BSN4" s="106"/>
      <c r="BSO4" s="106"/>
      <c r="BSP4" s="106"/>
      <c r="BSQ4" s="106"/>
      <c r="BSR4" s="106"/>
      <c r="BSS4" s="106"/>
      <c r="BST4" s="106"/>
      <c r="BSU4" s="106"/>
      <c r="BSV4" s="106"/>
      <c r="BSW4" s="106"/>
      <c r="BSX4" s="106"/>
      <c r="BSY4" s="106"/>
      <c r="BSZ4" s="106"/>
      <c r="BTA4" s="106"/>
      <c r="BTB4" s="106"/>
      <c r="BTC4" s="106"/>
      <c r="BTD4" s="106"/>
      <c r="BTE4" s="106"/>
      <c r="BTF4" s="106"/>
      <c r="BTG4" s="106"/>
      <c r="BTH4" s="106"/>
      <c r="BTI4" s="106"/>
      <c r="BTJ4" s="106"/>
      <c r="BTK4" s="106"/>
      <c r="BTL4" s="106"/>
      <c r="BTM4" s="106"/>
      <c r="BTN4" s="106"/>
      <c r="BTO4" s="106"/>
      <c r="BTP4" s="106"/>
      <c r="BTQ4" s="106"/>
      <c r="BTR4" s="106"/>
      <c r="BTS4" s="106"/>
      <c r="BTT4" s="106"/>
      <c r="BTU4" s="106"/>
      <c r="BTV4" s="106"/>
      <c r="BTW4" s="106"/>
      <c r="BTX4" s="106"/>
      <c r="BTY4" s="106"/>
      <c r="BTZ4" s="106"/>
      <c r="BUA4" s="106"/>
      <c r="BUB4" s="106"/>
      <c r="BUC4" s="106"/>
      <c r="BUD4" s="106"/>
      <c r="BUE4" s="106"/>
      <c r="BUF4" s="106"/>
      <c r="BUG4" s="106"/>
      <c r="BUH4" s="106"/>
      <c r="BUI4" s="106"/>
      <c r="BUJ4" s="106"/>
      <c r="BUK4" s="106"/>
      <c r="BUL4" s="106"/>
      <c r="BUM4" s="106"/>
      <c r="BUN4" s="106"/>
      <c r="BUO4" s="106"/>
      <c r="BUP4" s="106"/>
      <c r="BUQ4" s="106"/>
      <c r="BUR4" s="106"/>
      <c r="BUS4" s="106"/>
      <c r="BUT4" s="106"/>
      <c r="BUU4" s="106"/>
      <c r="BUV4" s="106"/>
      <c r="BUW4" s="106"/>
      <c r="BUX4" s="106"/>
      <c r="BUY4" s="106"/>
      <c r="BUZ4" s="106"/>
      <c r="BVA4" s="106"/>
      <c r="BVB4" s="106"/>
      <c r="BVC4" s="106"/>
      <c r="BVD4" s="106"/>
      <c r="BVE4" s="106"/>
      <c r="BVF4" s="106"/>
      <c r="BVG4" s="106"/>
      <c r="BVH4" s="106"/>
      <c r="BVI4" s="106"/>
      <c r="BVJ4" s="106"/>
      <c r="BVK4" s="106"/>
      <c r="BVL4" s="106"/>
      <c r="BVM4" s="106"/>
      <c r="BVN4" s="106"/>
      <c r="BVO4" s="106"/>
      <c r="BVP4" s="106"/>
      <c r="BVQ4" s="106"/>
      <c r="BVR4" s="106"/>
      <c r="BVS4" s="106"/>
      <c r="BVT4" s="106"/>
      <c r="BVU4" s="106"/>
      <c r="BVV4" s="106"/>
      <c r="BVW4" s="106"/>
      <c r="BVX4" s="106"/>
      <c r="BVY4" s="106"/>
      <c r="BVZ4" s="106"/>
      <c r="BWA4" s="106"/>
      <c r="BWB4" s="106"/>
      <c r="BWC4" s="106"/>
      <c r="BWD4" s="106"/>
      <c r="BWE4" s="106"/>
      <c r="BWF4" s="106"/>
      <c r="BWG4" s="106"/>
      <c r="BWH4" s="106"/>
      <c r="BWI4" s="106"/>
      <c r="BWJ4" s="106"/>
      <c r="BWK4" s="106"/>
      <c r="BWL4" s="106"/>
      <c r="BWM4" s="106"/>
      <c r="BWN4" s="106"/>
      <c r="BWO4" s="106"/>
      <c r="BWP4" s="106"/>
      <c r="BWQ4" s="106"/>
      <c r="BWR4" s="106"/>
      <c r="BWS4" s="106"/>
      <c r="BWT4" s="106"/>
      <c r="BWU4" s="106"/>
      <c r="BWV4" s="106"/>
      <c r="BWW4" s="106"/>
      <c r="BWX4" s="106"/>
      <c r="BWY4" s="106"/>
      <c r="BWZ4" s="106"/>
      <c r="BXA4" s="106"/>
      <c r="BXB4" s="106"/>
      <c r="BXC4" s="106"/>
      <c r="BXD4" s="106"/>
      <c r="BXE4" s="106"/>
      <c r="BXF4" s="106"/>
      <c r="BXG4" s="106"/>
      <c r="BXH4" s="106"/>
      <c r="BXI4" s="106"/>
      <c r="BXJ4" s="106"/>
      <c r="BXK4" s="106"/>
      <c r="BXL4" s="106"/>
      <c r="BXM4" s="106"/>
      <c r="BXN4" s="106"/>
      <c r="BXO4" s="106"/>
      <c r="BXP4" s="106"/>
      <c r="BXQ4" s="106"/>
      <c r="BXR4" s="106"/>
      <c r="BXS4" s="106"/>
      <c r="BXT4" s="106"/>
      <c r="BXU4" s="106"/>
      <c r="BXV4" s="106"/>
      <c r="BXW4" s="106"/>
      <c r="BXX4" s="106"/>
      <c r="BXY4" s="106"/>
      <c r="BXZ4" s="106"/>
      <c r="BYA4" s="106"/>
      <c r="BYB4" s="106"/>
      <c r="BYC4" s="106"/>
      <c r="BYD4" s="106"/>
      <c r="BYE4" s="106"/>
      <c r="BYF4" s="106"/>
      <c r="BYG4" s="106"/>
      <c r="BYH4" s="106"/>
      <c r="BYI4" s="106"/>
      <c r="BYJ4" s="106"/>
      <c r="BYK4" s="106"/>
      <c r="BYL4" s="106"/>
      <c r="BYM4" s="106"/>
      <c r="BYN4" s="106"/>
      <c r="BYO4" s="106"/>
      <c r="BYP4" s="106"/>
      <c r="BYQ4" s="106"/>
      <c r="BYR4" s="106"/>
      <c r="BYS4" s="106"/>
      <c r="BYT4" s="106"/>
      <c r="BYU4" s="106"/>
      <c r="BYV4" s="106"/>
      <c r="BYW4" s="106"/>
      <c r="BYX4" s="106"/>
      <c r="BYY4" s="106"/>
      <c r="BYZ4" s="106"/>
      <c r="BZA4" s="106"/>
      <c r="BZB4" s="106"/>
      <c r="BZC4" s="106"/>
      <c r="BZD4" s="106"/>
      <c r="BZE4" s="106"/>
      <c r="BZF4" s="106"/>
      <c r="BZG4" s="106"/>
      <c r="BZH4" s="106"/>
      <c r="BZI4" s="106"/>
      <c r="BZJ4" s="106"/>
      <c r="BZK4" s="106"/>
      <c r="BZL4" s="106"/>
      <c r="BZM4" s="106"/>
      <c r="BZN4" s="106"/>
      <c r="BZO4" s="106"/>
      <c r="BZP4" s="106"/>
      <c r="BZQ4" s="106"/>
      <c r="BZR4" s="106"/>
      <c r="BZS4" s="106"/>
      <c r="BZT4" s="106"/>
      <c r="BZU4" s="106"/>
      <c r="BZV4" s="106"/>
      <c r="BZW4" s="106"/>
      <c r="BZX4" s="106"/>
      <c r="BZY4" s="106"/>
      <c r="BZZ4" s="106"/>
      <c r="CAA4" s="106"/>
      <c r="CAB4" s="106"/>
      <c r="CAC4" s="106"/>
      <c r="CAD4" s="106"/>
      <c r="CAE4" s="106"/>
      <c r="CAF4" s="106"/>
      <c r="CAG4" s="106"/>
      <c r="CAH4" s="106"/>
      <c r="CAI4" s="106"/>
      <c r="CAJ4" s="106"/>
      <c r="CAK4" s="106"/>
      <c r="CAL4" s="106"/>
      <c r="CAM4" s="106"/>
      <c r="CAN4" s="106"/>
      <c r="CAO4" s="106"/>
      <c r="CAP4" s="106"/>
      <c r="CAQ4" s="106"/>
      <c r="CAR4" s="106"/>
      <c r="CAS4" s="106"/>
      <c r="CAT4" s="106"/>
      <c r="CAU4" s="106"/>
      <c r="CAV4" s="106"/>
      <c r="CAW4" s="106"/>
      <c r="CAX4" s="106"/>
      <c r="CAY4" s="106"/>
      <c r="CAZ4" s="106"/>
      <c r="CBA4" s="106"/>
      <c r="CBB4" s="106"/>
      <c r="CBC4" s="106"/>
      <c r="CBD4" s="106"/>
      <c r="CBE4" s="106"/>
      <c r="CBF4" s="106"/>
      <c r="CBG4" s="106"/>
      <c r="CBH4" s="106"/>
      <c r="CBI4" s="106"/>
      <c r="CBJ4" s="106"/>
      <c r="CBK4" s="106"/>
      <c r="CBL4" s="106"/>
      <c r="CBM4" s="106"/>
      <c r="CBN4" s="106"/>
      <c r="CBO4" s="106"/>
      <c r="CBP4" s="106"/>
      <c r="CBQ4" s="106"/>
      <c r="CBR4" s="106"/>
      <c r="CBS4" s="106"/>
      <c r="CBT4" s="106"/>
      <c r="CBU4" s="106"/>
      <c r="CBV4" s="106"/>
      <c r="CBW4" s="106"/>
      <c r="CBX4" s="106"/>
      <c r="CBY4" s="106"/>
      <c r="CBZ4" s="106"/>
      <c r="CCA4" s="106"/>
      <c r="CCB4" s="106"/>
      <c r="CCC4" s="106"/>
      <c r="CCD4" s="106"/>
      <c r="CCE4" s="106"/>
      <c r="CCF4" s="106"/>
      <c r="CCG4" s="106"/>
      <c r="CCH4" s="106"/>
      <c r="CCI4" s="106"/>
      <c r="CCJ4" s="106"/>
      <c r="CCK4" s="106"/>
      <c r="CCL4" s="106"/>
      <c r="CCM4" s="106"/>
      <c r="CCN4" s="106"/>
      <c r="CCO4" s="106"/>
      <c r="CCP4" s="106"/>
      <c r="CCQ4" s="106"/>
      <c r="CCR4" s="106"/>
      <c r="CCS4" s="106"/>
      <c r="CCT4" s="106"/>
      <c r="CCU4" s="106"/>
      <c r="CCV4" s="106"/>
      <c r="CCW4" s="106"/>
      <c r="CCX4" s="106"/>
      <c r="CCY4" s="106"/>
      <c r="CCZ4" s="106"/>
      <c r="CDA4" s="106"/>
      <c r="CDB4" s="106"/>
      <c r="CDC4" s="106"/>
      <c r="CDD4" s="106"/>
      <c r="CDE4" s="106"/>
      <c r="CDF4" s="106"/>
      <c r="CDG4" s="106"/>
      <c r="CDH4" s="106"/>
      <c r="CDI4" s="106"/>
      <c r="CDJ4" s="106"/>
      <c r="CDK4" s="106"/>
      <c r="CDL4" s="106"/>
      <c r="CDM4" s="106"/>
      <c r="CDN4" s="106"/>
      <c r="CDO4" s="106"/>
      <c r="CDP4" s="106"/>
      <c r="CDQ4" s="106"/>
      <c r="CDR4" s="106"/>
      <c r="CDS4" s="106"/>
      <c r="CDT4" s="106"/>
      <c r="CDU4" s="106"/>
      <c r="CDV4" s="106"/>
      <c r="CDW4" s="106"/>
      <c r="CDX4" s="106"/>
      <c r="CDY4" s="106"/>
      <c r="CDZ4" s="106"/>
      <c r="CEA4" s="106"/>
      <c r="CEB4" s="106"/>
      <c r="CEC4" s="106"/>
      <c r="CED4" s="106"/>
      <c r="CEE4" s="106"/>
      <c r="CEF4" s="106"/>
      <c r="CEG4" s="106"/>
      <c r="CEH4" s="106"/>
      <c r="CEI4" s="106"/>
      <c r="CEJ4" s="106"/>
      <c r="CEK4" s="106"/>
      <c r="CEL4" s="106"/>
      <c r="CEM4" s="106"/>
      <c r="CEN4" s="106"/>
      <c r="CEO4" s="106"/>
      <c r="CEP4" s="106"/>
      <c r="CEQ4" s="106"/>
      <c r="CER4" s="106"/>
      <c r="CES4" s="106"/>
      <c r="CET4" s="106"/>
      <c r="CEU4" s="106"/>
      <c r="CEV4" s="106"/>
      <c r="CEW4" s="106"/>
      <c r="CEX4" s="106"/>
      <c r="CEY4" s="106"/>
      <c r="CEZ4" s="106"/>
      <c r="CFA4" s="106"/>
      <c r="CFB4" s="106"/>
      <c r="CFC4" s="106"/>
      <c r="CFD4" s="106"/>
      <c r="CFE4" s="106"/>
      <c r="CFF4" s="106"/>
      <c r="CFG4" s="106"/>
      <c r="CFH4" s="106"/>
      <c r="CFI4" s="106"/>
      <c r="CFJ4" s="106"/>
      <c r="CFK4" s="106"/>
      <c r="CFL4" s="106"/>
      <c r="CFM4" s="106"/>
      <c r="CFN4" s="106"/>
      <c r="CFO4" s="106"/>
      <c r="CFP4" s="106"/>
      <c r="CFQ4" s="106"/>
      <c r="CFR4" s="106"/>
      <c r="CFS4" s="106"/>
      <c r="CFT4" s="106"/>
      <c r="CFU4" s="106"/>
      <c r="CFV4" s="106"/>
      <c r="CFW4" s="106"/>
      <c r="CFX4" s="106"/>
      <c r="CFY4" s="106"/>
      <c r="CFZ4" s="106"/>
      <c r="CGA4" s="106"/>
      <c r="CGB4" s="106"/>
      <c r="CGC4" s="106"/>
      <c r="CGD4" s="106"/>
      <c r="CGE4" s="106"/>
      <c r="CGF4" s="106"/>
      <c r="CGG4" s="106"/>
      <c r="CGH4" s="106"/>
      <c r="CGI4" s="106"/>
      <c r="CGJ4" s="106"/>
      <c r="CGK4" s="106"/>
      <c r="CGL4" s="106"/>
      <c r="CGM4" s="106"/>
      <c r="CGN4" s="106"/>
      <c r="CGO4" s="106"/>
      <c r="CGP4" s="106"/>
      <c r="CGQ4" s="106"/>
      <c r="CGR4" s="106"/>
      <c r="CGS4" s="106"/>
      <c r="CGT4" s="106"/>
      <c r="CGU4" s="106"/>
      <c r="CGV4" s="106"/>
      <c r="CGW4" s="106"/>
      <c r="CGX4" s="106"/>
      <c r="CGY4" s="106"/>
      <c r="CGZ4" s="106"/>
      <c r="CHA4" s="106"/>
      <c r="CHB4" s="106"/>
      <c r="CHC4" s="106"/>
      <c r="CHD4" s="106"/>
      <c r="CHE4" s="106"/>
      <c r="CHF4" s="106"/>
      <c r="CHG4" s="106"/>
      <c r="CHH4" s="106"/>
      <c r="CHI4" s="106"/>
      <c r="CHJ4" s="106"/>
      <c r="CHK4" s="106"/>
      <c r="CHL4" s="106"/>
      <c r="CHM4" s="106"/>
      <c r="CHN4" s="106"/>
      <c r="CHO4" s="106"/>
      <c r="CHP4" s="106"/>
      <c r="CHQ4" s="106"/>
      <c r="CHR4" s="106"/>
      <c r="CHS4" s="106"/>
      <c r="CHT4" s="106"/>
      <c r="CHU4" s="106"/>
      <c r="CHV4" s="106"/>
      <c r="CHW4" s="106"/>
      <c r="CHX4" s="106"/>
      <c r="CHY4" s="106"/>
      <c r="CHZ4" s="106"/>
      <c r="CIA4" s="106"/>
      <c r="CIB4" s="106"/>
      <c r="CIC4" s="106"/>
      <c r="CID4" s="106"/>
      <c r="CIE4" s="106"/>
      <c r="CIF4" s="106"/>
      <c r="CIG4" s="106"/>
      <c r="CIH4" s="106"/>
      <c r="CII4" s="106"/>
      <c r="CIJ4" s="106"/>
      <c r="CIK4" s="106"/>
      <c r="CIL4" s="106"/>
      <c r="CIM4" s="106"/>
      <c r="CIN4" s="106"/>
      <c r="CIO4" s="106"/>
      <c r="CIP4" s="106"/>
      <c r="CIQ4" s="106"/>
      <c r="CIR4" s="106"/>
      <c r="CIS4" s="106"/>
      <c r="CIT4" s="106"/>
      <c r="CIU4" s="106"/>
      <c r="CIV4" s="106"/>
      <c r="CIW4" s="106"/>
      <c r="CIX4" s="106"/>
      <c r="CIY4" s="106"/>
      <c r="CIZ4" s="106"/>
      <c r="CJA4" s="106"/>
      <c r="CJB4" s="106"/>
      <c r="CJC4" s="106"/>
      <c r="CJD4" s="106"/>
      <c r="CJE4" s="106"/>
      <c r="CJF4" s="106"/>
      <c r="CJG4" s="106"/>
      <c r="CJH4" s="106"/>
      <c r="CJI4" s="106"/>
      <c r="CJJ4" s="106"/>
      <c r="CJK4" s="106"/>
      <c r="CJL4" s="106"/>
      <c r="CJM4" s="106"/>
      <c r="CJN4" s="106"/>
      <c r="CJO4" s="106"/>
      <c r="CJP4" s="106"/>
      <c r="CJQ4" s="106"/>
      <c r="CJR4" s="106"/>
      <c r="CJS4" s="106"/>
      <c r="CJT4" s="106"/>
      <c r="CJU4" s="106"/>
      <c r="CJV4" s="106"/>
      <c r="CJW4" s="106"/>
      <c r="CJX4" s="106"/>
      <c r="CJY4" s="106"/>
      <c r="CJZ4" s="106"/>
      <c r="CKA4" s="106"/>
      <c r="CKB4" s="106"/>
      <c r="CKC4" s="106"/>
      <c r="CKD4" s="106"/>
      <c r="CKE4" s="106"/>
      <c r="CKF4" s="106"/>
      <c r="CKG4" s="106"/>
      <c r="CKH4" s="106"/>
      <c r="CKI4" s="106"/>
      <c r="CKJ4" s="106"/>
      <c r="CKK4" s="106"/>
      <c r="CKL4" s="106"/>
      <c r="CKM4" s="106"/>
      <c r="CKN4" s="106"/>
      <c r="CKO4" s="106"/>
      <c r="CKP4" s="106"/>
      <c r="CKQ4" s="106"/>
      <c r="CKR4" s="106"/>
      <c r="CKS4" s="106"/>
      <c r="CKT4" s="106"/>
      <c r="CKU4" s="106"/>
      <c r="CKV4" s="106"/>
      <c r="CKW4" s="106"/>
      <c r="CKX4" s="106"/>
      <c r="CKY4" s="106"/>
      <c r="CKZ4" s="106"/>
      <c r="CLA4" s="106"/>
      <c r="CLB4" s="106"/>
      <c r="CLC4" s="106"/>
      <c r="CLD4" s="106"/>
      <c r="CLE4" s="106"/>
      <c r="CLF4" s="106"/>
      <c r="CLG4" s="106"/>
      <c r="CLH4" s="106"/>
      <c r="CLI4" s="106"/>
      <c r="CLJ4" s="106"/>
      <c r="CLK4" s="106"/>
      <c r="CLL4" s="106"/>
      <c r="CLM4" s="106"/>
      <c r="CLN4" s="106"/>
      <c r="CLO4" s="106"/>
      <c r="CLP4" s="106"/>
      <c r="CLQ4" s="106"/>
      <c r="CLR4" s="106"/>
      <c r="CLS4" s="106"/>
      <c r="CLT4" s="106"/>
      <c r="CLU4" s="106"/>
      <c r="CLV4" s="106"/>
      <c r="CLW4" s="106"/>
      <c r="CLX4" s="106"/>
      <c r="CLY4" s="106"/>
      <c r="CLZ4" s="106"/>
      <c r="CMA4" s="106"/>
      <c r="CMB4" s="106"/>
      <c r="CMC4" s="106"/>
      <c r="CMD4" s="106"/>
      <c r="CME4" s="106"/>
      <c r="CMF4" s="106"/>
      <c r="CMG4" s="106"/>
      <c r="CMH4" s="106"/>
      <c r="CMI4" s="106"/>
      <c r="CMJ4" s="106"/>
      <c r="CMK4" s="106"/>
      <c r="CML4" s="106"/>
      <c r="CMM4" s="106"/>
      <c r="CMN4" s="106"/>
      <c r="CMO4" s="106"/>
      <c r="CMP4" s="106"/>
      <c r="CMQ4" s="106"/>
      <c r="CMR4" s="106"/>
      <c r="CMS4" s="106"/>
      <c r="CMT4" s="106"/>
      <c r="CMU4" s="106"/>
      <c r="CMV4" s="106"/>
      <c r="CMW4" s="106"/>
      <c r="CMX4" s="106"/>
      <c r="CMY4" s="106"/>
      <c r="CMZ4" s="106"/>
      <c r="CNA4" s="106"/>
      <c r="CNB4" s="106"/>
      <c r="CNC4" s="106"/>
      <c r="CND4" s="106"/>
      <c r="CNE4" s="106"/>
      <c r="CNF4" s="106"/>
      <c r="CNG4" s="106"/>
      <c r="CNH4" s="106"/>
      <c r="CNI4" s="106"/>
      <c r="CNJ4" s="106"/>
      <c r="CNK4" s="106"/>
      <c r="CNL4" s="106"/>
      <c r="CNM4" s="106"/>
      <c r="CNN4" s="106"/>
      <c r="CNO4" s="106"/>
      <c r="CNP4" s="106"/>
      <c r="CNQ4" s="106"/>
      <c r="CNR4" s="106"/>
      <c r="CNS4" s="106"/>
      <c r="CNT4" s="106"/>
      <c r="CNU4" s="106"/>
      <c r="CNV4" s="106"/>
      <c r="CNW4" s="106"/>
      <c r="CNX4" s="106"/>
      <c r="CNY4" s="106"/>
      <c r="CNZ4" s="106"/>
      <c r="COA4" s="106"/>
      <c r="COB4" s="106"/>
      <c r="COC4" s="106"/>
      <c r="COD4" s="106"/>
      <c r="COE4" s="106"/>
      <c r="COF4" s="106"/>
      <c r="COG4" s="106"/>
      <c r="COH4" s="106"/>
      <c r="COI4" s="106"/>
      <c r="COJ4" s="106"/>
      <c r="COK4" s="106"/>
      <c r="COL4" s="106"/>
      <c r="COM4" s="106"/>
      <c r="CON4" s="106"/>
      <c r="COO4" s="106"/>
      <c r="COP4" s="106"/>
      <c r="COQ4" s="106"/>
      <c r="COR4" s="106"/>
      <c r="COS4" s="106"/>
      <c r="COT4" s="106"/>
      <c r="COU4" s="106"/>
      <c r="COV4" s="106"/>
      <c r="COW4" s="106"/>
      <c r="COX4" s="106"/>
      <c r="COY4" s="106"/>
      <c r="COZ4" s="106"/>
      <c r="CPA4" s="106"/>
      <c r="CPB4" s="106"/>
      <c r="CPC4" s="106"/>
      <c r="CPD4" s="106"/>
      <c r="CPE4" s="106"/>
      <c r="CPF4" s="106"/>
      <c r="CPG4" s="106"/>
      <c r="CPH4" s="106"/>
      <c r="CPI4" s="106"/>
      <c r="CPJ4" s="106"/>
      <c r="CPK4" s="106"/>
      <c r="CPL4" s="106"/>
      <c r="CPM4" s="106"/>
      <c r="CPN4" s="106"/>
      <c r="CPO4" s="106"/>
      <c r="CPP4" s="106"/>
      <c r="CPQ4" s="106"/>
      <c r="CPR4" s="106"/>
      <c r="CPS4" s="106"/>
      <c r="CPT4" s="106"/>
      <c r="CPU4" s="106"/>
      <c r="CPV4" s="106"/>
      <c r="CPW4" s="106"/>
      <c r="CPX4" s="106"/>
      <c r="CPY4" s="106"/>
      <c r="CPZ4" s="106"/>
      <c r="CQA4" s="106"/>
      <c r="CQB4" s="106"/>
      <c r="CQC4" s="106"/>
      <c r="CQD4" s="106"/>
      <c r="CQE4" s="106"/>
      <c r="CQF4" s="106"/>
      <c r="CQG4" s="106"/>
      <c r="CQH4" s="106"/>
      <c r="CQI4" s="106"/>
      <c r="CQJ4" s="106"/>
      <c r="CQK4" s="106"/>
      <c r="CQL4" s="106"/>
      <c r="CQM4" s="106"/>
      <c r="CQN4" s="106"/>
      <c r="CQO4" s="106"/>
      <c r="CQP4" s="106"/>
      <c r="CQQ4" s="106"/>
      <c r="CQR4" s="106"/>
      <c r="CQS4" s="106"/>
      <c r="CQT4" s="106"/>
      <c r="CQU4" s="106"/>
      <c r="CQV4" s="106"/>
      <c r="CQW4" s="106"/>
      <c r="CQX4" s="106"/>
      <c r="CQY4" s="106"/>
      <c r="CQZ4" s="106"/>
      <c r="CRA4" s="106"/>
      <c r="CRB4" s="106"/>
      <c r="CRC4" s="106"/>
      <c r="CRD4" s="106"/>
      <c r="CRE4" s="106"/>
      <c r="CRF4" s="106"/>
      <c r="CRG4" s="106"/>
      <c r="CRH4" s="106"/>
      <c r="CRI4" s="106"/>
      <c r="CRJ4" s="106"/>
      <c r="CRK4" s="106"/>
      <c r="CRL4" s="106"/>
      <c r="CRM4" s="106"/>
      <c r="CRN4" s="106"/>
      <c r="CRO4" s="106"/>
      <c r="CRP4" s="106"/>
      <c r="CRQ4" s="106"/>
      <c r="CRR4" s="106"/>
      <c r="CRS4" s="106"/>
      <c r="CRT4" s="106"/>
      <c r="CRU4" s="106"/>
      <c r="CRV4" s="106"/>
      <c r="CRW4" s="106"/>
      <c r="CRX4" s="106"/>
      <c r="CRY4" s="106"/>
      <c r="CRZ4" s="106"/>
      <c r="CSA4" s="106"/>
      <c r="CSB4" s="106"/>
      <c r="CSC4" s="106"/>
      <c r="CSD4" s="106"/>
      <c r="CSE4" s="106"/>
      <c r="CSF4" s="106"/>
      <c r="CSG4" s="106"/>
      <c r="CSH4" s="106"/>
      <c r="CSI4" s="106"/>
      <c r="CSJ4" s="106"/>
      <c r="CSK4" s="106"/>
      <c r="CSL4" s="106"/>
      <c r="CSM4" s="106"/>
      <c r="CSN4" s="106"/>
      <c r="CSO4" s="106"/>
      <c r="CSP4" s="106"/>
      <c r="CSQ4" s="106"/>
      <c r="CSR4" s="106"/>
      <c r="CSS4" s="106"/>
      <c r="CST4" s="106"/>
      <c r="CSU4" s="106"/>
      <c r="CSV4" s="106"/>
      <c r="CSW4" s="106"/>
      <c r="CSX4" s="106"/>
      <c r="CSY4" s="106"/>
      <c r="CSZ4" s="106"/>
      <c r="CTA4" s="106"/>
      <c r="CTB4" s="106"/>
      <c r="CTC4" s="106"/>
      <c r="CTD4" s="106"/>
      <c r="CTE4" s="106"/>
      <c r="CTF4" s="106"/>
      <c r="CTG4" s="106"/>
      <c r="CTH4" s="106"/>
      <c r="CTI4" s="106"/>
      <c r="CTJ4" s="106"/>
      <c r="CTK4" s="106"/>
      <c r="CTL4" s="106"/>
      <c r="CTM4" s="106"/>
      <c r="CTN4" s="106"/>
      <c r="CTO4" s="106"/>
      <c r="CTP4" s="106"/>
      <c r="CTQ4" s="106"/>
      <c r="CTR4" s="106"/>
      <c r="CTS4" s="106"/>
      <c r="CTT4" s="106"/>
      <c r="CTU4" s="106"/>
      <c r="CTV4" s="106"/>
      <c r="CTW4" s="106"/>
      <c r="CTX4" s="106"/>
      <c r="CTY4" s="106"/>
      <c r="CTZ4" s="106"/>
      <c r="CUA4" s="106"/>
      <c r="CUB4" s="106"/>
      <c r="CUC4" s="106"/>
      <c r="CUD4" s="106"/>
      <c r="CUE4" s="106"/>
      <c r="CUF4" s="106"/>
      <c r="CUG4" s="106"/>
      <c r="CUH4" s="106"/>
      <c r="CUI4" s="106"/>
      <c r="CUJ4" s="106"/>
      <c r="CUK4" s="106"/>
      <c r="CUL4" s="106"/>
      <c r="CUM4" s="106"/>
      <c r="CUN4" s="106"/>
      <c r="CUO4" s="106"/>
      <c r="CUP4" s="106"/>
      <c r="CUQ4" s="106"/>
      <c r="CUR4" s="106"/>
      <c r="CUS4" s="106"/>
      <c r="CUT4" s="106"/>
      <c r="CUU4" s="106"/>
      <c r="CUV4" s="106"/>
      <c r="CUW4" s="106"/>
      <c r="CUX4" s="106"/>
      <c r="CUY4" s="106"/>
      <c r="CUZ4" s="106"/>
      <c r="CVA4" s="106"/>
      <c r="CVB4" s="106"/>
      <c r="CVC4" s="106"/>
      <c r="CVD4" s="106"/>
      <c r="CVE4" s="106"/>
      <c r="CVF4" s="106"/>
      <c r="CVG4" s="106"/>
      <c r="CVH4" s="106"/>
      <c r="CVI4" s="106"/>
      <c r="CVJ4" s="106"/>
      <c r="CVK4" s="106"/>
      <c r="CVL4" s="106"/>
      <c r="CVM4" s="106"/>
      <c r="CVN4" s="106"/>
      <c r="CVO4" s="106"/>
      <c r="CVP4" s="106"/>
      <c r="CVQ4" s="106"/>
      <c r="CVR4" s="106"/>
      <c r="CVS4" s="106"/>
      <c r="CVT4" s="106"/>
      <c r="CVU4" s="106"/>
      <c r="CVV4" s="106"/>
      <c r="CVW4" s="106"/>
      <c r="CVX4" s="106"/>
      <c r="CVY4" s="106"/>
      <c r="CVZ4" s="106"/>
      <c r="CWA4" s="106"/>
      <c r="CWB4" s="106"/>
      <c r="CWC4" s="106"/>
      <c r="CWD4" s="106"/>
      <c r="CWE4" s="106"/>
      <c r="CWF4" s="106"/>
      <c r="CWG4" s="106"/>
      <c r="CWH4" s="106"/>
      <c r="CWI4" s="106"/>
      <c r="CWJ4" s="106"/>
      <c r="CWK4" s="106"/>
      <c r="CWL4" s="106"/>
      <c r="CWM4" s="106"/>
      <c r="CWN4" s="106"/>
      <c r="CWO4" s="106"/>
      <c r="CWP4" s="106"/>
      <c r="CWQ4" s="106"/>
      <c r="CWR4" s="106"/>
      <c r="CWS4" s="106"/>
      <c r="CWT4" s="106"/>
      <c r="CWU4" s="106"/>
      <c r="CWV4" s="106"/>
      <c r="CWW4" s="106"/>
      <c r="CWX4" s="106"/>
      <c r="CWY4" s="106"/>
      <c r="CWZ4" s="106"/>
      <c r="CXA4" s="106"/>
      <c r="CXB4" s="106"/>
      <c r="CXC4" s="106"/>
      <c r="CXD4" s="106"/>
      <c r="CXE4" s="106"/>
      <c r="CXF4" s="106"/>
      <c r="CXG4" s="106"/>
      <c r="CXH4" s="106"/>
      <c r="CXI4" s="106"/>
      <c r="CXJ4" s="106"/>
      <c r="CXK4" s="106"/>
      <c r="CXL4" s="106"/>
      <c r="CXM4" s="106"/>
      <c r="CXN4" s="106"/>
      <c r="CXO4" s="106"/>
      <c r="CXP4" s="106"/>
      <c r="CXQ4" s="106"/>
      <c r="CXR4" s="106"/>
      <c r="CXS4" s="106"/>
      <c r="CXT4" s="106"/>
      <c r="CXU4" s="106"/>
      <c r="CXV4" s="106"/>
      <c r="CXW4" s="106"/>
      <c r="CXX4" s="106"/>
      <c r="CXY4" s="106"/>
      <c r="CXZ4" s="106"/>
      <c r="CYA4" s="106"/>
      <c r="CYB4" s="106"/>
      <c r="CYC4" s="106"/>
      <c r="CYD4" s="106"/>
      <c r="CYE4" s="106"/>
      <c r="CYF4" s="106"/>
      <c r="CYG4" s="106"/>
      <c r="CYH4" s="106"/>
      <c r="CYI4" s="106"/>
      <c r="CYJ4" s="106"/>
      <c r="CYK4" s="106"/>
      <c r="CYL4" s="106"/>
      <c r="CYM4" s="106"/>
      <c r="CYN4" s="106"/>
      <c r="CYO4" s="106"/>
      <c r="CYP4" s="106"/>
      <c r="CYQ4" s="106"/>
      <c r="CYR4" s="106"/>
      <c r="CYS4" s="106"/>
      <c r="CYT4" s="106"/>
      <c r="CYU4" s="106"/>
      <c r="CYV4" s="106"/>
      <c r="CYW4" s="106"/>
      <c r="CYX4" s="106"/>
      <c r="CYY4" s="106"/>
      <c r="CYZ4" s="106"/>
      <c r="CZA4" s="106"/>
      <c r="CZB4" s="106"/>
      <c r="CZC4" s="106"/>
      <c r="CZD4" s="106"/>
      <c r="CZE4" s="106"/>
      <c r="CZF4" s="106"/>
      <c r="CZG4" s="106"/>
      <c r="CZH4" s="106"/>
      <c r="CZI4" s="106"/>
      <c r="CZJ4" s="106"/>
      <c r="CZK4" s="106"/>
      <c r="CZL4" s="106"/>
      <c r="CZM4" s="106"/>
      <c r="CZN4" s="106"/>
      <c r="CZO4" s="106"/>
      <c r="CZP4" s="106"/>
      <c r="CZQ4" s="106"/>
      <c r="CZR4" s="106"/>
      <c r="CZS4" s="106"/>
      <c r="CZT4" s="106"/>
      <c r="CZU4" s="106"/>
      <c r="CZV4" s="106"/>
      <c r="CZW4" s="106"/>
      <c r="CZX4" s="106"/>
      <c r="CZY4" s="106"/>
      <c r="CZZ4" s="106"/>
      <c r="DAA4" s="106"/>
      <c r="DAB4" s="106"/>
      <c r="DAC4" s="106"/>
      <c r="DAD4" s="106"/>
      <c r="DAE4" s="106"/>
      <c r="DAF4" s="106"/>
      <c r="DAG4" s="106"/>
      <c r="DAH4" s="106"/>
      <c r="DAI4" s="106"/>
      <c r="DAJ4" s="106"/>
      <c r="DAK4" s="106"/>
      <c r="DAL4" s="106"/>
      <c r="DAM4" s="106"/>
      <c r="DAN4" s="106"/>
      <c r="DAO4" s="106"/>
      <c r="DAP4" s="106"/>
      <c r="DAQ4" s="106"/>
      <c r="DAR4" s="106"/>
      <c r="DAS4" s="106"/>
      <c r="DAT4" s="106"/>
      <c r="DAU4" s="106"/>
      <c r="DAV4" s="106"/>
      <c r="DAW4" s="106"/>
      <c r="DAX4" s="106"/>
      <c r="DAY4" s="106"/>
      <c r="DAZ4" s="106"/>
      <c r="DBA4" s="106"/>
      <c r="DBB4" s="106"/>
      <c r="DBC4" s="106"/>
      <c r="DBD4" s="106"/>
      <c r="DBE4" s="106"/>
      <c r="DBF4" s="106"/>
      <c r="DBG4" s="106"/>
      <c r="DBH4" s="106"/>
      <c r="DBI4" s="106"/>
      <c r="DBJ4" s="106"/>
      <c r="DBK4" s="106"/>
      <c r="DBL4" s="106"/>
      <c r="DBM4" s="106"/>
      <c r="DBN4" s="106"/>
      <c r="DBO4" s="106"/>
      <c r="DBP4" s="106"/>
      <c r="DBQ4" s="106"/>
      <c r="DBR4" s="106"/>
      <c r="DBS4" s="106"/>
      <c r="DBT4" s="106"/>
      <c r="DBU4" s="106"/>
      <c r="DBV4" s="106"/>
      <c r="DBW4" s="106"/>
      <c r="DBX4" s="106"/>
      <c r="DBY4" s="106"/>
      <c r="DBZ4" s="106"/>
      <c r="DCA4" s="106"/>
      <c r="DCB4" s="106"/>
      <c r="DCC4" s="106"/>
      <c r="DCD4" s="106"/>
      <c r="DCE4" s="106"/>
      <c r="DCF4" s="106"/>
      <c r="DCG4" s="106"/>
      <c r="DCH4" s="106"/>
      <c r="DCI4" s="106"/>
      <c r="DCJ4" s="106"/>
      <c r="DCK4" s="106"/>
      <c r="DCL4" s="106"/>
      <c r="DCM4" s="106"/>
      <c r="DCN4" s="106"/>
      <c r="DCO4" s="106"/>
      <c r="DCP4" s="106"/>
      <c r="DCQ4" s="106"/>
      <c r="DCR4" s="106"/>
      <c r="DCS4" s="106"/>
      <c r="DCT4" s="106"/>
      <c r="DCU4" s="106"/>
      <c r="DCV4" s="106"/>
      <c r="DCW4" s="106"/>
      <c r="DCX4" s="106"/>
      <c r="DCY4" s="106"/>
      <c r="DCZ4" s="106"/>
      <c r="DDA4" s="106"/>
      <c r="DDB4" s="106"/>
      <c r="DDC4" s="106"/>
      <c r="DDD4" s="106"/>
      <c r="DDE4" s="106"/>
      <c r="DDF4" s="106"/>
      <c r="DDG4" s="106"/>
      <c r="DDH4" s="106"/>
      <c r="DDI4" s="106"/>
      <c r="DDJ4" s="106"/>
      <c r="DDK4" s="106"/>
      <c r="DDL4" s="106"/>
      <c r="DDM4" s="106"/>
      <c r="DDN4" s="106"/>
      <c r="DDO4" s="106"/>
      <c r="DDP4" s="106"/>
      <c r="DDQ4" s="106"/>
      <c r="DDR4" s="106"/>
      <c r="DDS4" s="106"/>
      <c r="DDT4" s="106"/>
      <c r="DDU4" s="106"/>
      <c r="DDV4" s="106"/>
      <c r="DDW4" s="106"/>
      <c r="DDX4" s="106"/>
      <c r="DDY4" s="106"/>
      <c r="DDZ4" s="106"/>
      <c r="DEA4" s="106"/>
      <c r="DEB4" s="106"/>
      <c r="DEC4" s="106"/>
      <c r="DED4" s="106"/>
      <c r="DEE4" s="106"/>
      <c r="DEF4" s="106"/>
      <c r="DEG4" s="106"/>
      <c r="DEH4" s="106"/>
      <c r="DEI4" s="106"/>
      <c r="DEJ4" s="106"/>
      <c r="DEK4" s="106"/>
      <c r="DEL4" s="106"/>
      <c r="DEM4" s="106"/>
      <c r="DEN4" s="106"/>
      <c r="DEO4" s="106"/>
      <c r="DEP4" s="106"/>
      <c r="DEQ4" s="106"/>
      <c r="DER4" s="106"/>
      <c r="DES4" s="106"/>
      <c r="DET4" s="106"/>
      <c r="DEU4" s="106"/>
      <c r="DEV4" s="106"/>
      <c r="DEW4" s="106"/>
      <c r="DEX4" s="106"/>
      <c r="DEY4" s="106"/>
      <c r="DEZ4" s="106"/>
      <c r="DFA4" s="106"/>
      <c r="DFB4" s="106"/>
      <c r="DFC4" s="106"/>
      <c r="DFD4" s="106"/>
      <c r="DFE4" s="106"/>
      <c r="DFF4" s="106"/>
      <c r="DFG4" s="106"/>
      <c r="DFH4" s="106"/>
      <c r="DFI4" s="106"/>
      <c r="DFJ4" s="106"/>
      <c r="DFK4" s="106"/>
      <c r="DFL4" s="106"/>
      <c r="DFM4" s="106"/>
      <c r="DFN4" s="106"/>
      <c r="DFO4" s="106"/>
      <c r="DFP4" s="106"/>
      <c r="DFQ4" s="106"/>
      <c r="DFR4" s="106"/>
      <c r="DFS4" s="106"/>
      <c r="DFT4" s="106"/>
      <c r="DFU4" s="106"/>
      <c r="DFV4" s="106"/>
      <c r="DFW4" s="106"/>
      <c r="DFX4" s="106"/>
      <c r="DFY4" s="106"/>
      <c r="DFZ4" s="106"/>
      <c r="DGA4" s="106"/>
      <c r="DGB4" s="106"/>
      <c r="DGC4" s="106"/>
      <c r="DGD4" s="106"/>
      <c r="DGE4" s="106"/>
      <c r="DGF4" s="106"/>
      <c r="DGG4" s="106"/>
      <c r="DGH4" s="106"/>
      <c r="DGI4" s="106"/>
      <c r="DGJ4" s="106"/>
      <c r="DGK4" s="106"/>
      <c r="DGL4" s="106"/>
      <c r="DGM4" s="106"/>
      <c r="DGN4" s="106"/>
      <c r="DGO4" s="106"/>
      <c r="DGP4" s="106"/>
      <c r="DGQ4" s="106"/>
      <c r="DGR4" s="106"/>
      <c r="DGS4" s="106"/>
      <c r="DGT4" s="106"/>
      <c r="DGU4" s="106"/>
      <c r="DGV4" s="106"/>
      <c r="DGW4" s="106"/>
      <c r="DGX4" s="106"/>
      <c r="DGY4" s="106"/>
      <c r="DGZ4" s="106"/>
      <c r="DHA4" s="106"/>
      <c r="DHB4" s="106"/>
      <c r="DHC4" s="106"/>
      <c r="DHD4" s="106"/>
      <c r="DHE4" s="106"/>
      <c r="DHF4" s="106"/>
      <c r="DHG4" s="106"/>
      <c r="DHH4" s="106"/>
      <c r="DHI4" s="106"/>
      <c r="DHJ4" s="106"/>
      <c r="DHK4" s="106"/>
      <c r="DHL4" s="106"/>
      <c r="DHM4" s="106"/>
      <c r="DHN4" s="106"/>
      <c r="DHO4" s="106"/>
      <c r="DHP4" s="106"/>
      <c r="DHQ4" s="106"/>
      <c r="DHR4" s="106"/>
      <c r="DHS4" s="106"/>
      <c r="DHT4" s="106"/>
      <c r="DHU4" s="106"/>
      <c r="DHV4" s="106"/>
      <c r="DHW4" s="106"/>
      <c r="DHX4" s="106"/>
      <c r="DHY4" s="106"/>
      <c r="DHZ4" s="106"/>
      <c r="DIA4" s="106"/>
      <c r="DIB4" s="106"/>
      <c r="DIC4" s="106"/>
      <c r="DID4" s="106"/>
      <c r="DIE4" s="106"/>
      <c r="DIF4" s="106"/>
      <c r="DIG4" s="106"/>
      <c r="DIH4" s="106"/>
      <c r="DII4" s="106"/>
      <c r="DIJ4" s="106"/>
      <c r="DIK4" s="106"/>
      <c r="DIL4" s="106"/>
      <c r="DIM4" s="106"/>
      <c r="DIN4" s="106"/>
      <c r="DIO4" s="106"/>
      <c r="DIP4" s="106"/>
      <c r="DIQ4" s="106"/>
      <c r="DIR4" s="106"/>
      <c r="DIS4" s="106"/>
      <c r="DIT4" s="106"/>
      <c r="DIU4" s="106"/>
      <c r="DIV4" s="106"/>
      <c r="DIW4" s="106"/>
      <c r="DIX4" s="106"/>
      <c r="DIY4" s="106"/>
      <c r="DIZ4" s="106"/>
      <c r="DJA4" s="106"/>
      <c r="DJB4" s="106"/>
      <c r="DJC4" s="106"/>
      <c r="DJD4" s="106"/>
      <c r="DJE4" s="106"/>
      <c r="DJF4" s="106"/>
      <c r="DJG4" s="106"/>
      <c r="DJH4" s="106"/>
      <c r="DJI4" s="106"/>
      <c r="DJJ4" s="106"/>
      <c r="DJK4" s="106"/>
      <c r="DJL4" s="106"/>
      <c r="DJM4" s="106"/>
      <c r="DJN4" s="106"/>
      <c r="DJO4" s="106"/>
      <c r="DJP4" s="106"/>
      <c r="DJQ4" s="106"/>
      <c r="DJR4" s="106"/>
      <c r="DJS4" s="106"/>
      <c r="DJT4" s="106"/>
      <c r="DJU4" s="106"/>
      <c r="DJV4" s="106"/>
      <c r="DJW4" s="106"/>
      <c r="DJX4" s="106"/>
      <c r="DJY4" s="106"/>
      <c r="DJZ4" s="106"/>
      <c r="DKA4" s="106"/>
      <c r="DKB4" s="106"/>
      <c r="DKC4" s="106"/>
      <c r="DKD4" s="106"/>
      <c r="DKE4" s="106"/>
      <c r="DKF4" s="106"/>
      <c r="DKG4" s="106"/>
      <c r="DKH4" s="106"/>
      <c r="DKI4" s="106"/>
      <c r="DKJ4" s="106"/>
      <c r="DKK4" s="106"/>
      <c r="DKL4" s="106"/>
      <c r="DKM4" s="106"/>
      <c r="DKN4" s="106"/>
      <c r="DKO4" s="106"/>
      <c r="DKP4" s="106"/>
      <c r="DKQ4" s="106"/>
      <c r="DKR4" s="106"/>
      <c r="DKS4" s="106"/>
      <c r="DKT4" s="106"/>
      <c r="DKU4" s="106"/>
      <c r="DKV4" s="106"/>
      <c r="DKW4" s="106"/>
      <c r="DKX4" s="106"/>
      <c r="DKY4" s="106"/>
      <c r="DKZ4" s="106"/>
      <c r="DLA4" s="106"/>
      <c r="DLB4" s="106"/>
      <c r="DLC4" s="106"/>
      <c r="DLD4" s="106"/>
      <c r="DLE4" s="106"/>
      <c r="DLF4" s="106"/>
      <c r="DLG4" s="106"/>
      <c r="DLH4" s="106"/>
      <c r="DLI4" s="106"/>
      <c r="DLJ4" s="106"/>
      <c r="DLK4" s="106"/>
      <c r="DLL4" s="106"/>
      <c r="DLM4" s="106"/>
      <c r="DLN4" s="106"/>
      <c r="DLO4" s="106"/>
      <c r="DLP4" s="106"/>
      <c r="DLQ4" s="106"/>
      <c r="DLR4" s="106"/>
      <c r="DLS4" s="106"/>
      <c r="DLT4" s="106"/>
      <c r="DLU4" s="106"/>
      <c r="DLV4" s="106"/>
      <c r="DLW4" s="106"/>
      <c r="DLX4" s="106"/>
      <c r="DLY4" s="106"/>
      <c r="DLZ4" s="106"/>
      <c r="DMA4" s="106"/>
      <c r="DMB4" s="106"/>
      <c r="DMC4" s="106"/>
      <c r="DMD4" s="106"/>
      <c r="DME4" s="106"/>
      <c r="DMF4" s="106"/>
      <c r="DMG4" s="106"/>
      <c r="DMH4" s="106"/>
      <c r="DMI4" s="106"/>
      <c r="DMJ4" s="106"/>
      <c r="DMK4" s="106"/>
      <c r="DML4" s="106"/>
      <c r="DMM4" s="106"/>
      <c r="DMN4" s="106"/>
      <c r="DMO4" s="106"/>
      <c r="DMP4" s="106"/>
      <c r="DMQ4" s="106"/>
      <c r="DMR4" s="106"/>
      <c r="DMS4" s="106"/>
      <c r="DMT4" s="106"/>
      <c r="DMU4" s="106"/>
      <c r="DMV4" s="106"/>
      <c r="DMW4" s="106"/>
      <c r="DMX4" s="106"/>
      <c r="DMY4" s="106"/>
      <c r="DMZ4" s="106"/>
      <c r="DNA4" s="106"/>
      <c r="DNB4" s="106"/>
      <c r="DNC4" s="106"/>
      <c r="DND4" s="106"/>
      <c r="DNE4" s="106"/>
      <c r="DNF4" s="106"/>
      <c r="DNG4" s="106"/>
      <c r="DNH4" s="106"/>
      <c r="DNI4" s="106"/>
      <c r="DNJ4" s="106"/>
      <c r="DNK4" s="106"/>
      <c r="DNL4" s="106"/>
      <c r="DNM4" s="106"/>
      <c r="DNN4" s="106"/>
      <c r="DNO4" s="106"/>
      <c r="DNP4" s="106"/>
      <c r="DNQ4" s="106"/>
      <c r="DNR4" s="106"/>
      <c r="DNS4" s="106"/>
      <c r="DNT4" s="106"/>
      <c r="DNU4" s="106"/>
      <c r="DNV4" s="106"/>
      <c r="DNW4" s="106"/>
      <c r="DNX4" s="106"/>
      <c r="DNY4" s="106"/>
      <c r="DNZ4" s="106"/>
      <c r="DOA4" s="106"/>
      <c r="DOB4" s="106"/>
      <c r="DOC4" s="106"/>
      <c r="DOD4" s="106"/>
      <c r="DOE4" s="106"/>
      <c r="DOF4" s="106"/>
      <c r="DOG4" s="106"/>
      <c r="DOH4" s="106"/>
      <c r="DOI4" s="106"/>
      <c r="DOJ4" s="106"/>
      <c r="DOK4" s="106"/>
      <c r="DOL4" s="106"/>
      <c r="DOM4" s="106"/>
      <c r="DON4" s="106"/>
      <c r="DOO4" s="106"/>
      <c r="DOP4" s="106"/>
      <c r="DOQ4" s="106"/>
      <c r="DOR4" s="106"/>
      <c r="DOS4" s="106"/>
      <c r="DOT4" s="106"/>
      <c r="DOU4" s="106"/>
      <c r="DOV4" s="106"/>
      <c r="DOW4" s="106"/>
      <c r="DOX4" s="106"/>
      <c r="DOY4" s="106"/>
      <c r="DOZ4" s="106"/>
      <c r="DPA4" s="106"/>
      <c r="DPB4" s="106"/>
      <c r="DPC4" s="106"/>
      <c r="DPD4" s="106"/>
      <c r="DPE4" s="106"/>
      <c r="DPF4" s="106"/>
      <c r="DPG4" s="106"/>
      <c r="DPH4" s="106"/>
      <c r="DPI4" s="106"/>
      <c r="DPJ4" s="106"/>
      <c r="DPK4" s="106"/>
      <c r="DPL4" s="106"/>
      <c r="DPM4" s="106"/>
      <c r="DPN4" s="106"/>
      <c r="DPO4" s="106"/>
      <c r="DPP4" s="106"/>
      <c r="DPQ4" s="106"/>
      <c r="DPR4" s="106"/>
      <c r="DPS4" s="106"/>
      <c r="DPT4" s="106"/>
      <c r="DPU4" s="106"/>
      <c r="DPV4" s="106"/>
      <c r="DPW4" s="106"/>
      <c r="DPX4" s="106"/>
      <c r="DPY4" s="106"/>
      <c r="DPZ4" s="106"/>
      <c r="DQA4" s="106"/>
      <c r="DQB4" s="106"/>
      <c r="DQC4" s="106"/>
      <c r="DQD4" s="106"/>
      <c r="DQE4" s="106"/>
      <c r="DQF4" s="106"/>
      <c r="DQG4" s="106"/>
      <c r="DQH4" s="106"/>
      <c r="DQI4" s="106"/>
      <c r="DQJ4" s="106"/>
      <c r="DQK4" s="106"/>
      <c r="DQL4" s="106"/>
      <c r="DQM4" s="106"/>
      <c r="DQN4" s="106"/>
      <c r="DQO4" s="106"/>
      <c r="DQP4" s="106"/>
      <c r="DQQ4" s="106"/>
      <c r="DQR4" s="106"/>
      <c r="DQS4" s="106"/>
      <c r="DQT4" s="106"/>
      <c r="DQU4" s="106"/>
      <c r="DQV4" s="106"/>
      <c r="DQW4" s="106"/>
      <c r="DQX4" s="106"/>
      <c r="DQY4" s="106"/>
      <c r="DQZ4" s="106"/>
      <c r="DRA4" s="106"/>
      <c r="DRB4" s="106"/>
      <c r="DRC4" s="106"/>
      <c r="DRD4" s="106"/>
      <c r="DRE4" s="106"/>
      <c r="DRF4" s="106"/>
      <c r="DRG4" s="106"/>
      <c r="DRH4" s="106"/>
      <c r="DRI4" s="106"/>
      <c r="DRJ4" s="106"/>
      <c r="DRK4" s="106"/>
      <c r="DRL4" s="106"/>
      <c r="DRM4" s="106"/>
      <c r="DRN4" s="106"/>
      <c r="DRO4" s="106"/>
      <c r="DRP4" s="106"/>
      <c r="DRQ4" s="106"/>
      <c r="DRR4" s="106"/>
      <c r="DRS4" s="106"/>
      <c r="DRT4" s="106"/>
      <c r="DRU4" s="106"/>
      <c r="DRV4" s="106"/>
      <c r="DRW4" s="106"/>
      <c r="DRX4" s="106"/>
      <c r="DRY4" s="106"/>
      <c r="DRZ4" s="106"/>
      <c r="DSA4" s="106"/>
      <c r="DSB4" s="106"/>
      <c r="DSC4" s="106"/>
      <c r="DSD4" s="106"/>
      <c r="DSE4" s="106"/>
      <c r="DSF4" s="106"/>
      <c r="DSG4" s="106"/>
      <c r="DSH4" s="106"/>
      <c r="DSI4" s="106"/>
      <c r="DSJ4" s="106"/>
      <c r="DSK4" s="106"/>
      <c r="DSL4" s="106"/>
      <c r="DSM4" s="106"/>
      <c r="DSN4" s="106"/>
      <c r="DSO4" s="106"/>
      <c r="DSP4" s="106"/>
      <c r="DSQ4" s="106"/>
      <c r="DSR4" s="106"/>
      <c r="DSS4" s="106"/>
      <c r="DST4" s="106"/>
      <c r="DSU4" s="106"/>
      <c r="DSV4" s="106"/>
      <c r="DSW4" s="106"/>
      <c r="DSX4" s="106"/>
      <c r="DSY4" s="106"/>
      <c r="DSZ4" s="106"/>
      <c r="DTA4" s="106"/>
      <c r="DTB4" s="106"/>
      <c r="DTC4" s="106"/>
      <c r="DTD4" s="106"/>
      <c r="DTE4" s="106"/>
      <c r="DTF4" s="106"/>
      <c r="DTG4" s="106"/>
      <c r="DTH4" s="106"/>
      <c r="DTI4" s="106"/>
      <c r="DTJ4" s="106"/>
      <c r="DTK4" s="106"/>
      <c r="DTL4" s="106"/>
      <c r="DTM4" s="106"/>
      <c r="DTN4" s="106"/>
      <c r="DTO4" s="106"/>
      <c r="DTP4" s="106"/>
      <c r="DTQ4" s="106"/>
      <c r="DTR4" s="106"/>
      <c r="DTS4" s="106"/>
      <c r="DTT4" s="106"/>
      <c r="DTU4" s="106"/>
      <c r="DTV4" s="106"/>
      <c r="DTW4" s="106"/>
      <c r="DTX4" s="106"/>
      <c r="DTY4" s="106"/>
      <c r="DTZ4" s="106"/>
      <c r="DUA4" s="106"/>
      <c r="DUB4" s="106"/>
      <c r="DUC4" s="106"/>
      <c r="DUD4" s="106"/>
      <c r="DUE4" s="106"/>
      <c r="DUF4" s="106"/>
      <c r="DUG4" s="106"/>
      <c r="DUH4" s="106"/>
      <c r="DUI4" s="106"/>
      <c r="DUJ4" s="106"/>
      <c r="DUK4" s="106"/>
      <c r="DUL4" s="106"/>
      <c r="DUM4" s="106"/>
      <c r="DUN4" s="106"/>
      <c r="DUO4" s="106"/>
      <c r="DUP4" s="106"/>
      <c r="DUQ4" s="106"/>
      <c r="DUR4" s="106"/>
      <c r="DUS4" s="106"/>
      <c r="DUT4" s="106"/>
      <c r="DUU4" s="106"/>
      <c r="DUV4" s="106"/>
      <c r="DUW4" s="106"/>
      <c r="DUX4" s="106"/>
      <c r="DUY4" s="106"/>
      <c r="DUZ4" s="106"/>
      <c r="DVA4" s="106"/>
      <c r="DVB4" s="106"/>
      <c r="DVC4" s="106"/>
      <c r="DVD4" s="106"/>
      <c r="DVE4" s="106"/>
      <c r="DVF4" s="106"/>
      <c r="DVG4" s="106"/>
      <c r="DVH4" s="106"/>
      <c r="DVI4" s="106"/>
      <c r="DVJ4" s="106"/>
      <c r="DVK4" s="106"/>
      <c r="DVL4" s="106"/>
      <c r="DVM4" s="106"/>
      <c r="DVN4" s="106"/>
      <c r="DVO4" s="106"/>
      <c r="DVP4" s="106"/>
      <c r="DVQ4" s="106"/>
      <c r="DVR4" s="106"/>
      <c r="DVS4" s="106"/>
      <c r="DVT4" s="106"/>
      <c r="DVU4" s="106"/>
      <c r="DVV4" s="106"/>
      <c r="DVW4" s="106"/>
      <c r="DVX4" s="106"/>
      <c r="DVY4" s="106"/>
      <c r="DVZ4" s="106"/>
      <c r="DWA4" s="106"/>
      <c r="DWB4" s="106"/>
      <c r="DWC4" s="106"/>
      <c r="DWD4" s="106"/>
      <c r="DWE4" s="106"/>
      <c r="DWF4" s="106"/>
      <c r="DWG4" s="106"/>
      <c r="DWH4" s="106"/>
      <c r="DWI4" s="106"/>
      <c r="DWJ4" s="106"/>
      <c r="DWK4" s="106"/>
      <c r="DWL4" s="106"/>
      <c r="DWM4" s="106"/>
      <c r="DWN4" s="106"/>
      <c r="DWO4" s="106"/>
      <c r="DWP4" s="106"/>
      <c r="DWQ4" s="106"/>
      <c r="DWR4" s="106"/>
      <c r="DWS4" s="106"/>
      <c r="DWT4" s="106"/>
      <c r="DWU4" s="106"/>
      <c r="DWV4" s="106"/>
      <c r="DWW4" s="106"/>
      <c r="DWX4" s="106"/>
      <c r="DWY4" s="106"/>
      <c r="DWZ4" s="106"/>
      <c r="DXA4" s="106"/>
      <c r="DXB4" s="106"/>
      <c r="DXC4" s="106"/>
      <c r="DXD4" s="106"/>
      <c r="DXE4" s="106"/>
      <c r="DXF4" s="106"/>
      <c r="DXG4" s="106"/>
      <c r="DXH4" s="106"/>
      <c r="DXI4" s="106"/>
      <c r="DXJ4" s="106"/>
      <c r="DXK4" s="106"/>
      <c r="DXL4" s="106"/>
      <c r="DXM4" s="106"/>
      <c r="DXN4" s="106"/>
      <c r="DXO4" s="106"/>
      <c r="DXP4" s="106"/>
      <c r="DXQ4" s="106"/>
      <c r="DXR4" s="106"/>
      <c r="DXS4" s="106"/>
      <c r="DXT4" s="106"/>
      <c r="DXU4" s="106"/>
      <c r="DXV4" s="106"/>
      <c r="DXW4" s="106"/>
      <c r="DXX4" s="106"/>
      <c r="DXY4" s="106"/>
      <c r="DXZ4" s="106"/>
      <c r="DYA4" s="106"/>
      <c r="DYB4" s="106"/>
      <c r="DYC4" s="106"/>
      <c r="DYD4" s="106"/>
      <c r="DYE4" s="106"/>
      <c r="DYF4" s="106"/>
      <c r="DYG4" s="106"/>
      <c r="DYH4" s="106"/>
      <c r="DYI4" s="106"/>
      <c r="DYJ4" s="106"/>
      <c r="DYK4" s="106"/>
      <c r="DYL4" s="106"/>
      <c r="DYM4" s="106"/>
      <c r="DYN4" s="106"/>
      <c r="DYO4" s="106"/>
      <c r="DYP4" s="106"/>
      <c r="DYQ4" s="106"/>
      <c r="DYR4" s="106"/>
      <c r="DYS4" s="106"/>
      <c r="DYT4" s="106"/>
      <c r="DYU4" s="106"/>
      <c r="DYV4" s="106"/>
      <c r="DYW4" s="106"/>
      <c r="DYX4" s="106"/>
      <c r="DYY4" s="106"/>
      <c r="DYZ4" s="106"/>
      <c r="DZA4" s="106"/>
      <c r="DZB4" s="106"/>
      <c r="DZC4" s="106"/>
      <c r="DZD4" s="106"/>
      <c r="DZE4" s="106"/>
      <c r="DZF4" s="106"/>
      <c r="DZG4" s="106"/>
      <c r="DZH4" s="106"/>
      <c r="DZI4" s="106"/>
      <c r="DZJ4" s="106"/>
      <c r="DZK4" s="106"/>
      <c r="DZL4" s="106"/>
      <c r="DZM4" s="106"/>
      <c r="DZN4" s="106"/>
      <c r="DZO4" s="106"/>
      <c r="DZP4" s="106"/>
      <c r="DZQ4" s="106"/>
      <c r="DZR4" s="106"/>
      <c r="DZS4" s="106"/>
      <c r="DZT4" s="106"/>
      <c r="DZU4" s="106"/>
      <c r="DZV4" s="106"/>
      <c r="DZW4" s="106"/>
      <c r="DZX4" s="106"/>
      <c r="DZY4" s="106"/>
      <c r="DZZ4" s="106"/>
      <c r="EAA4" s="106"/>
      <c r="EAB4" s="106"/>
      <c r="EAC4" s="106"/>
      <c r="EAD4" s="106"/>
      <c r="EAE4" s="106"/>
      <c r="EAF4" s="106"/>
      <c r="EAG4" s="106"/>
      <c r="EAH4" s="106"/>
      <c r="EAI4" s="106"/>
      <c r="EAJ4" s="106"/>
      <c r="EAK4" s="106"/>
      <c r="EAL4" s="106"/>
      <c r="EAM4" s="106"/>
      <c r="EAN4" s="106"/>
      <c r="EAO4" s="106"/>
      <c r="EAP4" s="106"/>
      <c r="EAQ4" s="106"/>
      <c r="EAR4" s="106"/>
      <c r="EAS4" s="106"/>
      <c r="EAT4" s="106"/>
      <c r="EAU4" s="106"/>
      <c r="EAV4" s="106"/>
      <c r="EAW4" s="106"/>
      <c r="EAX4" s="106"/>
      <c r="EAY4" s="106"/>
      <c r="EAZ4" s="106"/>
      <c r="EBA4" s="106"/>
      <c r="EBB4" s="106"/>
      <c r="EBC4" s="106"/>
      <c r="EBD4" s="106"/>
      <c r="EBE4" s="106"/>
      <c r="EBF4" s="106"/>
      <c r="EBG4" s="106"/>
      <c r="EBH4" s="106"/>
      <c r="EBI4" s="106"/>
      <c r="EBJ4" s="106"/>
      <c r="EBK4" s="106"/>
      <c r="EBL4" s="106"/>
      <c r="EBM4" s="106"/>
      <c r="EBN4" s="106"/>
      <c r="EBO4" s="106"/>
      <c r="EBP4" s="106"/>
      <c r="EBQ4" s="106"/>
      <c r="EBR4" s="106"/>
      <c r="EBS4" s="106"/>
      <c r="EBT4" s="106"/>
      <c r="EBU4" s="106"/>
      <c r="EBV4" s="106"/>
      <c r="EBW4" s="106"/>
      <c r="EBX4" s="106"/>
      <c r="EBY4" s="106"/>
      <c r="EBZ4" s="106"/>
      <c r="ECA4" s="106"/>
      <c r="ECB4" s="106"/>
      <c r="ECC4" s="106"/>
      <c r="ECD4" s="106"/>
      <c r="ECE4" s="106"/>
      <c r="ECF4" s="106"/>
      <c r="ECG4" s="106"/>
      <c r="ECH4" s="106"/>
      <c r="ECI4" s="106"/>
      <c r="ECJ4" s="106"/>
      <c r="ECK4" s="106"/>
      <c r="ECL4" s="106"/>
      <c r="ECM4" s="106"/>
      <c r="ECN4" s="106"/>
      <c r="ECO4" s="106"/>
      <c r="ECP4" s="106"/>
      <c r="ECQ4" s="106"/>
      <c r="ECR4" s="106"/>
      <c r="ECS4" s="106"/>
      <c r="ECT4" s="106"/>
      <c r="ECU4" s="106"/>
      <c r="ECV4" s="106"/>
      <c r="ECW4" s="106"/>
      <c r="ECX4" s="106"/>
      <c r="ECY4" s="106"/>
      <c r="ECZ4" s="106"/>
      <c r="EDA4" s="106"/>
      <c r="EDB4" s="106"/>
      <c r="EDC4" s="106"/>
      <c r="EDD4" s="106"/>
      <c r="EDE4" s="106"/>
      <c r="EDF4" s="106"/>
      <c r="EDG4" s="106"/>
      <c r="EDH4" s="106"/>
      <c r="EDI4" s="106"/>
      <c r="EDJ4" s="106"/>
      <c r="EDK4" s="106"/>
      <c r="EDL4" s="106"/>
      <c r="EDM4" s="106"/>
      <c r="EDN4" s="106"/>
      <c r="EDO4" s="106"/>
      <c r="EDP4" s="106"/>
      <c r="EDQ4" s="106"/>
      <c r="EDR4" s="106"/>
      <c r="EDS4" s="106"/>
      <c r="EDT4" s="106"/>
      <c r="EDU4" s="106"/>
      <c r="EDV4" s="106"/>
      <c r="EDW4" s="106"/>
      <c r="EDX4" s="106"/>
      <c r="EDY4" s="106"/>
      <c r="EDZ4" s="106"/>
      <c r="EEA4" s="106"/>
      <c r="EEB4" s="106"/>
      <c r="EEC4" s="106"/>
      <c r="EED4" s="106"/>
      <c r="EEE4" s="106"/>
      <c r="EEF4" s="106"/>
      <c r="EEG4" s="106"/>
      <c r="EEH4" s="106"/>
      <c r="EEI4" s="106"/>
      <c r="EEJ4" s="106"/>
      <c r="EEK4" s="106"/>
      <c r="EEL4" s="106"/>
      <c r="EEM4" s="106"/>
      <c r="EEN4" s="106"/>
      <c r="EEO4" s="106"/>
      <c r="EEP4" s="106"/>
      <c r="EEQ4" s="106"/>
      <c r="EER4" s="106"/>
      <c r="EES4" s="106"/>
      <c r="EET4" s="106"/>
      <c r="EEU4" s="106"/>
      <c r="EEV4" s="106"/>
      <c r="EEW4" s="106"/>
      <c r="EEX4" s="106"/>
      <c r="EEY4" s="106"/>
      <c r="EEZ4" s="106"/>
      <c r="EFA4" s="106"/>
      <c r="EFB4" s="106"/>
      <c r="EFC4" s="106"/>
      <c r="EFD4" s="106"/>
      <c r="EFE4" s="106"/>
      <c r="EFF4" s="106"/>
      <c r="EFG4" s="106"/>
      <c r="EFH4" s="106"/>
      <c r="EFI4" s="106"/>
      <c r="EFJ4" s="106"/>
      <c r="EFK4" s="106"/>
      <c r="EFL4" s="106"/>
      <c r="EFM4" s="106"/>
      <c r="EFN4" s="106"/>
      <c r="EFO4" s="106"/>
      <c r="EFP4" s="106"/>
      <c r="EFQ4" s="106"/>
      <c r="EFR4" s="106"/>
      <c r="EFS4" s="106"/>
      <c r="EFT4" s="106"/>
      <c r="EFU4" s="106"/>
      <c r="EFV4" s="106"/>
      <c r="EFW4" s="106"/>
      <c r="EFX4" s="106"/>
      <c r="EFY4" s="106"/>
      <c r="EFZ4" s="106"/>
      <c r="EGA4" s="106"/>
      <c r="EGB4" s="106"/>
      <c r="EGC4" s="106"/>
      <c r="EGD4" s="106"/>
      <c r="EGE4" s="106"/>
      <c r="EGF4" s="106"/>
      <c r="EGG4" s="106"/>
      <c r="EGH4" s="106"/>
      <c r="EGI4" s="106"/>
      <c r="EGJ4" s="106"/>
      <c r="EGK4" s="106"/>
      <c r="EGL4" s="106"/>
      <c r="EGM4" s="106"/>
      <c r="EGN4" s="106"/>
      <c r="EGO4" s="106"/>
      <c r="EGP4" s="106"/>
      <c r="EGQ4" s="106"/>
      <c r="EGR4" s="106"/>
      <c r="EGS4" s="106"/>
      <c r="EGT4" s="106"/>
      <c r="EGU4" s="106"/>
      <c r="EGV4" s="106"/>
      <c r="EGW4" s="106"/>
      <c r="EGX4" s="106"/>
      <c r="EGY4" s="106"/>
      <c r="EGZ4" s="106"/>
      <c r="EHA4" s="106"/>
      <c r="EHB4" s="106"/>
      <c r="EHC4" s="106"/>
      <c r="EHD4" s="106"/>
      <c r="EHE4" s="106"/>
      <c r="EHF4" s="106"/>
      <c r="EHG4" s="106"/>
      <c r="EHH4" s="106"/>
      <c r="EHI4" s="106"/>
      <c r="EHJ4" s="106"/>
      <c r="EHK4" s="106"/>
      <c r="EHL4" s="106"/>
      <c r="EHM4" s="106"/>
      <c r="EHN4" s="106"/>
      <c r="EHO4" s="106"/>
      <c r="EHP4" s="106"/>
      <c r="EHQ4" s="106"/>
      <c r="EHR4" s="106"/>
      <c r="EHS4" s="106"/>
      <c r="EHT4" s="106"/>
      <c r="EHU4" s="106"/>
      <c r="EHV4" s="106"/>
      <c r="EHW4" s="106"/>
      <c r="EHX4" s="106"/>
      <c r="EHY4" s="106"/>
      <c r="EHZ4" s="106"/>
      <c r="EIA4" s="106"/>
      <c r="EIB4" s="106"/>
      <c r="EIC4" s="106"/>
      <c r="EID4" s="106"/>
      <c r="EIE4" s="106"/>
      <c r="EIF4" s="106"/>
      <c r="EIG4" s="106"/>
      <c r="EIH4" s="106"/>
      <c r="EII4" s="106"/>
      <c r="EIJ4" s="106"/>
      <c r="EIK4" s="106"/>
      <c r="EIL4" s="106"/>
      <c r="EIM4" s="106"/>
      <c r="EIN4" s="106"/>
      <c r="EIO4" s="106"/>
      <c r="EIP4" s="106"/>
      <c r="EIQ4" s="106"/>
      <c r="EIR4" s="106"/>
      <c r="EIS4" s="106"/>
      <c r="EIT4" s="106"/>
      <c r="EIU4" s="106"/>
      <c r="EIV4" s="106"/>
      <c r="EIW4" s="106"/>
      <c r="EIX4" s="106"/>
      <c r="EIY4" s="106"/>
      <c r="EIZ4" s="106"/>
      <c r="EJA4" s="106"/>
      <c r="EJB4" s="106"/>
      <c r="EJC4" s="106"/>
      <c r="EJD4" s="106"/>
      <c r="EJE4" s="106"/>
      <c r="EJF4" s="106"/>
      <c r="EJG4" s="106"/>
      <c r="EJH4" s="106"/>
      <c r="EJI4" s="106"/>
      <c r="EJJ4" s="106"/>
      <c r="EJK4" s="106"/>
      <c r="EJL4" s="106"/>
      <c r="EJM4" s="106"/>
      <c r="EJN4" s="106"/>
      <c r="EJO4" s="106"/>
      <c r="EJP4" s="106"/>
      <c r="EJQ4" s="106"/>
      <c r="EJR4" s="106"/>
      <c r="EJS4" s="106"/>
      <c r="EJT4" s="106"/>
      <c r="EJU4" s="106"/>
      <c r="EJV4" s="106"/>
      <c r="EJW4" s="106"/>
      <c r="EJX4" s="106"/>
      <c r="EJY4" s="106"/>
      <c r="EJZ4" s="106"/>
      <c r="EKA4" s="106"/>
      <c r="EKB4" s="106"/>
      <c r="EKC4" s="106"/>
      <c r="EKD4" s="106"/>
      <c r="EKE4" s="106"/>
      <c r="EKF4" s="106"/>
      <c r="EKG4" s="106"/>
      <c r="EKH4" s="106"/>
      <c r="EKI4" s="106"/>
      <c r="EKJ4" s="106"/>
      <c r="EKK4" s="106"/>
      <c r="EKL4" s="106"/>
      <c r="EKM4" s="106"/>
      <c r="EKN4" s="106"/>
      <c r="EKO4" s="106"/>
      <c r="EKP4" s="106"/>
      <c r="EKQ4" s="106"/>
      <c r="EKR4" s="106"/>
      <c r="EKS4" s="106"/>
      <c r="EKT4" s="106"/>
      <c r="EKU4" s="106"/>
      <c r="EKV4" s="106"/>
      <c r="EKW4" s="106"/>
      <c r="EKX4" s="106"/>
      <c r="EKY4" s="106"/>
      <c r="EKZ4" s="106"/>
      <c r="ELA4" s="106"/>
      <c r="ELB4" s="106"/>
      <c r="ELC4" s="106"/>
      <c r="ELD4" s="106"/>
      <c r="ELE4" s="106"/>
      <c r="ELF4" s="106"/>
      <c r="ELG4" s="106"/>
      <c r="ELH4" s="106"/>
      <c r="ELI4" s="106"/>
      <c r="ELJ4" s="106"/>
      <c r="ELK4" s="106"/>
      <c r="ELL4" s="106"/>
      <c r="ELM4" s="106"/>
      <c r="ELN4" s="106"/>
      <c r="ELO4" s="106"/>
      <c r="ELP4" s="106"/>
      <c r="ELQ4" s="106"/>
      <c r="ELR4" s="106"/>
      <c r="ELS4" s="106"/>
      <c r="ELT4" s="106"/>
      <c r="ELU4" s="106"/>
      <c r="ELV4" s="106"/>
      <c r="ELW4" s="106"/>
      <c r="ELX4" s="106"/>
      <c r="ELY4" s="106"/>
      <c r="ELZ4" s="106"/>
      <c r="EMA4" s="106"/>
      <c r="EMB4" s="106"/>
      <c r="EMC4" s="106"/>
      <c r="EMD4" s="106"/>
      <c r="EME4" s="106"/>
      <c r="EMF4" s="106"/>
      <c r="EMG4" s="106"/>
      <c r="EMH4" s="106"/>
      <c r="EMI4" s="106"/>
      <c r="EMJ4" s="106"/>
      <c r="EMK4" s="106"/>
      <c r="EML4" s="106"/>
      <c r="EMM4" s="106"/>
      <c r="EMN4" s="106"/>
      <c r="EMO4" s="106"/>
      <c r="EMP4" s="106"/>
      <c r="EMQ4" s="106"/>
      <c r="EMR4" s="106"/>
      <c r="EMS4" s="106"/>
      <c r="EMT4" s="106"/>
      <c r="EMU4" s="106"/>
      <c r="EMV4" s="106"/>
      <c r="EMW4" s="106"/>
      <c r="EMX4" s="106"/>
      <c r="EMY4" s="106"/>
      <c r="EMZ4" s="106"/>
      <c r="ENA4" s="106"/>
      <c r="ENB4" s="106"/>
      <c r="ENC4" s="106"/>
      <c r="END4" s="106"/>
      <c r="ENE4" s="106"/>
      <c r="ENF4" s="106"/>
      <c r="ENG4" s="106"/>
      <c r="ENH4" s="106"/>
      <c r="ENI4" s="106"/>
      <c r="ENJ4" s="106"/>
      <c r="ENK4" s="106"/>
      <c r="ENL4" s="106"/>
      <c r="ENM4" s="106"/>
      <c r="ENN4" s="106"/>
      <c r="ENO4" s="106"/>
      <c r="ENP4" s="106"/>
      <c r="ENQ4" s="106"/>
      <c r="ENR4" s="106"/>
      <c r="ENS4" s="106"/>
      <c r="ENT4" s="106"/>
      <c r="ENU4" s="106"/>
      <c r="ENV4" s="106"/>
      <c r="ENW4" s="106"/>
      <c r="ENX4" s="106"/>
      <c r="ENY4" s="106"/>
      <c r="ENZ4" s="106"/>
      <c r="EOA4" s="106"/>
      <c r="EOB4" s="106"/>
      <c r="EOC4" s="106"/>
      <c r="EOD4" s="106"/>
      <c r="EOE4" s="106"/>
      <c r="EOF4" s="106"/>
      <c r="EOG4" s="106"/>
      <c r="EOH4" s="106"/>
      <c r="EOI4" s="106"/>
      <c r="EOJ4" s="106"/>
      <c r="EOK4" s="106"/>
      <c r="EOL4" s="106"/>
      <c r="EOM4" s="106"/>
      <c r="EON4" s="106"/>
      <c r="EOO4" s="106"/>
      <c r="EOP4" s="106"/>
      <c r="EOQ4" s="106"/>
      <c r="EOR4" s="106"/>
      <c r="EOS4" s="106"/>
      <c r="EOT4" s="106"/>
      <c r="EOU4" s="106"/>
      <c r="EOV4" s="106"/>
      <c r="EOW4" s="106"/>
      <c r="EOX4" s="106"/>
      <c r="EOY4" s="106"/>
      <c r="EOZ4" s="106"/>
      <c r="EPA4" s="106"/>
      <c r="EPB4" s="106"/>
      <c r="EPC4" s="106"/>
      <c r="EPD4" s="106"/>
      <c r="EPE4" s="106"/>
      <c r="EPF4" s="106"/>
      <c r="EPG4" s="106"/>
      <c r="EPH4" s="106"/>
      <c r="EPI4" s="106"/>
      <c r="EPJ4" s="106"/>
      <c r="EPK4" s="106"/>
      <c r="EPL4" s="106"/>
      <c r="EPM4" s="106"/>
      <c r="EPN4" s="106"/>
      <c r="EPO4" s="106"/>
      <c r="EPP4" s="106"/>
      <c r="EPQ4" s="106"/>
      <c r="EPR4" s="106"/>
      <c r="EPS4" s="106"/>
      <c r="EPT4" s="106"/>
      <c r="EPU4" s="106"/>
      <c r="EPV4" s="106"/>
      <c r="EPW4" s="106"/>
      <c r="EPX4" s="106"/>
      <c r="EPY4" s="106"/>
      <c r="EPZ4" s="106"/>
      <c r="EQA4" s="106"/>
      <c r="EQB4" s="106"/>
      <c r="EQC4" s="106"/>
      <c r="EQD4" s="106"/>
      <c r="EQE4" s="106"/>
      <c r="EQF4" s="106"/>
      <c r="EQG4" s="106"/>
      <c r="EQH4" s="106"/>
      <c r="EQI4" s="106"/>
      <c r="EQJ4" s="106"/>
      <c r="EQK4" s="106"/>
      <c r="EQL4" s="106"/>
      <c r="EQM4" s="106"/>
      <c r="EQN4" s="106"/>
      <c r="EQO4" s="106"/>
      <c r="EQP4" s="106"/>
      <c r="EQQ4" s="106"/>
      <c r="EQR4" s="106"/>
      <c r="EQS4" s="106"/>
      <c r="EQT4" s="106"/>
      <c r="EQU4" s="106"/>
      <c r="EQV4" s="106"/>
      <c r="EQW4" s="106"/>
      <c r="EQX4" s="106"/>
      <c r="EQY4" s="106"/>
      <c r="EQZ4" s="106"/>
      <c r="ERA4" s="106"/>
      <c r="ERB4" s="106"/>
      <c r="ERC4" s="106"/>
      <c r="ERD4" s="106"/>
      <c r="ERE4" s="106"/>
      <c r="ERF4" s="106"/>
      <c r="ERG4" s="106"/>
      <c r="ERH4" s="106"/>
      <c r="ERI4" s="106"/>
      <c r="ERJ4" s="106"/>
      <c r="ERK4" s="106"/>
      <c r="ERL4" s="106"/>
      <c r="ERM4" s="106"/>
      <c r="ERN4" s="106"/>
      <c r="ERO4" s="106"/>
      <c r="ERP4" s="106"/>
      <c r="ERQ4" s="106"/>
      <c r="ERR4" s="106"/>
      <c r="ERS4" s="106"/>
      <c r="ERT4" s="106"/>
      <c r="ERU4" s="106"/>
      <c r="ERV4" s="106"/>
      <c r="ERW4" s="106"/>
      <c r="ERX4" s="106"/>
      <c r="ERY4" s="106"/>
      <c r="ERZ4" s="106"/>
      <c r="ESA4" s="106"/>
      <c r="ESB4" s="106"/>
      <c r="ESC4" s="106"/>
      <c r="ESD4" s="106"/>
      <c r="ESE4" s="106"/>
      <c r="ESF4" s="106"/>
      <c r="ESG4" s="106"/>
      <c r="ESH4" s="106"/>
      <c r="ESI4" s="106"/>
      <c r="ESJ4" s="106"/>
      <c r="ESK4" s="106"/>
      <c r="ESL4" s="106"/>
      <c r="ESM4" s="106"/>
      <c r="ESN4" s="106"/>
      <c r="ESO4" s="106"/>
      <c r="ESP4" s="106"/>
      <c r="ESQ4" s="106"/>
      <c r="ESR4" s="106"/>
      <c r="ESS4" s="106"/>
      <c r="EST4" s="106"/>
      <c r="ESU4" s="106"/>
      <c r="ESV4" s="106"/>
      <c r="ESW4" s="106"/>
      <c r="ESX4" s="106"/>
      <c r="ESY4" s="106"/>
      <c r="ESZ4" s="106"/>
      <c r="ETA4" s="106"/>
      <c r="ETB4" s="106"/>
      <c r="ETC4" s="106"/>
      <c r="ETD4" s="106"/>
      <c r="ETE4" s="106"/>
      <c r="ETF4" s="106"/>
      <c r="ETG4" s="106"/>
      <c r="ETH4" s="106"/>
      <c r="ETI4" s="106"/>
      <c r="ETJ4" s="106"/>
      <c r="ETK4" s="106"/>
      <c r="ETL4" s="106"/>
      <c r="ETM4" s="106"/>
      <c r="ETN4" s="106"/>
      <c r="ETO4" s="106"/>
      <c r="ETP4" s="106"/>
      <c r="ETQ4" s="106"/>
      <c r="ETR4" s="106"/>
      <c r="ETS4" s="106"/>
      <c r="ETT4" s="106"/>
      <c r="ETU4" s="106"/>
      <c r="ETV4" s="106"/>
      <c r="ETW4" s="106"/>
      <c r="ETX4" s="106"/>
      <c r="ETY4" s="106"/>
      <c r="ETZ4" s="106"/>
      <c r="EUA4" s="106"/>
      <c r="EUB4" s="106"/>
      <c r="EUC4" s="106"/>
      <c r="EUD4" s="106"/>
      <c r="EUE4" s="106"/>
      <c r="EUF4" s="106"/>
      <c r="EUG4" s="106"/>
      <c r="EUH4" s="106"/>
      <c r="EUI4" s="106"/>
      <c r="EUJ4" s="106"/>
      <c r="EUK4" s="106"/>
      <c r="EUL4" s="106"/>
      <c r="EUM4" s="106"/>
      <c r="EUN4" s="106"/>
      <c r="EUO4" s="106"/>
      <c r="EUP4" s="106"/>
      <c r="EUQ4" s="106"/>
      <c r="EUR4" s="106"/>
      <c r="EUS4" s="106"/>
      <c r="EUT4" s="106"/>
      <c r="EUU4" s="106"/>
      <c r="EUV4" s="106"/>
      <c r="EUW4" s="106"/>
      <c r="EUX4" s="106"/>
      <c r="EUY4" s="106"/>
      <c r="EUZ4" s="106"/>
      <c r="EVA4" s="106"/>
      <c r="EVB4" s="106"/>
      <c r="EVC4" s="106"/>
      <c r="EVD4" s="106"/>
      <c r="EVE4" s="106"/>
      <c r="EVF4" s="106"/>
      <c r="EVG4" s="106"/>
      <c r="EVH4" s="106"/>
      <c r="EVI4" s="106"/>
      <c r="EVJ4" s="106"/>
      <c r="EVK4" s="106"/>
      <c r="EVL4" s="106"/>
      <c r="EVM4" s="106"/>
      <c r="EVN4" s="106"/>
      <c r="EVO4" s="106"/>
      <c r="EVP4" s="106"/>
      <c r="EVQ4" s="106"/>
      <c r="EVR4" s="106"/>
      <c r="EVS4" s="106"/>
      <c r="EVT4" s="106"/>
      <c r="EVU4" s="106"/>
      <c r="EVV4" s="106"/>
      <c r="EVW4" s="106"/>
      <c r="EVX4" s="106"/>
      <c r="EVY4" s="106"/>
      <c r="EVZ4" s="106"/>
      <c r="EWA4" s="106"/>
      <c r="EWB4" s="106"/>
      <c r="EWC4" s="106"/>
      <c r="EWD4" s="106"/>
      <c r="EWE4" s="106"/>
      <c r="EWF4" s="106"/>
      <c r="EWG4" s="106"/>
      <c r="EWH4" s="106"/>
      <c r="EWI4" s="106"/>
      <c r="EWJ4" s="106"/>
      <c r="EWK4" s="106"/>
      <c r="EWL4" s="106"/>
      <c r="EWM4" s="106"/>
      <c r="EWN4" s="106"/>
      <c r="EWO4" s="106"/>
      <c r="EWP4" s="106"/>
      <c r="EWQ4" s="106"/>
      <c r="EWR4" s="106"/>
      <c r="EWS4" s="106"/>
      <c r="EWT4" s="106"/>
      <c r="EWU4" s="106"/>
      <c r="EWV4" s="106"/>
      <c r="EWW4" s="106"/>
      <c r="EWX4" s="106"/>
      <c r="EWY4" s="106"/>
      <c r="EWZ4" s="106"/>
      <c r="EXA4" s="106"/>
      <c r="EXB4" s="106"/>
      <c r="EXC4" s="106"/>
      <c r="EXD4" s="106"/>
      <c r="EXE4" s="106"/>
      <c r="EXF4" s="106"/>
      <c r="EXG4" s="106"/>
      <c r="EXH4" s="106"/>
      <c r="EXI4" s="106"/>
      <c r="EXJ4" s="106"/>
      <c r="EXK4" s="106"/>
      <c r="EXL4" s="106"/>
      <c r="EXM4" s="106"/>
      <c r="EXN4" s="106"/>
      <c r="EXO4" s="106"/>
      <c r="EXP4" s="106"/>
      <c r="EXQ4" s="106"/>
      <c r="EXR4" s="106"/>
      <c r="EXS4" s="106"/>
      <c r="EXT4" s="106"/>
      <c r="EXU4" s="106"/>
      <c r="EXV4" s="106"/>
      <c r="EXW4" s="106"/>
      <c r="EXX4" s="106"/>
      <c r="EXY4" s="106"/>
      <c r="EXZ4" s="106"/>
      <c r="EYA4" s="106"/>
      <c r="EYB4" s="106"/>
      <c r="EYC4" s="106"/>
      <c r="EYD4" s="106"/>
      <c r="EYE4" s="106"/>
      <c r="EYF4" s="106"/>
      <c r="EYG4" s="106"/>
      <c r="EYH4" s="106"/>
      <c r="EYI4" s="106"/>
      <c r="EYJ4" s="106"/>
      <c r="EYK4" s="106"/>
      <c r="EYL4" s="106"/>
      <c r="EYM4" s="106"/>
      <c r="EYN4" s="106"/>
      <c r="EYO4" s="106"/>
      <c r="EYP4" s="106"/>
      <c r="EYQ4" s="106"/>
      <c r="EYR4" s="106"/>
      <c r="EYS4" s="106"/>
      <c r="EYT4" s="106"/>
      <c r="EYU4" s="106"/>
      <c r="EYV4" s="106"/>
      <c r="EYW4" s="106"/>
      <c r="EYX4" s="106"/>
      <c r="EYY4" s="106"/>
      <c r="EYZ4" s="106"/>
      <c r="EZA4" s="106"/>
      <c r="EZB4" s="106"/>
      <c r="EZC4" s="106"/>
      <c r="EZD4" s="106"/>
      <c r="EZE4" s="106"/>
      <c r="EZF4" s="106"/>
      <c r="EZG4" s="106"/>
      <c r="EZH4" s="106"/>
      <c r="EZI4" s="106"/>
      <c r="EZJ4" s="106"/>
      <c r="EZK4" s="106"/>
      <c r="EZL4" s="106"/>
      <c r="EZM4" s="106"/>
      <c r="EZN4" s="106"/>
      <c r="EZO4" s="106"/>
      <c r="EZP4" s="106"/>
      <c r="EZQ4" s="106"/>
      <c r="EZR4" s="106"/>
      <c r="EZS4" s="106"/>
      <c r="EZT4" s="106"/>
      <c r="EZU4" s="106"/>
      <c r="EZV4" s="106"/>
      <c r="EZW4" s="106"/>
      <c r="EZX4" s="106"/>
      <c r="EZY4" s="106"/>
      <c r="EZZ4" s="106"/>
      <c r="FAA4" s="106"/>
      <c r="FAB4" s="106"/>
      <c r="FAC4" s="106"/>
      <c r="FAD4" s="106"/>
      <c r="FAE4" s="106"/>
      <c r="FAF4" s="106"/>
      <c r="FAG4" s="106"/>
      <c r="FAH4" s="106"/>
      <c r="FAI4" s="106"/>
      <c r="FAJ4" s="106"/>
      <c r="FAK4" s="106"/>
      <c r="FAL4" s="106"/>
      <c r="FAM4" s="106"/>
      <c r="FAN4" s="106"/>
      <c r="FAO4" s="106"/>
      <c r="FAP4" s="106"/>
      <c r="FAQ4" s="106"/>
      <c r="FAR4" s="106"/>
      <c r="FAS4" s="106"/>
      <c r="FAT4" s="106"/>
      <c r="FAU4" s="106"/>
      <c r="FAV4" s="106"/>
      <c r="FAW4" s="106"/>
      <c r="FAX4" s="106"/>
      <c r="FAY4" s="106"/>
      <c r="FAZ4" s="106"/>
      <c r="FBA4" s="106"/>
      <c r="FBB4" s="106"/>
      <c r="FBC4" s="106"/>
      <c r="FBD4" s="106"/>
      <c r="FBE4" s="106"/>
      <c r="FBF4" s="106"/>
      <c r="FBG4" s="106"/>
      <c r="FBH4" s="106"/>
      <c r="FBI4" s="106"/>
      <c r="FBJ4" s="106"/>
      <c r="FBK4" s="106"/>
      <c r="FBL4" s="106"/>
      <c r="FBM4" s="106"/>
      <c r="FBN4" s="106"/>
      <c r="FBO4" s="106"/>
      <c r="FBP4" s="106"/>
      <c r="FBQ4" s="106"/>
      <c r="FBR4" s="106"/>
      <c r="FBS4" s="106"/>
      <c r="FBT4" s="106"/>
      <c r="FBU4" s="106"/>
      <c r="FBV4" s="106"/>
      <c r="FBW4" s="106"/>
      <c r="FBX4" s="106"/>
      <c r="FBY4" s="106"/>
      <c r="FBZ4" s="106"/>
      <c r="FCA4" s="106"/>
      <c r="FCB4" s="106"/>
      <c r="FCC4" s="106"/>
      <c r="FCD4" s="106"/>
      <c r="FCE4" s="106"/>
      <c r="FCF4" s="106"/>
      <c r="FCG4" s="106"/>
      <c r="FCH4" s="106"/>
      <c r="FCI4" s="106"/>
      <c r="FCJ4" s="106"/>
      <c r="FCK4" s="106"/>
      <c r="FCL4" s="106"/>
      <c r="FCM4" s="106"/>
      <c r="FCN4" s="106"/>
      <c r="FCO4" s="106"/>
      <c r="FCP4" s="106"/>
      <c r="FCQ4" s="106"/>
      <c r="FCR4" s="106"/>
      <c r="FCS4" s="106"/>
      <c r="FCT4" s="106"/>
      <c r="FCU4" s="106"/>
      <c r="FCV4" s="106"/>
      <c r="FCW4" s="106"/>
      <c r="FCX4" s="106"/>
      <c r="FCY4" s="106"/>
      <c r="FCZ4" s="106"/>
      <c r="FDA4" s="106"/>
      <c r="FDB4" s="106"/>
      <c r="FDC4" s="106"/>
      <c r="FDD4" s="106"/>
      <c r="FDE4" s="106"/>
      <c r="FDF4" s="106"/>
      <c r="FDG4" s="106"/>
      <c r="FDH4" s="106"/>
      <c r="FDI4" s="106"/>
      <c r="FDJ4" s="106"/>
      <c r="FDK4" s="106"/>
      <c r="FDL4" s="106"/>
      <c r="FDM4" s="106"/>
      <c r="FDN4" s="106"/>
      <c r="FDO4" s="106"/>
      <c r="FDP4" s="106"/>
      <c r="FDQ4" s="106"/>
      <c r="FDR4" s="106"/>
      <c r="FDS4" s="106"/>
      <c r="FDT4" s="106"/>
      <c r="FDU4" s="106"/>
      <c r="FDV4" s="106"/>
      <c r="FDW4" s="106"/>
      <c r="FDX4" s="106"/>
      <c r="FDY4" s="106"/>
      <c r="FDZ4" s="106"/>
      <c r="FEA4" s="106"/>
      <c r="FEB4" s="106"/>
      <c r="FEC4" s="106"/>
      <c r="FED4" s="106"/>
      <c r="FEE4" s="106"/>
      <c r="FEF4" s="106"/>
      <c r="FEG4" s="106"/>
      <c r="FEH4" s="106"/>
      <c r="FEI4" s="106"/>
      <c r="FEJ4" s="106"/>
      <c r="FEK4" s="106"/>
      <c r="FEL4" s="106"/>
      <c r="FEM4" s="106"/>
      <c r="FEN4" s="106"/>
      <c r="FEO4" s="106"/>
      <c r="FEP4" s="106"/>
      <c r="FEQ4" s="106"/>
      <c r="FER4" s="106"/>
      <c r="FES4" s="106"/>
      <c r="FET4" s="106"/>
      <c r="FEU4" s="106"/>
      <c r="FEV4" s="106"/>
      <c r="FEW4" s="106"/>
      <c r="FEX4" s="106"/>
      <c r="FEY4" s="106"/>
      <c r="FEZ4" s="106"/>
      <c r="FFA4" s="106"/>
      <c r="FFB4" s="106"/>
      <c r="FFC4" s="106"/>
      <c r="FFD4" s="106"/>
      <c r="FFE4" s="106"/>
      <c r="FFF4" s="106"/>
      <c r="FFG4" s="106"/>
      <c r="FFH4" s="106"/>
      <c r="FFI4" s="106"/>
      <c r="FFJ4" s="106"/>
      <c r="FFK4" s="106"/>
      <c r="FFL4" s="106"/>
      <c r="FFM4" s="106"/>
      <c r="FFN4" s="106"/>
      <c r="FFO4" s="106"/>
      <c r="FFP4" s="106"/>
      <c r="FFQ4" s="106"/>
      <c r="FFR4" s="106"/>
      <c r="FFS4" s="106"/>
      <c r="FFT4" s="106"/>
      <c r="FFU4" s="106"/>
      <c r="FFV4" s="106"/>
      <c r="FFW4" s="106"/>
      <c r="FFX4" s="106"/>
      <c r="FFY4" s="106"/>
      <c r="FFZ4" s="106"/>
      <c r="FGA4" s="106"/>
      <c r="FGB4" s="106"/>
      <c r="FGC4" s="106"/>
      <c r="FGD4" s="106"/>
      <c r="FGE4" s="106"/>
      <c r="FGF4" s="106"/>
      <c r="FGG4" s="106"/>
      <c r="FGH4" s="106"/>
      <c r="FGI4" s="106"/>
      <c r="FGJ4" s="106"/>
      <c r="FGK4" s="106"/>
      <c r="FGL4" s="106"/>
      <c r="FGM4" s="106"/>
      <c r="FGN4" s="106"/>
      <c r="FGO4" s="106"/>
      <c r="FGP4" s="106"/>
      <c r="FGQ4" s="106"/>
      <c r="FGR4" s="106"/>
      <c r="FGS4" s="106"/>
      <c r="FGT4" s="106"/>
      <c r="FGU4" s="106"/>
      <c r="FGV4" s="106"/>
      <c r="FGW4" s="106"/>
      <c r="FGX4" s="106"/>
      <c r="FGY4" s="106"/>
      <c r="FGZ4" s="106"/>
      <c r="FHA4" s="106"/>
      <c r="FHB4" s="106"/>
      <c r="FHC4" s="106"/>
      <c r="FHD4" s="106"/>
      <c r="FHE4" s="106"/>
      <c r="FHF4" s="106"/>
      <c r="FHG4" s="106"/>
      <c r="FHH4" s="106"/>
      <c r="FHI4" s="106"/>
      <c r="FHJ4" s="106"/>
      <c r="FHK4" s="106"/>
      <c r="FHL4" s="106"/>
      <c r="FHM4" s="106"/>
      <c r="FHN4" s="106"/>
      <c r="FHO4" s="106"/>
      <c r="FHP4" s="106"/>
      <c r="FHQ4" s="106"/>
      <c r="FHR4" s="106"/>
      <c r="FHS4" s="106"/>
      <c r="FHT4" s="106"/>
      <c r="FHU4" s="106"/>
      <c r="FHV4" s="106"/>
      <c r="FHW4" s="106"/>
      <c r="FHX4" s="106"/>
      <c r="FHY4" s="106"/>
      <c r="FHZ4" s="106"/>
      <c r="FIA4" s="106"/>
      <c r="FIB4" s="106"/>
      <c r="FIC4" s="106"/>
      <c r="FID4" s="106"/>
      <c r="FIE4" s="106"/>
      <c r="FIF4" s="106"/>
      <c r="FIG4" s="106"/>
      <c r="FIH4" s="106"/>
      <c r="FII4" s="106"/>
      <c r="FIJ4" s="106"/>
      <c r="FIK4" s="106"/>
      <c r="FIL4" s="106"/>
      <c r="FIM4" s="106"/>
      <c r="FIN4" s="106"/>
      <c r="FIO4" s="106"/>
      <c r="FIP4" s="106"/>
      <c r="FIQ4" s="106"/>
      <c r="FIR4" s="106"/>
      <c r="FIS4" s="106"/>
      <c r="FIT4" s="106"/>
      <c r="FIU4" s="106"/>
      <c r="FIV4" s="106"/>
      <c r="FIW4" s="106"/>
      <c r="FIX4" s="106"/>
      <c r="FIY4" s="106"/>
      <c r="FIZ4" s="106"/>
      <c r="FJA4" s="106"/>
      <c r="FJB4" s="106"/>
      <c r="FJC4" s="106"/>
      <c r="FJD4" s="106"/>
      <c r="FJE4" s="106"/>
      <c r="FJF4" s="106"/>
      <c r="FJG4" s="106"/>
      <c r="FJH4" s="106"/>
      <c r="FJI4" s="106"/>
      <c r="FJJ4" s="106"/>
      <c r="FJK4" s="106"/>
      <c r="FJL4" s="106"/>
      <c r="FJM4" s="106"/>
      <c r="FJN4" s="106"/>
      <c r="FJO4" s="106"/>
      <c r="FJP4" s="106"/>
      <c r="FJQ4" s="106"/>
      <c r="FJR4" s="106"/>
      <c r="FJS4" s="106"/>
      <c r="FJT4" s="106"/>
      <c r="FJU4" s="106"/>
      <c r="FJV4" s="106"/>
      <c r="FJW4" s="106"/>
      <c r="FJX4" s="106"/>
      <c r="FJY4" s="106"/>
      <c r="FJZ4" s="106"/>
      <c r="FKA4" s="106"/>
      <c r="FKB4" s="106"/>
      <c r="FKC4" s="106"/>
      <c r="FKD4" s="106"/>
      <c r="FKE4" s="106"/>
      <c r="FKF4" s="106"/>
      <c r="FKG4" s="106"/>
      <c r="FKH4" s="106"/>
      <c r="FKI4" s="106"/>
      <c r="FKJ4" s="106"/>
      <c r="FKK4" s="106"/>
      <c r="FKL4" s="106"/>
      <c r="FKM4" s="106"/>
      <c r="FKN4" s="106"/>
      <c r="FKO4" s="106"/>
      <c r="FKP4" s="106"/>
      <c r="FKQ4" s="106"/>
      <c r="FKR4" s="106"/>
      <c r="FKS4" s="106"/>
      <c r="FKT4" s="106"/>
      <c r="FKU4" s="106"/>
      <c r="FKV4" s="106"/>
      <c r="FKW4" s="106"/>
      <c r="FKX4" s="106"/>
      <c r="FKY4" s="106"/>
      <c r="FKZ4" s="106"/>
      <c r="FLA4" s="106"/>
      <c r="FLB4" s="106"/>
      <c r="FLC4" s="106"/>
      <c r="FLD4" s="106"/>
      <c r="FLE4" s="106"/>
      <c r="FLF4" s="106"/>
      <c r="FLG4" s="106"/>
      <c r="FLH4" s="106"/>
      <c r="FLI4" s="106"/>
      <c r="FLJ4" s="106"/>
      <c r="FLK4" s="106"/>
      <c r="FLL4" s="106"/>
      <c r="FLM4" s="106"/>
      <c r="FLN4" s="106"/>
      <c r="FLO4" s="106"/>
      <c r="FLP4" s="106"/>
      <c r="FLQ4" s="106"/>
      <c r="FLR4" s="106"/>
      <c r="FLS4" s="106"/>
      <c r="FLT4" s="106"/>
      <c r="FLU4" s="106"/>
      <c r="FLV4" s="106"/>
      <c r="FLW4" s="106"/>
      <c r="FLX4" s="106"/>
      <c r="FLY4" s="106"/>
      <c r="FLZ4" s="106"/>
      <c r="FMA4" s="106"/>
      <c r="FMB4" s="106"/>
      <c r="FMC4" s="106"/>
      <c r="FMD4" s="106"/>
      <c r="FME4" s="106"/>
      <c r="FMF4" s="106"/>
      <c r="FMG4" s="106"/>
      <c r="FMH4" s="106"/>
      <c r="FMI4" s="106"/>
      <c r="FMJ4" s="106"/>
      <c r="FMK4" s="106"/>
      <c r="FML4" s="106"/>
      <c r="FMM4" s="106"/>
      <c r="FMN4" s="106"/>
      <c r="FMO4" s="106"/>
      <c r="FMP4" s="106"/>
      <c r="FMQ4" s="106"/>
      <c r="FMR4" s="106"/>
      <c r="FMS4" s="106"/>
      <c r="FMT4" s="106"/>
      <c r="FMU4" s="106"/>
      <c r="FMV4" s="106"/>
      <c r="FMW4" s="106"/>
      <c r="FMX4" s="106"/>
      <c r="FMY4" s="106"/>
      <c r="FMZ4" s="106"/>
      <c r="FNA4" s="106"/>
      <c r="FNB4" s="106"/>
      <c r="FNC4" s="106"/>
      <c r="FND4" s="106"/>
      <c r="FNE4" s="106"/>
      <c r="FNF4" s="106"/>
      <c r="FNG4" s="106"/>
      <c r="FNH4" s="106"/>
      <c r="FNI4" s="106"/>
      <c r="FNJ4" s="106"/>
      <c r="FNK4" s="106"/>
      <c r="FNL4" s="106"/>
      <c r="FNM4" s="106"/>
      <c r="FNN4" s="106"/>
      <c r="FNO4" s="106"/>
      <c r="FNP4" s="106"/>
      <c r="FNQ4" s="106"/>
      <c r="FNR4" s="106"/>
      <c r="FNS4" s="106"/>
      <c r="FNT4" s="106"/>
      <c r="FNU4" s="106"/>
      <c r="FNV4" s="106"/>
      <c r="FNW4" s="106"/>
      <c r="FNX4" s="106"/>
      <c r="FNY4" s="106"/>
      <c r="FNZ4" s="106"/>
      <c r="FOA4" s="106"/>
      <c r="FOB4" s="106"/>
      <c r="FOC4" s="106"/>
      <c r="FOD4" s="106"/>
      <c r="FOE4" s="106"/>
      <c r="FOF4" s="106"/>
      <c r="FOG4" s="106"/>
      <c r="FOH4" s="106"/>
      <c r="FOI4" s="106"/>
      <c r="FOJ4" s="106"/>
      <c r="FOK4" s="106"/>
      <c r="FOL4" s="106"/>
      <c r="FOM4" s="106"/>
      <c r="FON4" s="106"/>
      <c r="FOO4" s="106"/>
      <c r="FOP4" s="106"/>
      <c r="FOQ4" s="106"/>
      <c r="FOR4" s="106"/>
      <c r="FOS4" s="106"/>
      <c r="FOT4" s="106"/>
      <c r="FOU4" s="106"/>
      <c r="FOV4" s="106"/>
      <c r="FOW4" s="106"/>
      <c r="FOX4" s="106"/>
      <c r="FOY4" s="106"/>
      <c r="FOZ4" s="106"/>
      <c r="FPA4" s="106"/>
      <c r="FPB4" s="106"/>
      <c r="FPC4" s="106"/>
      <c r="FPD4" s="106"/>
      <c r="FPE4" s="106"/>
      <c r="FPF4" s="106"/>
      <c r="FPG4" s="106"/>
      <c r="FPH4" s="106"/>
      <c r="FPI4" s="106"/>
      <c r="FPJ4" s="106"/>
      <c r="FPK4" s="106"/>
      <c r="FPL4" s="106"/>
      <c r="FPM4" s="106"/>
      <c r="FPN4" s="106"/>
      <c r="FPO4" s="106"/>
      <c r="FPP4" s="106"/>
      <c r="FPQ4" s="106"/>
      <c r="FPR4" s="106"/>
      <c r="FPS4" s="106"/>
      <c r="FPT4" s="106"/>
      <c r="FPU4" s="106"/>
      <c r="FPV4" s="106"/>
      <c r="FPW4" s="106"/>
      <c r="FPX4" s="106"/>
      <c r="FPY4" s="106"/>
      <c r="FPZ4" s="106"/>
      <c r="FQA4" s="106"/>
      <c r="FQB4" s="106"/>
      <c r="FQC4" s="106"/>
      <c r="FQD4" s="106"/>
      <c r="FQE4" s="106"/>
      <c r="FQF4" s="106"/>
      <c r="FQG4" s="106"/>
      <c r="FQH4" s="106"/>
      <c r="FQI4" s="106"/>
      <c r="FQJ4" s="106"/>
      <c r="FQK4" s="106"/>
      <c r="FQL4" s="106"/>
      <c r="FQM4" s="106"/>
      <c r="FQN4" s="106"/>
      <c r="FQO4" s="106"/>
      <c r="FQP4" s="106"/>
      <c r="FQQ4" s="106"/>
      <c r="FQR4" s="106"/>
      <c r="FQS4" s="106"/>
      <c r="FQT4" s="106"/>
      <c r="FQU4" s="106"/>
      <c r="FQV4" s="106"/>
      <c r="FQW4" s="106"/>
      <c r="FQX4" s="106"/>
      <c r="FQY4" s="106"/>
      <c r="FQZ4" s="106"/>
      <c r="FRA4" s="106"/>
      <c r="FRB4" s="106"/>
      <c r="FRC4" s="106"/>
      <c r="FRD4" s="106"/>
      <c r="FRE4" s="106"/>
      <c r="FRF4" s="106"/>
      <c r="FRG4" s="106"/>
      <c r="FRH4" s="106"/>
      <c r="FRI4" s="106"/>
      <c r="FRJ4" s="106"/>
      <c r="FRK4" s="106"/>
      <c r="FRL4" s="106"/>
      <c r="FRM4" s="106"/>
      <c r="FRN4" s="106"/>
      <c r="FRO4" s="106"/>
      <c r="FRP4" s="106"/>
      <c r="FRQ4" s="106"/>
      <c r="FRR4" s="106"/>
      <c r="FRS4" s="106"/>
      <c r="FRT4" s="106"/>
      <c r="FRU4" s="106"/>
      <c r="FRV4" s="106"/>
      <c r="FRW4" s="106"/>
      <c r="FRX4" s="106"/>
      <c r="FRY4" s="106"/>
      <c r="FRZ4" s="106"/>
      <c r="FSA4" s="106"/>
      <c r="FSB4" s="106"/>
      <c r="FSC4" s="106"/>
      <c r="FSD4" s="106"/>
      <c r="FSE4" s="106"/>
      <c r="FSF4" s="106"/>
      <c r="FSG4" s="106"/>
      <c r="FSH4" s="106"/>
      <c r="FSI4" s="106"/>
      <c r="FSJ4" s="106"/>
      <c r="FSK4" s="106"/>
      <c r="FSL4" s="106"/>
      <c r="FSM4" s="106"/>
      <c r="FSN4" s="106"/>
      <c r="FSO4" s="106"/>
      <c r="FSP4" s="106"/>
      <c r="FSQ4" s="106"/>
      <c r="FSR4" s="106"/>
      <c r="FSS4" s="106"/>
      <c r="FST4" s="106"/>
      <c r="FSU4" s="106"/>
      <c r="FSV4" s="106"/>
      <c r="FSW4" s="106"/>
      <c r="FSX4" s="106"/>
      <c r="FSY4" s="106"/>
      <c r="FSZ4" s="106"/>
      <c r="FTA4" s="106"/>
      <c r="FTB4" s="106"/>
      <c r="FTC4" s="106"/>
      <c r="FTD4" s="106"/>
      <c r="FTE4" s="106"/>
      <c r="FTF4" s="106"/>
      <c r="FTG4" s="106"/>
      <c r="FTH4" s="106"/>
      <c r="FTI4" s="106"/>
      <c r="FTJ4" s="106"/>
      <c r="FTK4" s="106"/>
      <c r="FTL4" s="106"/>
      <c r="FTM4" s="106"/>
      <c r="FTN4" s="106"/>
      <c r="FTO4" s="106"/>
      <c r="FTP4" s="106"/>
      <c r="FTQ4" s="106"/>
      <c r="FTR4" s="106"/>
      <c r="FTS4" s="106"/>
      <c r="FTT4" s="106"/>
      <c r="FTU4" s="106"/>
      <c r="FTV4" s="106"/>
      <c r="FTW4" s="106"/>
      <c r="FTX4" s="106"/>
      <c r="FTY4" s="106"/>
      <c r="FTZ4" s="106"/>
      <c r="FUA4" s="106"/>
      <c r="FUB4" s="106"/>
      <c r="FUC4" s="106"/>
      <c r="FUD4" s="106"/>
      <c r="FUE4" s="106"/>
      <c r="FUF4" s="106"/>
      <c r="FUG4" s="106"/>
      <c r="FUH4" s="106"/>
      <c r="FUI4" s="106"/>
      <c r="FUJ4" s="106"/>
      <c r="FUK4" s="106"/>
      <c r="FUL4" s="106"/>
      <c r="FUM4" s="106"/>
      <c r="FUN4" s="106"/>
      <c r="FUO4" s="106"/>
      <c r="FUP4" s="106"/>
      <c r="FUQ4" s="106"/>
      <c r="FUR4" s="106"/>
      <c r="FUS4" s="106"/>
      <c r="FUT4" s="106"/>
      <c r="FUU4" s="106"/>
      <c r="FUV4" s="106"/>
      <c r="FUW4" s="106"/>
      <c r="FUX4" s="106"/>
      <c r="FUY4" s="106"/>
      <c r="FUZ4" s="106"/>
      <c r="FVA4" s="106"/>
      <c r="FVB4" s="106"/>
      <c r="FVC4" s="106"/>
      <c r="FVD4" s="106"/>
      <c r="FVE4" s="106"/>
      <c r="FVF4" s="106"/>
      <c r="FVG4" s="106"/>
      <c r="FVH4" s="106"/>
      <c r="FVI4" s="106"/>
      <c r="FVJ4" s="106"/>
      <c r="FVK4" s="106"/>
      <c r="FVL4" s="106"/>
      <c r="FVM4" s="106"/>
      <c r="FVN4" s="106"/>
      <c r="FVO4" s="106"/>
      <c r="FVP4" s="106"/>
      <c r="FVQ4" s="106"/>
      <c r="FVR4" s="106"/>
      <c r="FVS4" s="106"/>
      <c r="FVT4" s="106"/>
      <c r="FVU4" s="106"/>
      <c r="FVV4" s="106"/>
      <c r="FVW4" s="106"/>
      <c r="FVX4" s="106"/>
      <c r="FVY4" s="106"/>
      <c r="FVZ4" s="106"/>
      <c r="FWA4" s="106"/>
      <c r="FWB4" s="106"/>
      <c r="FWC4" s="106"/>
      <c r="FWD4" s="106"/>
      <c r="FWE4" s="106"/>
      <c r="FWF4" s="106"/>
      <c r="FWG4" s="106"/>
      <c r="FWH4" s="106"/>
      <c r="FWI4" s="106"/>
      <c r="FWJ4" s="106"/>
      <c r="FWK4" s="106"/>
      <c r="FWL4" s="106"/>
      <c r="FWM4" s="106"/>
      <c r="FWN4" s="106"/>
      <c r="FWO4" s="106"/>
      <c r="FWP4" s="106"/>
      <c r="FWQ4" s="106"/>
      <c r="FWR4" s="106"/>
      <c r="FWS4" s="106"/>
      <c r="FWT4" s="106"/>
      <c r="FWU4" s="106"/>
      <c r="FWV4" s="106"/>
      <c r="FWW4" s="106"/>
      <c r="FWX4" s="106"/>
      <c r="FWY4" s="106"/>
      <c r="FWZ4" s="106"/>
      <c r="FXA4" s="106"/>
      <c r="FXB4" s="106"/>
      <c r="FXC4" s="106"/>
      <c r="FXD4" s="106"/>
      <c r="FXE4" s="106"/>
      <c r="FXF4" s="106"/>
      <c r="FXG4" s="106"/>
      <c r="FXH4" s="106"/>
      <c r="FXI4" s="106"/>
      <c r="FXJ4" s="106"/>
      <c r="FXK4" s="106"/>
      <c r="FXL4" s="106"/>
      <c r="FXM4" s="106"/>
      <c r="FXN4" s="106"/>
      <c r="FXO4" s="106"/>
      <c r="FXP4" s="106"/>
      <c r="FXQ4" s="106"/>
      <c r="FXR4" s="106"/>
      <c r="FXS4" s="106"/>
      <c r="FXT4" s="106"/>
      <c r="FXU4" s="106"/>
      <c r="FXV4" s="106"/>
      <c r="FXW4" s="106"/>
      <c r="FXX4" s="106"/>
      <c r="FXY4" s="106"/>
      <c r="FXZ4" s="106"/>
      <c r="FYA4" s="106"/>
      <c r="FYB4" s="106"/>
      <c r="FYC4" s="106"/>
      <c r="FYD4" s="106"/>
      <c r="FYE4" s="106"/>
      <c r="FYF4" s="106"/>
      <c r="FYG4" s="106"/>
      <c r="FYH4" s="106"/>
      <c r="FYI4" s="106"/>
      <c r="FYJ4" s="106"/>
      <c r="FYK4" s="106"/>
      <c r="FYL4" s="106"/>
      <c r="FYM4" s="106"/>
      <c r="FYN4" s="106"/>
      <c r="FYO4" s="106"/>
      <c r="FYP4" s="106"/>
      <c r="FYQ4" s="106"/>
      <c r="FYR4" s="106"/>
      <c r="FYS4" s="106"/>
      <c r="FYT4" s="106"/>
      <c r="FYU4" s="106"/>
      <c r="FYV4" s="106"/>
      <c r="FYW4" s="106"/>
      <c r="FYX4" s="106"/>
      <c r="FYY4" s="106"/>
      <c r="FYZ4" s="106"/>
      <c r="FZA4" s="106"/>
      <c r="FZB4" s="106"/>
      <c r="FZC4" s="106"/>
      <c r="FZD4" s="106"/>
      <c r="FZE4" s="106"/>
      <c r="FZF4" s="106"/>
      <c r="FZG4" s="106"/>
      <c r="FZH4" s="106"/>
      <c r="FZI4" s="106"/>
      <c r="FZJ4" s="106"/>
      <c r="FZK4" s="106"/>
      <c r="FZL4" s="106"/>
      <c r="FZM4" s="106"/>
      <c r="FZN4" s="106"/>
      <c r="FZO4" s="106"/>
      <c r="FZP4" s="106"/>
      <c r="FZQ4" s="106"/>
      <c r="FZR4" s="106"/>
      <c r="FZS4" s="106"/>
      <c r="FZT4" s="106"/>
      <c r="FZU4" s="106"/>
      <c r="FZV4" s="106"/>
      <c r="FZW4" s="106"/>
      <c r="FZX4" s="106"/>
      <c r="FZY4" s="106"/>
      <c r="FZZ4" s="106"/>
      <c r="GAA4" s="106"/>
      <c r="GAB4" s="106"/>
      <c r="GAC4" s="106"/>
      <c r="GAD4" s="106"/>
      <c r="GAE4" s="106"/>
      <c r="GAF4" s="106"/>
      <c r="GAG4" s="106"/>
      <c r="GAH4" s="106"/>
      <c r="GAI4" s="106"/>
      <c r="GAJ4" s="106"/>
      <c r="GAK4" s="106"/>
      <c r="GAL4" s="106"/>
      <c r="GAM4" s="106"/>
      <c r="GAN4" s="106"/>
      <c r="GAO4" s="106"/>
      <c r="GAP4" s="106"/>
      <c r="GAQ4" s="106"/>
      <c r="GAR4" s="106"/>
      <c r="GAS4" s="106"/>
      <c r="GAT4" s="106"/>
      <c r="GAU4" s="106"/>
      <c r="GAV4" s="106"/>
      <c r="GAW4" s="106"/>
      <c r="GAX4" s="106"/>
      <c r="GAY4" s="106"/>
      <c r="GAZ4" s="106"/>
      <c r="GBA4" s="106"/>
      <c r="GBB4" s="106"/>
      <c r="GBC4" s="106"/>
      <c r="GBD4" s="106"/>
      <c r="GBE4" s="106"/>
      <c r="GBF4" s="106"/>
      <c r="GBG4" s="106"/>
      <c r="GBH4" s="106"/>
      <c r="GBI4" s="106"/>
      <c r="GBJ4" s="106"/>
      <c r="GBK4" s="106"/>
      <c r="GBL4" s="106"/>
      <c r="GBM4" s="106"/>
      <c r="GBN4" s="106"/>
      <c r="GBO4" s="106"/>
      <c r="GBP4" s="106"/>
      <c r="GBQ4" s="106"/>
      <c r="GBR4" s="106"/>
      <c r="GBS4" s="106"/>
      <c r="GBT4" s="106"/>
      <c r="GBU4" s="106"/>
      <c r="GBV4" s="106"/>
      <c r="GBW4" s="106"/>
      <c r="GBX4" s="106"/>
      <c r="GBY4" s="106"/>
      <c r="GBZ4" s="106"/>
      <c r="GCA4" s="106"/>
      <c r="GCB4" s="106"/>
      <c r="GCC4" s="106"/>
      <c r="GCD4" s="106"/>
      <c r="GCE4" s="106"/>
      <c r="GCF4" s="106"/>
      <c r="GCG4" s="106"/>
      <c r="GCH4" s="106"/>
      <c r="GCI4" s="106"/>
      <c r="GCJ4" s="106"/>
      <c r="GCK4" s="106"/>
      <c r="GCL4" s="106"/>
      <c r="GCM4" s="106"/>
      <c r="GCN4" s="106"/>
      <c r="GCO4" s="106"/>
      <c r="GCP4" s="106"/>
      <c r="GCQ4" s="106"/>
      <c r="GCR4" s="106"/>
      <c r="GCS4" s="106"/>
      <c r="GCT4" s="106"/>
      <c r="GCU4" s="106"/>
      <c r="GCV4" s="106"/>
      <c r="GCW4" s="106"/>
      <c r="GCX4" s="106"/>
      <c r="GCY4" s="106"/>
      <c r="GCZ4" s="106"/>
      <c r="GDA4" s="106"/>
      <c r="GDB4" s="106"/>
      <c r="GDC4" s="106"/>
      <c r="GDD4" s="106"/>
      <c r="GDE4" s="106"/>
      <c r="GDF4" s="106"/>
      <c r="GDG4" s="106"/>
      <c r="GDH4" s="106"/>
      <c r="GDI4" s="106"/>
      <c r="GDJ4" s="106"/>
      <c r="GDK4" s="106"/>
      <c r="GDL4" s="106"/>
      <c r="GDM4" s="106"/>
      <c r="GDN4" s="106"/>
      <c r="GDO4" s="106"/>
      <c r="GDP4" s="106"/>
      <c r="GDQ4" s="106"/>
      <c r="GDR4" s="106"/>
      <c r="GDS4" s="106"/>
      <c r="GDT4" s="106"/>
      <c r="GDU4" s="106"/>
      <c r="GDV4" s="106"/>
      <c r="GDW4" s="106"/>
      <c r="GDX4" s="106"/>
      <c r="GDY4" s="106"/>
      <c r="GDZ4" s="106"/>
      <c r="GEA4" s="106"/>
      <c r="GEB4" s="106"/>
      <c r="GEC4" s="106"/>
      <c r="GED4" s="106"/>
      <c r="GEE4" s="106"/>
      <c r="GEF4" s="106"/>
      <c r="GEG4" s="106"/>
      <c r="GEH4" s="106"/>
      <c r="GEI4" s="106"/>
      <c r="GEJ4" s="106"/>
      <c r="GEK4" s="106"/>
      <c r="GEL4" s="106"/>
      <c r="GEM4" s="106"/>
      <c r="GEN4" s="106"/>
      <c r="GEO4" s="106"/>
      <c r="GEP4" s="106"/>
      <c r="GEQ4" s="106"/>
      <c r="GER4" s="106"/>
      <c r="GES4" s="106"/>
      <c r="GET4" s="106"/>
      <c r="GEU4" s="106"/>
      <c r="GEV4" s="106"/>
      <c r="GEW4" s="106"/>
      <c r="GEX4" s="106"/>
      <c r="GEY4" s="106"/>
      <c r="GEZ4" s="106"/>
      <c r="GFA4" s="106"/>
      <c r="GFB4" s="106"/>
      <c r="GFC4" s="106"/>
      <c r="GFD4" s="106"/>
      <c r="GFE4" s="106"/>
      <c r="GFF4" s="106"/>
      <c r="GFG4" s="106"/>
      <c r="GFH4" s="106"/>
      <c r="GFI4" s="106"/>
      <c r="GFJ4" s="106"/>
      <c r="GFK4" s="106"/>
      <c r="GFL4" s="106"/>
      <c r="GFM4" s="106"/>
      <c r="GFN4" s="106"/>
      <c r="GFO4" s="106"/>
      <c r="GFP4" s="106"/>
      <c r="GFQ4" s="106"/>
      <c r="GFR4" s="106"/>
      <c r="GFS4" s="106"/>
      <c r="GFT4" s="106"/>
      <c r="GFU4" s="106"/>
      <c r="GFV4" s="106"/>
      <c r="GFW4" s="106"/>
      <c r="GFX4" s="106"/>
      <c r="GFY4" s="106"/>
      <c r="GFZ4" s="106"/>
      <c r="GGA4" s="106"/>
      <c r="GGB4" s="106"/>
      <c r="GGC4" s="106"/>
      <c r="GGD4" s="106"/>
      <c r="GGE4" s="106"/>
      <c r="GGF4" s="106"/>
      <c r="GGG4" s="106"/>
      <c r="GGH4" s="106"/>
      <c r="GGI4" s="106"/>
      <c r="GGJ4" s="106"/>
      <c r="GGK4" s="106"/>
      <c r="GGL4" s="106"/>
      <c r="GGM4" s="106"/>
      <c r="GGN4" s="106"/>
      <c r="GGO4" s="106"/>
      <c r="GGP4" s="106"/>
      <c r="GGQ4" s="106"/>
      <c r="GGR4" s="106"/>
      <c r="GGS4" s="106"/>
      <c r="GGT4" s="106"/>
      <c r="GGU4" s="106"/>
      <c r="GGV4" s="106"/>
      <c r="GGW4" s="106"/>
      <c r="GGX4" s="106"/>
      <c r="GGY4" s="106"/>
      <c r="GGZ4" s="106"/>
      <c r="GHA4" s="106"/>
      <c r="GHB4" s="106"/>
      <c r="GHC4" s="106"/>
      <c r="GHD4" s="106"/>
      <c r="GHE4" s="106"/>
      <c r="GHF4" s="106"/>
      <c r="GHG4" s="106"/>
      <c r="GHH4" s="106"/>
      <c r="GHI4" s="106"/>
      <c r="GHJ4" s="106"/>
      <c r="GHK4" s="106"/>
      <c r="GHL4" s="106"/>
      <c r="GHM4" s="106"/>
      <c r="GHN4" s="106"/>
      <c r="GHO4" s="106"/>
      <c r="GHP4" s="106"/>
      <c r="GHQ4" s="106"/>
      <c r="GHR4" s="106"/>
      <c r="GHS4" s="106"/>
      <c r="GHT4" s="106"/>
      <c r="GHU4" s="106"/>
      <c r="GHV4" s="106"/>
      <c r="GHW4" s="106"/>
      <c r="GHX4" s="106"/>
      <c r="GHY4" s="106"/>
      <c r="GHZ4" s="106"/>
      <c r="GIA4" s="106"/>
      <c r="GIB4" s="106"/>
      <c r="GIC4" s="106"/>
      <c r="GID4" s="106"/>
      <c r="GIE4" s="106"/>
      <c r="GIF4" s="106"/>
      <c r="GIG4" s="106"/>
      <c r="GIH4" s="106"/>
      <c r="GII4" s="106"/>
      <c r="GIJ4" s="106"/>
      <c r="GIK4" s="106"/>
      <c r="GIL4" s="106"/>
      <c r="GIM4" s="106"/>
      <c r="GIN4" s="106"/>
      <c r="GIO4" s="106"/>
      <c r="GIP4" s="106"/>
      <c r="GIQ4" s="106"/>
      <c r="GIR4" s="106"/>
      <c r="GIS4" s="106"/>
      <c r="GIT4" s="106"/>
      <c r="GIU4" s="106"/>
      <c r="GIV4" s="106"/>
      <c r="GIW4" s="106"/>
      <c r="GIX4" s="106"/>
      <c r="GIY4" s="106"/>
      <c r="GIZ4" s="106"/>
      <c r="GJA4" s="106"/>
      <c r="GJB4" s="106"/>
      <c r="GJC4" s="106"/>
      <c r="GJD4" s="106"/>
      <c r="GJE4" s="106"/>
      <c r="GJF4" s="106"/>
      <c r="GJG4" s="106"/>
      <c r="GJH4" s="106"/>
      <c r="GJI4" s="106"/>
      <c r="GJJ4" s="106"/>
      <c r="GJK4" s="106"/>
      <c r="GJL4" s="106"/>
      <c r="GJM4" s="106"/>
      <c r="GJN4" s="106"/>
      <c r="GJO4" s="106"/>
      <c r="GJP4" s="106"/>
      <c r="GJQ4" s="106"/>
      <c r="GJR4" s="106"/>
      <c r="GJS4" s="106"/>
      <c r="GJT4" s="106"/>
      <c r="GJU4" s="106"/>
      <c r="GJV4" s="106"/>
      <c r="GJW4" s="106"/>
      <c r="GJX4" s="106"/>
      <c r="GJY4" s="106"/>
      <c r="GJZ4" s="106"/>
      <c r="GKA4" s="106"/>
      <c r="GKB4" s="106"/>
      <c r="GKC4" s="106"/>
      <c r="GKD4" s="106"/>
      <c r="GKE4" s="106"/>
      <c r="GKF4" s="106"/>
      <c r="GKG4" s="106"/>
      <c r="GKH4" s="106"/>
      <c r="GKI4" s="106"/>
      <c r="GKJ4" s="106"/>
      <c r="GKK4" s="106"/>
      <c r="GKL4" s="106"/>
      <c r="GKM4" s="106"/>
      <c r="GKN4" s="106"/>
      <c r="GKO4" s="106"/>
      <c r="GKP4" s="106"/>
      <c r="GKQ4" s="106"/>
      <c r="GKR4" s="106"/>
      <c r="GKS4" s="106"/>
      <c r="GKT4" s="106"/>
      <c r="GKU4" s="106"/>
      <c r="GKV4" s="106"/>
      <c r="GKW4" s="106"/>
      <c r="GKX4" s="106"/>
      <c r="GKY4" s="106"/>
      <c r="GKZ4" s="106"/>
      <c r="GLA4" s="106"/>
      <c r="GLB4" s="106"/>
      <c r="GLC4" s="106"/>
      <c r="GLD4" s="106"/>
      <c r="GLE4" s="106"/>
      <c r="GLF4" s="106"/>
      <c r="GLG4" s="106"/>
      <c r="GLH4" s="106"/>
      <c r="GLI4" s="106"/>
      <c r="GLJ4" s="106"/>
      <c r="GLK4" s="106"/>
      <c r="GLL4" s="106"/>
      <c r="GLM4" s="106"/>
      <c r="GLN4" s="106"/>
      <c r="GLO4" s="106"/>
      <c r="GLP4" s="106"/>
      <c r="GLQ4" s="106"/>
      <c r="GLR4" s="106"/>
      <c r="GLS4" s="106"/>
      <c r="GLT4" s="106"/>
      <c r="GLU4" s="106"/>
      <c r="GLV4" s="106"/>
      <c r="GLW4" s="106"/>
      <c r="GLX4" s="106"/>
      <c r="GLY4" s="106"/>
      <c r="GLZ4" s="106"/>
      <c r="GMA4" s="106"/>
      <c r="GMB4" s="106"/>
      <c r="GMC4" s="106"/>
      <c r="GMD4" s="106"/>
      <c r="GME4" s="106"/>
      <c r="GMF4" s="106"/>
      <c r="GMG4" s="106"/>
      <c r="GMH4" s="106"/>
      <c r="GMI4" s="106"/>
      <c r="GMJ4" s="106"/>
      <c r="GMK4" s="106"/>
      <c r="GML4" s="106"/>
      <c r="GMM4" s="106"/>
      <c r="GMN4" s="106"/>
      <c r="GMO4" s="106"/>
      <c r="GMP4" s="106"/>
      <c r="GMQ4" s="106"/>
      <c r="GMR4" s="106"/>
      <c r="GMS4" s="106"/>
      <c r="GMT4" s="106"/>
      <c r="GMU4" s="106"/>
      <c r="GMV4" s="106"/>
      <c r="GMW4" s="106"/>
      <c r="GMX4" s="106"/>
      <c r="GMY4" s="106"/>
      <c r="GMZ4" s="106"/>
      <c r="GNA4" s="106"/>
      <c r="GNB4" s="106"/>
      <c r="GNC4" s="106"/>
      <c r="GND4" s="106"/>
      <c r="GNE4" s="106"/>
      <c r="GNF4" s="106"/>
      <c r="GNG4" s="106"/>
      <c r="GNH4" s="106"/>
      <c r="GNI4" s="106"/>
      <c r="GNJ4" s="106"/>
      <c r="GNK4" s="106"/>
      <c r="GNL4" s="106"/>
      <c r="GNM4" s="106"/>
      <c r="GNN4" s="106"/>
      <c r="GNO4" s="106"/>
      <c r="GNP4" s="106"/>
      <c r="GNQ4" s="106"/>
      <c r="GNR4" s="106"/>
      <c r="GNS4" s="106"/>
      <c r="GNT4" s="106"/>
      <c r="GNU4" s="106"/>
      <c r="GNV4" s="106"/>
      <c r="GNW4" s="106"/>
      <c r="GNX4" s="106"/>
      <c r="GNY4" s="106"/>
      <c r="GNZ4" s="106"/>
      <c r="GOA4" s="106"/>
      <c r="GOB4" s="106"/>
      <c r="GOC4" s="106"/>
      <c r="GOD4" s="106"/>
      <c r="GOE4" s="106"/>
      <c r="GOF4" s="106"/>
      <c r="GOG4" s="106"/>
      <c r="GOH4" s="106"/>
      <c r="GOI4" s="106"/>
      <c r="GOJ4" s="106"/>
      <c r="GOK4" s="106"/>
      <c r="GOL4" s="106"/>
      <c r="GOM4" s="106"/>
      <c r="GON4" s="106"/>
      <c r="GOO4" s="106"/>
      <c r="GOP4" s="106"/>
      <c r="GOQ4" s="106"/>
      <c r="GOR4" s="106"/>
      <c r="GOS4" s="106"/>
      <c r="GOT4" s="106"/>
      <c r="GOU4" s="106"/>
      <c r="GOV4" s="106"/>
      <c r="GOW4" s="106"/>
      <c r="GOX4" s="106"/>
      <c r="GOY4" s="106"/>
      <c r="GOZ4" s="106"/>
      <c r="GPA4" s="106"/>
      <c r="GPB4" s="106"/>
      <c r="GPC4" s="106"/>
      <c r="GPD4" s="106"/>
      <c r="GPE4" s="106"/>
      <c r="GPF4" s="106"/>
      <c r="GPG4" s="106"/>
      <c r="GPH4" s="106"/>
      <c r="GPI4" s="106"/>
      <c r="GPJ4" s="106"/>
      <c r="GPK4" s="106"/>
      <c r="GPL4" s="106"/>
      <c r="GPM4" s="106"/>
      <c r="GPN4" s="106"/>
      <c r="GPO4" s="106"/>
      <c r="GPP4" s="106"/>
      <c r="GPQ4" s="106"/>
      <c r="GPR4" s="106"/>
      <c r="GPS4" s="106"/>
      <c r="GPT4" s="106"/>
      <c r="GPU4" s="106"/>
      <c r="GPV4" s="106"/>
      <c r="GPW4" s="106"/>
      <c r="GPX4" s="106"/>
      <c r="GPY4" s="106"/>
      <c r="GPZ4" s="106"/>
      <c r="GQA4" s="106"/>
      <c r="GQB4" s="106"/>
      <c r="GQC4" s="106"/>
      <c r="GQD4" s="106"/>
      <c r="GQE4" s="106"/>
      <c r="GQF4" s="106"/>
      <c r="GQG4" s="106"/>
      <c r="GQH4" s="106"/>
      <c r="GQI4" s="106"/>
      <c r="GQJ4" s="106"/>
      <c r="GQK4" s="106"/>
      <c r="GQL4" s="106"/>
      <c r="GQM4" s="106"/>
      <c r="GQN4" s="106"/>
      <c r="GQO4" s="106"/>
      <c r="GQP4" s="106"/>
      <c r="GQQ4" s="106"/>
      <c r="GQR4" s="106"/>
      <c r="GQS4" s="106"/>
      <c r="GQT4" s="106"/>
      <c r="GQU4" s="106"/>
      <c r="GQV4" s="106"/>
      <c r="GQW4" s="106"/>
      <c r="GQX4" s="106"/>
      <c r="GQY4" s="106"/>
      <c r="GQZ4" s="106"/>
      <c r="GRA4" s="106"/>
      <c r="GRB4" s="106"/>
      <c r="GRC4" s="106"/>
      <c r="GRD4" s="106"/>
      <c r="GRE4" s="106"/>
      <c r="GRF4" s="106"/>
      <c r="GRG4" s="106"/>
      <c r="GRH4" s="106"/>
      <c r="GRI4" s="106"/>
      <c r="GRJ4" s="106"/>
      <c r="GRK4" s="106"/>
      <c r="GRL4" s="106"/>
      <c r="GRM4" s="106"/>
      <c r="GRN4" s="106"/>
      <c r="GRO4" s="106"/>
      <c r="GRP4" s="106"/>
      <c r="GRQ4" s="106"/>
      <c r="GRR4" s="106"/>
      <c r="GRS4" s="106"/>
      <c r="GRT4" s="106"/>
      <c r="GRU4" s="106"/>
      <c r="GRV4" s="106"/>
      <c r="GRW4" s="106"/>
      <c r="GRX4" s="106"/>
      <c r="GRY4" s="106"/>
      <c r="GRZ4" s="106"/>
      <c r="GSA4" s="106"/>
      <c r="GSB4" s="106"/>
      <c r="GSC4" s="106"/>
      <c r="GSD4" s="106"/>
      <c r="GSE4" s="106"/>
      <c r="GSF4" s="106"/>
      <c r="GSG4" s="106"/>
      <c r="GSH4" s="106"/>
      <c r="GSI4" s="106"/>
      <c r="GSJ4" s="106"/>
      <c r="GSK4" s="106"/>
      <c r="GSL4" s="106"/>
      <c r="GSM4" s="106"/>
      <c r="GSN4" s="106"/>
      <c r="GSO4" s="106"/>
      <c r="GSP4" s="106"/>
      <c r="GSQ4" s="106"/>
      <c r="GSR4" s="106"/>
      <c r="GSS4" s="106"/>
      <c r="GST4" s="106"/>
      <c r="GSU4" s="106"/>
      <c r="GSV4" s="106"/>
      <c r="GSW4" s="106"/>
      <c r="GSX4" s="106"/>
      <c r="GSY4" s="106"/>
      <c r="GSZ4" s="106"/>
      <c r="GTA4" s="106"/>
      <c r="GTB4" s="106"/>
      <c r="GTC4" s="106"/>
      <c r="GTD4" s="106"/>
      <c r="GTE4" s="106"/>
      <c r="GTF4" s="106"/>
      <c r="GTG4" s="106"/>
      <c r="GTH4" s="106"/>
      <c r="GTI4" s="106"/>
      <c r="GTJ4" s="106"/>
      <c r="GTK4" s="106"/>
      <c r="GTL4" s="106"/>
      <c r="GTM4" s="106"/>
      <c r="GTN4" s="106"/>
      <c r="GTO4" s="106"/>
      <c r="GTP4" s="106"/>
      <c r="GTQ4" s="106"/>
      <c r="GTR4" s="106"/>
      <c r="GTS4" s="106"/>
      <c r="GTT4" s="106"/>
      <c r="GTU4" s="106"/>
      <c r="GTV4" s="106"/>
      <c r="GTW4" s="106"/>
      <c r="GTX4" s="106"/>
      <c r="GTY4" s="106"/>
      <c r="GTZ4" s="106"/>
      <c r="GUA4" s="106"/>
      <c r="GUB4" s="106"/>
      <c r="GUC4" s="106"/>
      <c r="GUD4" s="106"/>
      <c r="GUE4" s="106"/>
      <c r="GUF4" s="106"/>
      <c r="GUG4" s="106"/>
      <c r="GUH4" s="106"/>
      <c r="GUI4" s="106"/>
      <c r="GUJ4" s="106"/>
      <c r="GUK4" s="106"/>
      <c r="GUL4" s="106"/>
      <c r="GUM4" s="106"/>
      <c r="GUN4" s="106"/>
      <c r="GUO4" s="106"/>
      <c r="GUP4" s="106"/>
      <c r="GUQ4" s="106"/>
      <c r="GUR4" s="106"/>
      <c r="GUS4" s="106"/>
      <c r="GUT4" s="106"/>
      <c r="GUU4" s="106"/>
      <c r="GUV4" s="106"/>
      <c r="GUW4" s="106"/>
      <c r="GUX4" s="106"/>
      <c r="GUY4" s="106"/>
      <c r="GUZ4" s="106"/>
      <c r="GVA4" s="106"/>
      <c r="GVB4" s="106"/>
      <c r="GVC4" s="106"/>
      <c r="GVD4" s="106"/>
      <c r="GVE4" s="106"/>
      <c r="GVF4" s="106"/>
      <c r="GVG4" s="106"/>
      <c r="GVH4" s="106"/>
      <c r="GVI4" s="106"/>
      <c r="GVJ4" s="106"/>
      <c r="GVK4" s="106"/>
      <c r="GVL4" s="106"/>
      <c r="GVM4" s="106"/>
      <c r="GVN4" s="106"/>
      <c r="GVO4" s="106"/>
      <c r="GVP4" s="106"/>
      <c r="GVQ4" s="106"/>
      <c r="GVR4" s="106"/>
      <c r="GVS4" s="106"/>
      <c r="GVT4" s="106"/>
      <c r="GVU4" s="106"/>
      <c r="GVV4" s="106"/>
      <c r="GVW4" s="106"/>
      <c r="GVX4" s="106"/>
      <c r="GVY4" s="106"/>
      <c r="GVZ4" s="106"/>
      <c r="GWA4" s="106"/>
      <c r="GWB4" s="106"/>
      <c r="GWC4" s="106"/>
      <c r="GWD4" s="106"/>
      <c r="GWE4" s="106"/>
      <c r="GWF4" s="106"/>
      <c r="GWG4" s="106"/>
      <c r="GWH4" s="106"/>
      <c r="GWI4" s="106"/>
      <c r="GWJ4" s="106"/>
      <c r="GWK4" s="106"/>
      <c r="GWL4" s="106"/>
      <c r="GWM4" s="106"/>
      <c r="GWN4" s="106"/>
      <c r="GWO4" s="106"/>
      <c r="GWP4" s="106"/>
      <c r="GWQ4" s="106"/>
      <c r="GWR4" s="106"/>
      <c r="GWS4" s="106"/>
      <c r="GWT4" s="106"/>
      <c r="GWU4" s="106"/>
      <c r="GWV4" s="106"/>
      <c r="GWW4" s="106"/>
      <c r="GWX4" s="106"/>
      <c r="GWY4" s="106"/>
      <c r="GWZ4" s="106"/>
      <c r="GXA4" s="106"/>
      <c r="GXB4" s="106"/>
      <c r="GXC4" s="106"/>
      <c r="GXD4" s="106"/>
      <c r="GXE4" s="106"/>
      <c r="GXF4" s="106"/>
      <c r="GXG4" s="106"/>
      <c r="GXH4" s="106"/>
      <c r="GXI4" s="106"/>
      <c r="GXJ4" s="106"/>
      <c r="GXK4" s="106"/>
      <c r="GXL4" s="106"/>
      <c r="GXM4" s="106"/>
      <c r="GXN4" s="106"/>
      <c r="GXO4" s="106"/>
      <c r="GXP4" s="106"/>
      <c r="GXQ4" s="106"/>
      <c r="GXR4" s="106"/>
      <c r="GXS4" s="106"/>
      <c r="GXT4" s="106"/>
      <c r="GXU4" s="106"/>
      <c r="GXV4" s="106"/>
      <c r="GXW4" s="106"/>
      <c r="GXX4" s="106"/>
      <c r="GXY4" s="106"/>
      <c r="GXZ4" s="106"/>
      <c r="GYA4" s="106"/>
      <c r="GYB4" s="106"/>
      <c r="GYC4" s="106"/>
      <c r="GYD4" s="106"/>
      <c r="GYE4" s="106"/>
      <c r="GYF4" s="106"/>
      <c r="GYG4" s="106"/>
      <c r="GYH4" s="106"/>
      <c r="GYI4" s="106"/>
      <c r="GYJ4" s="106"/>
      <c r="GYK4" s="106"/>
      <c r="GYL4" s="106"/>
      <c r="GYM4" s="106"/>
      <c r="GYN4" s="106"/>
      <c r="GYO4" s="106"/>
      <c r="GYP4" s="106"/>
      <c r="GYQ4" s="106"/>
      <c r="GYR4" s="106"/>
      <c r="GYS4" s="106"/>
      <c r="GYT4" s="106"/>
      <c r="GYU4" s="106"/>
      <c r="GYV4" s="106"/>
      <c r="GYW4" s="106"/>
      <c r="GYX4" s="106"/>
      <c r="GYY4" s="106"/>
      <c r="GYZ4" s="106"/>
      <c r="GZA4" s="106"/>
      <c r="GZB4" s="106"/>
      <c r="GZC4" s="106"/>
      <c r="GZD4" s="106"/>
      <c r="GZE4" s="106"/>
      <c r="GZF4" s="106"/>
      <c r="GZG4" s="106"/>
      <c r="GZH4" s="106"/>
      <c r="GZI4" s="106"/>
      <c r="GZJ4" s="106"/>
      <c r="GZK4" s="106"/>
      <c r="GZL4" s="106"/>
      <c r="GZM4" s="106"/>
      <c r="GZN4" s="106"/>
      <c r="GZO4" s="106"/>
      <c r="GZP4" s="106"/>
      <c r="GZQ4" s="106"/>
      <c r="GZR4" s="106"/>
      <c r="GZS4" s="106"/>
      <c r="GZT4" s="106"/>
      <c r="GZU4" s="106"/>
      <c r="GZV4" s="106"/>
      <c r="GZW4" s="106"/>
      <c r="GZX4" s="106"/>
      <c r="GZY4" s="106"/>
      <c r="GZZ4" s="106"/>
      <c r="HAA4" s="106"/>
      <c r="HAB4" s="106"/>
      <c r="HAC4" s="106"/>
      <c r="HAD4" s="106"/>
      <c r="HAE4" s="106"/>
      <c r="HAF4" s="106"/>
      <c r="HAG4" s="106"/>
      <c r="HAH4" s="106"/>
      <c r="HAI4" s="106"/>
      <c r="HAJ4" s="106"/>
      <c r="HAK4" s="106"/>
      <c r="HAL4" s="106"/>
      <c r="HAM4" s="106"/>
      <c r="HAN4" s="106"/>
      <c r="HAO4" s="106"/>
      <c r="HAP4" s="106"/>
      <c r="HAQ4" s="106"/>
      <c r="HAR4" s="106"/>
      <c r="HAS4" s="106"/>
      <c r="HAT4" s="106"/>
      <c r="HAU4" s="106"/>
      <c r="HAV4" s="106"/>
      <c r="HAW4" s="106"/>
      <c r="HAX4" s="106"/>
      <c r="HAY4" s="106"/>
      <c r="HAZ4" s="106"/>
      <c r="HBA4" s="106"/>
      <c r="HBB4" s="106"/>
      <c r="HBC4" s="106"/>
      <c r="HBD4" s="106"/>
      <c r="HBE4" s="106"/>
      <c r="HBF4" s="106"/>
      <c r="HBG4" s="106"/>
      <c r="HBH4" s="106"/>
      <c r="HBI4" s="106"/>
      <c r="HBJ4" s="106"/>
      <c r="HBK4" s="106"/>
      <c r="HBL4" s="106"/>
      <c r="HBM4" s="106"/>
      <c r="HBN4" s="106"/>
      <c r="HBO4" s="106"/>
      <c r="HBP4" s="106"/>
      <c r="HBQ4" s="106"/>
      <c r="HBR4" s="106"/>
      <c r="HBS4" s="106"/>
      <c r="HBT4" s="106"/>
      <c r="HBU4" s="106"/>
      <c r="HBV4" s="106"/>
      <c r="HBW4" s="106"/>
      <c r="HBX4" s="106"/>
      <c r="HBY4" s="106"/>
      <c r="HBZ4" s="106"/>
      <c r="HCA4" s="106"/>
      <c r="HCB4" s="106"/>
      <c r="HCC4" s="106"/>
      <c r="HCD4" s="106"/>
      <c r="HCE4" s="106"/>
      <c r="HCF4" s="106"/>
      <c r="HCG4" s="106"/>
      <c r="HCH4" s="106"/>
      <c r="HCI4" s="106"/>
      <c r="HCJ4" s="106"/>
      <c r="HCK4" s="106"/>
      <c r="HCL4" s="106"/>
      <c r="HCM4" s="106"/>
      <c r="HCN4" s="106"/>
      <c r="HCO4" s="106"/>
      <c r="HCP4" s="106"/>
      <c r="HCQ4" s="106"/>
      <c r="HCR4" s="106"/>
      <c r="HCS4" s="106"/>
      <c r="HCT4" s="106"/>
      <c r="HCU4" s="106"/>
      <c r="HCV4" s="106"/>
      <c r="HCW4" s="106"/>
      <c r="HCX4" s="106"/>
      <c r="HCY4" s="106"/>
      <c r="HCZ4" s="106"/>
      <c r="HDA4" s="106"/>
      <c r="HDB4" s="106"/>
      <c r="HDC4" s="106"/>
      <c r="HDD4" s="106"/>
      <c r="HDE4" s="106"/>
      <c r="HDF4" s="106"/>
      <c r="HDG4" s="106"/>
      <c r="HDH4" s="106"/>
      <c r="HDI4" s="106"/>
      <c r="HDJ4" s="106"/>
      <c r="HDK4" s="106"/>
      <c r="HDL4" s="106"/>
      <c r="HDM4" s="106"/>
      <c r="HDN4" s="106"/>
      <c r="HDO4" s="106"/>
      <c r="HDP4" s="106"/>
      <c r="HDQ4" s="106"/>
      <c r="HDR4" s="106"/>
      <c r="HDS4" s="106"/>
      <c r="HDT4" s="106"/>
      <c r="HDU4" s="106"/>
      <c r="HDV4" s="106"/>
      <c r="HDW4" s="106"/>
      <c r="HDX4" s="106"/>
      <c r="HDY4" s="106"/>
      <c r="HDZ4" s="106"/>
      <c r="HEA4" s="106"/>
      <c r="HEB4" s="106"/>
      <c r="HEC4" s="106"/>
      <c r="HED4" s="106"/>
      <c r="HEE4" s="106"/>
      <c r="HEF4" s="106"/>
      <c r="HEG4" s="106"/>
      <c r="HEH4" s="106"/>
      <c r="HEI4" s="106"/>
      <c r="HEJ4" s="106"/>
      <c r="HEK4" s="106"/>
      <c r="HEL4" s="106"/>
      <c r="HEM4" s="106"/>
      <c r="HEN4" s="106"/>
      <c r="HEO4" s="106"/>
      <c r="HEP4" s="106"/>
      <c r="HEQ4" s="106"/>
      <c r="HER4" s="106"/>
      <c r="HES4" s="106"/>
      <c r="HET4" s="106"/>
      <c r="HEU4" s="106"/>
      <c r="HEV4" s="106"/>
      <c r="HEW4" s="106"/>
      <c r="HEX4" s="106"/>
      <c r="HEY4" s="106"/>
      <c r="HEZ4" s="106"/>
      <c r="HFA4" s="106"/>
      <c r="HFB4" s="106"/>
      <c r="HFC4" s="106"/>
      <c r="HFD4" s="106"/>
      <c r="HFE4" s="106"/>
      <c r="HFF4" s="106"/>
      <c r="HFG4" s="106"/>
      <c r="HFH4" s="106"/>
      <c r="HFI4" s="106"/>
      <c r="HFJ4" s="106"/>
      <c r="HFK4" s="106"/>
      <c r="HFL4" s="106"/>
      <c r="HFM4" s="106"/>
      <c r="HFN4" s="106"/>
      <c r="HFO4" s="106"/>
      <c r="HFP4" s="106"/>
      <c r="HFQ4" s="106"/>
      <c r="HFR4" s="106"/>
      <c r="HFS4" s="106"/>
      <c r="HFT4" s="106"/>
      <c r="HFU4" s="106"/>
      <c r="HFV4" s="106"/>
      <c r="HFW4" s="106"/>
      <c r="HFX4" s="106"/>
      <c r="HFY4" s="106"/>
      <c r="HFZ4" s="106"/>
      <c r="HGA4" s="106"/>
      <c r="HGB4" s="106"/>
      <c r="HGC4" s="106"/>
      <c r="HGD4" s="106"/>
      <c r="HGE4" s="106"/>
      <c r="HGF4" s="106"/>
      <c r="HGG4" s="106"/>
      <c r="HGH4" s="106"/>
      <c r="HGI4" s="106"/>
      <c r="HGJ4" s="106"/>
      <c r="HGK4" s="106"/>
      <c r="HGL4" s="106"/>
      <c r="HGM4" s="106"/>
      <c r="HGN4" s="106"/>
      <c r="HGO4" s="106"/>
      <c r="HGP4" s="106"/>
      <c r="HGQ4" s="106"/>
      <c r="HGR4" s="106"/>
      <c r="HGS4" s="106"/>
      <c r="HGT4" s="106"/>
      <c r="HGU4" s="106"/>
      <c r="HGV4" s="106"/>
      <c r="HGW4" s="106"/>
      <c r="HGX4" s="106"/>
      <c r="HGY4" s="106"/>
      <c r="HGZ4" s="106"/>
      <c r="HHA4" s="106"/>
      <c r="HHB4" s="106"/>
      <c r="HHC4" s="106"/>
      <c r="HHD4" s="106"/>
      <c r="HHE4" s="106"/>
      <c r="HHF4" s="106"/>
      <c r="HHG4" s="106"/>
      <c r="HHH4" s="106"/>
      <c r="HHI4" s="106"/>
      <c r="HHJ4" s="106"/>
      <c r="HHK4" s="106"/>
      <c r="HHL4" s="106"/>
      <c r="HHM4" s="106"/>
      <c r="HHN4" s="106"/>
      <c r="HHO4" s="106"/>
      <c r="HHP4" s="106"/>
      <c r="HHQ4" s="106"/>
      <c r="HHR4" s="106"/>
      <c r="HHS4" s="106"/>
      <c r="HHT4" s="106"/>
      <c r="HHU4" s="106"/>
      <c r="HHV4" s="106"/>
      <c r="HHW4" s="106"/>
      <c r="HHX4" s="106"/>
      <c r="HHY4" s="106"/>
      <c r="HHZ4" s="106"/>
      <c r="HIA4" s="106"/>
      <c r="HIB4" s="106"/>
      <c r="HIC4" s="106"/>
      <c r="HID4" s="106"/>
      <c r="HIE4" s="106"/>
      <c r="HIF4" s="106"/>
      <c r="HIG4" s="106"/>
      <c r="HIH4" s="106"/>
      <c r="HII4" s="106"/>
      <c r="HIJ4" s="106"/>
      <c r="HIK4" s="106"/>
      <c r="HIL4" s="106"/>
      <c r="HIM4" s="106"/>
      <c r="HIN4" s="106"/>
      <c r="HIO4" s="106"/>
      <c r="HIP4" s="106"/>
      <c r="HIQ4" s="106"/>
      <c r="HIR4" s="106"/>
      <c r="HIS4" s="106"/>
      <c r="HIT4" s="106"/>
      <c r="HIU4" s="106"/>
      <c r="HIV4" s="106"/>
      <c r="HIW4" s="106"/>
      <c r="HIX4" s="106"/>
      <c r="HIY4" s="106"/>
      <c r="HIZ4" s="106"/>
      <c r="HJA4" s="106"/>
      <c r="HJB4" s="106"/>
      <c r="HJC4" s="106"/>
      <c r="HJD4" s="106"/>
      <c r="HJE4" s="106"/>
      <c r="HJF4" s="106"/>
      <c r="HJG4" s="106"/>
      <c r="HJH4" s="106"/>
      <c r="HJI4" s="106"/>
      <c r="HJJ4" s="106"/>
      <c r="HJK4" s="106"/>
      <c r="HJL4" s="106"/>
      <c r="HJM4" s="106"/>
      <c r="HJN4" s="106"/>
      <c r="HJO4" s="106"/>
      <c r="HJP4" s="106"/>
      <c r="HJQ4" s="106"/>
      <c r="HJR4" s="106"/>
      <c r="HJS4" s="106"/>
      <c r="HJT4" s="106"/>
      <c r="HJU4" s="106"/>
      <c r="HJV4" s="106"/>
      <c r="HJW4" s="106"/>
      <c r="HJX4" s="106"/>
      <c r="HJY4" s="106"/>
      <c r="HJZ4" s="106"/>
      <c r="HKA4" s="106"/>
      <c r="HKB4" s="106"/>
      <c r="HKC4" s="106"/>
      <c r="HKD4" s="106"/>
      <c r="HKE4" s="106"/>
      <c r="HKF4" s="106"/>
      <c r="HKG4" s="106"/>
      <c r="HKH4" s="106"/>
      <c r="HKI4" s="106"/>
      <c r="HKJ4" s="106"/>
      <c r="HKK4" s="106"/>
      <c r="HKL4" s="106"/>
      <c r="HKM4" s="106"/>
      <c r="HKN4" s="106"/>
      <c r="HKO4" s="106"/>
      <c r="HKP4" s="106"/>
      <c r="HKQ4" s="106"/>
      <c r="HKR4" s="106"/>
      <c r="HKS4" s="106"/>
      <c r="HKT4" s="106"/>
      <c r="HKU4" s="106"/>
      <c r="HKV4" s="106"/>
      <c r="HKW4" s="106"/>
      <c r="HKX4" s="106"/>
      <c r="HKY4" s="106"/>
      <c r="HKZ4" s="106"/>
      <c r="HLA4" s="106"/>
      <c r="HLB4" s="106"/>
      <c r="HLC4" s="106"/>
      <c r="HLD4" s="106"/>
      <c r="HLE4" s="106"/>
      <c r="HLF4" s="106"/>
      <c r="HLG4" s="106"/>
      <c r="HLH4" s="106"/>
      <c r="HLI4" s="106"/>
      <c r="HLJ4" s="106"/>
      <c r="HLK4" s="106"/>
      <c r="HLL4" s="106"/>
      <c r="HLM4" s="106"/>
      <c r="HLN4" s="106"/>
      <c r="HLO4" s="106"/>
      <c r="HLP4" s="106"/>
      <c r="HLQ4" s="106"/>
      <c r="HLR4" s="106"/>
      <c r="HLS4" s="106"/>
      <c r="HLT4" s="106"/>
      <c r="HLU4" s="106"/>
      <c r="HLV4" s="106"/>
      <c r="HLW4" s="106"/>
      <c r="HLX4" s="106"/>
      <c r="HLY4" s="106"/>
      <c r="HLZ4" s="106"/>
      <c r="HMA4" s="106"/>
      <c r="HMB4" s="106"/>
      <c r="HMC4" s="106"/>
      <c r="HMD4" s="106"/>
      <c r="HME4" s="106"/>
      <c r="HMF4" s="106"/>
      <c r="HMG4" s="106"/>
      <c r="HMH4" s="106"/>
      <c r="HMI4" s="106"/>
      <c r="HMJ4" s="106"/>
      <c r="HMK4" s="106"/>
      <c r="HML4" s="106"/>
      <c r="HMM4" s="106"/>
      <c r="HMN4" s="106"/>
      <c r="HMO4" s="106"/>
      <c r="HMP4" s="106"/>
      <c r="HMQ4" s="106"/>
      <c r="HMR4" s="106"/>
      <c r="HMS4" s="106"/>
      <c r="HMT4" s="106"/>
      <c r="HMU4" s="106"/>
      <c r="HMV4" s="106"/>
      <c r="HMW4" s="106"/>
      <c r="HMX4" s="106"/>
      <c r="HMY4" s="106"/>
      <c r="HMZ4" s="106"/>
      <c r="HNA4" s="106"/>
      <c r="HNB4" s="106"/>
      <c r="HNC4" s="106"/>
      <c r="HND4" s="106"/>
      <c r="HNE4" s="106"/>
      <c r="HNF4" s="106"/>
      <c r="HNG4" s="106"/>
      <c r="HNH4" s="106"/>
      <c r="HNI4" s="106"/>
      <c r="HNJ4" s="106"/>
      <c r="HNK4" s="106"/>
      <c r="HNL4" s="106"/>
      <c r="HNM4" s="106"/>
      <c r="HNN4" s="106"/>
      <c r="HNO4" s="106"/>
      <c r="HNP4" s="106"/>
      <c r="HNQ4" s="106"/>
      <c r="HNR4" s="106"/>
      <c r="HNS4" s="106"/>
      <c r="HNT4" s="106"/>
      <c r="HNU4" s="106"/>
      <c r="HNV4" s="106"/>
      <c r="HNW4" s="106"/>
      <c r="HNX4" s="106"/>
      <c r="HNY4" s="106"/>
      <c r="HNZ4" s="106"/>
      <c r="HOA4" s="106"/>
      <c r="HOB4" s="106"/>
      <c r="HOC4" s="106"/>
      <c r="HOD4" s="106"/>
      <c r="HOE4" s="106"/>
      <c r="HOF4" s="106"/>
      <c r="HOG4" s="106"/>
      <c r="HOH4" s="106"/>
      <c r="HOI4" s="106"/>
      <c r="HOJ4" s="106"/>
      <c r="HOK4" s="106"/>
      <c r="HOL4" s="106"/>
      <c r="HOM4" s="106"/>
      <c r="HON4" s="106"/>
      <c r="HOO4" s="106"/>
      <c r="HOP4" s="106"/>
      <c r="HOQ4" s="106"/>
      <c r="HOR4" s="106"/>
      <c r="HOS4" s="106"/>
      <c r="HOT4" s="106"/>
      <c r="HOU4" s="106"/>
      <c r="HOV4" s="106"/>
      <c r="HOW4" s="106"/>
      <c r="HOX4" s="106"/>
      <c r="HOY4" s="106"/>
      <c r="HOZ4" s="106"/>
      <c r="HPA4" s="106"/>
      <c r="HPB4" s="106"/>
      <c r="HPC4" s="106"/>
      <c r="HPD4" s="106"/>
      <c r="HPE4" s="106"/>
      <c r="HPF4" s="106"/>
      <c r="HPG4" s="106"/>
      <c r="HPH4" s="106"/>
      <c r="HPI4" s="106"/>
      <c r="HPJ4" s="106"/>
      <c r="HPK4" s="106"/>
      <c r="HPL4" s="106"/>
      <c r="HPM4" s="106"/>
      <c r="HPN4" s="106"/>
      <c r="HPO4" s="106"/>
      <c r="HPP4" s="106"/>
      <c r="HPQ4" s="106"/>
      <c r="HPR4" s="106"/>
      <c r="HPS4" s="106"/>
      <c r="HPT4" s="106"/>
      <c r="HPU4" s="106"/>
      <c r="HPV4" s="106"/>
      <c r="HPW4" s="106"/>
      <c r="HPX4" s="106"/>
      <c r="HPY4" s="106"/>
      <c r="HPZ4" s="106"/>
      <c r="HQA4" s="106"/>
      <c r="HQB4" s="106"/>
      <c r="HQC4" s="106"/>
      <c r="HQD4" s="106"/>
      <c r="HQE4" s="106"/>
      <c r="HQF4" s="106"/>
      <c r="HQG4" s="106"/>
      <c r="HQH4" s="106"/>
      <c r="HQI4" s="106"/>
      <c r="HQJ4" s="106"/>
      <c r="HQK4" s="106"/>
      <c r="HQL4" s="106"/>
      <c r="HQM4" s="106"/>
      <c r="HQN4" s="106"/>
      <c r="HQO4" s="106"/>
      <c r="HQP4" s="106"/>
      <c r="HQQ4" s="106"/>
      <c r="HQR4" s="106"/>
      <c r="HQS4" s="106"/>
      <c r="HQT4" s="106"/>
      <c r="HQU4" s="106"/>
      <c r="HQV4" s="106"/>
      <c r="HQW4" s="106"/>
      <c r="HQX4" s="106"/>
      <c r="HQY4" s="106"/>
      <c r="HQZ4" s="106"/>
      <c r="HRA4" s="106"/>
      <c r="HRB4" s="106"/>
      <c r="HRC4" s="106"/>
      <c r="HRD4" s="106"/>
      <c r="HRE4" s="106"/>
      <c r="HRF4" s="106"/>
      <c r="HRG4" s="106"/>
      <c r="HRH4" s="106"/>
      <c r="HRI4" s="106"/>
      <c r="HRJ4" s="106"/>
      <c r="HRK4" s="106"/>
      <c r="HRL4" s="106"/>
      <c r="HRM4" s="106"/>
      <c r="HRN4" s="106"/>
      <c r="HRO4" s="106"/>
      <c r="HRP4" s="106"/>
      <c r="HRQ4" s="106"/>
      <c r="HRR4" s="106"/>
      <c r="HRS4" s="106"/>
      <c r="HRT4" s="106"/>
      <c r="HRU4" s="106"/>
      <c r="HRV4" s="106"/>
      <c r="HRW4" s="106"/>
      <c r="HRX4" s="106"/>
      <c r="HRY4" s="106"/>
      <c r="HRZ4" s="106"/>
      <c r="HSA4" s="106"/>
      <c r="HSB4" s="106"/>
      <c r="HSC4" s="106"/>
      <c r="HSD4" s="106"/>
      <c r="HSE4" s="106"/>
      <c r="HSF4" s="106"/>
      <c r="HSG4" s="106"/>
      <c r="HSH4" s="106"/>
      <c r="HSI4" s="106"/>
      <c r="HSJ4" s="106"/>
      <c r="HSK4" s="106"/>
      <c r="HSL4" s="106"/>
      <c r="HSM4" s="106"/>
      <c r="HSN4" s="106"/>
      <c r="HSO4" s="106"/>
      <c r="HSP4" s="106"/>
      <c r="HSQ4" s="106"/>
      <c r="HSR4" s="106"/>
      <c r="HSS4" s="106"/>
      <c r="HST4" s="106"/>
      <c r="HSU4" s="106"/>
      <c r="HSV4" s="106"/>
      <c r="HSW4" s="106"/>
      <c r="HSX4" s="106"/>
      <c r="HSY4" s="106"/>
      <c r="HSZ4" s="106"/>
      <c r="HTA4" s="106"/>
      <c r="HTB4" s="106"/>
      <c r="HTC4" s="106"/>
      <c r="HTD4" s="106"/>
      <c r="HTE4" s="106"/>
      <c r="HTF4" s="106"/>
      <c r="HTG4" s="106"/>
      <c r="HTH4" s="106"/>
      <c r="HTI4" s="106"/>
      <c r="HTJ4" s="106"/>
      <c r="HTK4" s="106"/>
      <c r="HTL4" s="106"/>
      <c r="HTM4" s="106"/>
      <c r="HTN4" s="106"/>
      <c r="HTO4" s="106"/>
      <c r="HTP4" s="106"/>
      <c r="HTQ4" s="106"/>
      <c r="HTR4" s="106"/>
      <c r="HTS4" s="106"/>
      <c r="HTT4" s="106"/>
      <c r="HTU4" s="106"/>
      <c r="HTV4" s="106"/>
      <c r="HTW4" s="106"/>
      <c r="HTX4" s="106"/>
      <c r="HTY4" s="106"/>
      <c r="HTZ4" s="106"/>
      <c r="HUA4" s="106"/>
      <c r="HUB4" s="106"/>
      <c r="HUC4" s="106"/>
      <c r="HUD4" s="106"/>
      <c r="HUE4" s="106"/>
      <c r="HUF4" s="106"/>
      <c r="HUG4" s="106"/>
      <c r="HUH4" s="106"/>
      <c r="HUI4" s="106"/>
      <c r="HUJ4" s="106"/>
      <c r="HUK4" s="106"/>
      <c r="HUL4" s="106"/>
      <c r="HUM4" s="106"/>
      <c r="HUN4" s="106"/>
      <c r="HUO4" s="106"/>
      <c r="HUP4" s="106"/>
      <c r="HUQ4" s="106"/>
      <c r="HUR4" s="106"/>
      <c r="HUS4" s="106"/>
      <c r="HUT4" s="106"/>
      <c r="HUU4" s="106"/>
      <c r="HUV4" s="106"/>
      <c r="HUW4" s="106"/>
      <c r="HUX4" s="106"/>
      <c r="HUY4" s="106"/>
      <c r="HUZ4" s="106"/>
      <c r="HVA4" s="106"/>
      <c r="HVB4" s="106"/>
      <c r="HVC4" s="106"/>
      <c r="HVD4" s="106"/>
      <c r="HVE4" s="106"/>
      <c r="HVF4" s="106"/>
      <c r="HVG4" s="106"/>
      <c r="HVH4" s="106"/>
      <c r="HVI4" s="106"/>
      <c r="HVJ4" s="106"/>
      <c r="HVK4" s="106"/>
      <c r="HVL4" s="106"/>
      <c r="HVM4" s="106"/>
      <c r="HVN4" s="106"/>
      <c r="HVO4" s="106"/>
      <c r="HVP4" s="106"/>
      <c r="HVQ4" s="106"/>
      <c r="HVR4" s="106"/>
      <c r="HVS4" s="106"/>
      <c r="HVT4" s="106"/>
      <c r="HVU4" s="106"/>
      <c r="HVV4" s="106"/>
      <c r="HVW4" s="106"/>
      <c r="HVX4" s="106"/>
      <c r="HVY4" s="106"/>
      <c r="HVZ4" s="106"/>
      <c r="HWA4" s="106"/>
      <c r="HWB4" s="106"/>
      <c r="HWC4" s="106"/>
      <c r="HWD4" s="106"/>
      <c r="HWE4" s="106"/>
      <c r="HWF4" s="106"/>
      <c r="HWG4" s="106"/>
      <c r="HWH4" s="106"/>
      <c r="HWI4" s="106"/>
      <c r="HWJ4" s="106"/>
      <c r="HWK4" s="106"/>
      <c r="HWL4" s="106"/>
      <c r="HWM4" s="106"/>
      <c r="HWN4" s="106"/>
      <c r="HWO4" s="106"/>
      <c r="HWP4" s="106"/>
      <c r="HWQ4" s="106"/>
      <c r="HWR4" s="106"/>
      <c r="HWS4" s="106"/>
      <c r="HWT4" s="106"/>
      <c r="HWU4" s="106"/>
      <c r="HWV4" s="106"/>
      <c r="HWW4" s="106"/>
      <c r="HWX4" s="106"/>
      <c r="HWY4" s="106"/>
      <c r="HWZ4" s="106"/>
      <c r="HXA4" s="106"/>
      <c r="HXB4" s="106"/>
      <c r="HXC4" s="106"/>
      <c r="HXD4" s="106"/>
      <c r="HXE4" s="106"/>
      <c r="HXF4" s="106"/>
      <c r="HXG4" s="106"/>
      <c r="HXH4" s="106"/>
      <c r="HXI4" s="106"/>
      <c r="HXJ4" s="106"/>
      <c r="HXK4" s="106"/>
      <c r="HXL4" s="106"/>
      <c r="HXM4" s="106"/>
      <c r="HXN4" s="106"/>
      <c r="HXO4" s="106"/>
      <c r="HXP4" s="106"/>
      <c r="HXQ4" s="106"/>
      <c r="HXR4" s="106"/>
      <c r="HXS4" s="106"/>
      <c r="HXT4" s="106"/>
      <c r="HXU4" s="106"/>
      <c r="HXV4" s="106"/>
      <c r="HXW4" s="106"/>
      <c r="HXX4" s="106"/>
      <c r="HXY4" s="106"/>
      <c r="HXZ4" s="106"/>
      <c r="HYA4" s="106"/>
      <c r="HYB4" s="106"/>
      <c r="HYC4" s="106"/>
      <c r="HYD4" s="106"/>
      <c r="HYE4" s="106"/>
      <c r="HYF4" s="106"/>
      <c r="HYG4" s="106"/>
      <c r="HYH4" s="106"/>
      <c r="HYI4" s="106"/>
      <c r="HYJ4" s="106"/>
      <c r="HYK4" s="106"/>
      <c r="HYL4" s="106"/>
      <c r="HYM4" s="106"/>
      <c r="HYN4" s="106"/>
      <c r="HYO4" s="106"/>
      <c r="HYP4" s="106"/>
      <c r="HYQ4" s="106"/>
      <c r="HYR4" s="106"/>
      <c r="HYS4" s="106"/>
      <c r="HYT4" s="106"/>
      <c r="HYU4" s="106"/>
      <c r="HYV4" s="106"/>
      <c r="HYW4" s="106"/>
      <c r="HYX4" s="106"/>
      <c r="HYY4" s="106"/>
      <c r="HYZ4" s="106"/>
      <c r="HZA4" s="106"/>
      <c r="HZB4" s="106"/>
      <c r="HZC4" s="106"/>
      <c r="HZD4" s="106"/>
      <c r="HZE4" s="106"/>
      <c r="HZF4" s="106"/>
      <c r="HZG4" s="106"/>
      <c r="HZH4" s="106"/>
      <c r="HZI4" s="106"/>
      <c r="HZJ4" s="106"/>
      <c r="HZK4" s="106"/>
      <c r="HZL4" s="106"/>
      <c r="HZM4" s="106"/>
      <c r="HZN4" s="106"/>
      <c r="HZO4" s="106"/>
      <c r="HZP4" s="106"/>
      <c r="HZQ4" s="106"/>
      <c r="HZR4" s="106"/>
      <c r="HZS4" s="106"/>
      <c r="HZT4" s="106"/>
      <c r="HZU4" s="106"/>
      <c r="HZV4" s="106"/>
      <c r="HZW4" s="106"/>
      <c r="HZX4" s="106"/>
      <c r="HZY4" s="106"/>
      <c r="HZZ4" s="106"/>
      <c r="IAA4" s="106"/>
      <c r="IAB4" s="106"/>
      <c r="IAC4" s="106"/>
      <c r="IAD4" s="106"/>
      <c r="IAE4" s="106"/>
      <c r="IAF4" s="106"/>
      <c r="IAG4" s="106"/>
      <c r="IAH4" s="106"/>
      <c r="IAI4" s="106"/>
      <c r="IAJ4" s="106"/>
      <c r="IAK4" s="106"/>
      <c r="IAL4" s="106"/>
      <c r="IAM4" s="106"/>
      <c r="IAN4" s="106"/>
      <c r="IAO4" s="106"/>
      <c r="IAP4" s="106"/>
      <c r="IAQ4" s="106"/>
      <c r="IAR4" s="106"/>
      <c r="IAS4" s="106"/>
      <c r="IAT4" s="106"/>
      <c r="IAU4" s="106"/>
      <c r="IAV4" s="106"/>
      <c r="IAW4" s="106"/>
      <c r="IAX4" s="106"/>
      <c r="IAY4" s="106"/>
      <c r="IAZ4" s="106"/>
      <c r="IBA4" s="106"/>
      <c r="IBB4" s="106"/>
      <c r="IBC4" s="106"/>
      <c r="IBD4" s="106"/>
      <c r="IBE4" s="106"/>
      <c r="IBF4" s="106"/>
      <c r="IBG4" s="106"/>
      <c r="IBH4" s="106"/>
      <c r="IBI4" s="106"/>
      <c r="IBJ4" s="106"/>
      <c r="IBK4" s="106"/>
      <c r="IBL4" s="106"/>
      <c r="IBM4" s="106"/>
      <c r="IBN4" s="106"/>
      <c r="IBO4" s="106"/>
      <c r="IBP4" s="106"/>
      <c r="IBQ4" s="106"/>
      <c r="IBR4" s="106"/>
      <c r="IBS4" s="106"/>
      <c r="IBT4" s="106"/>
      <c r="IBU4" s="106"/>
      <c r="IBV4" s="106"/>
      <c r="IBW4" s="106"/>
      <c r="IBX4" s="106"/>
      <c r="IBY4" s="106"/>
      <c r="IBZ4" s="106"/>
      <c r="ICA4" s="106"/>
      <c r="ICB4" s="106"/>
      <c r="ICC4" s="106"/>
      <c r="ICD4" s="106"/>
      <c r="ICE4" s="106"/>
      <c r="ICF4" s="106"/>
      <c r="ICG4" s="106"/>
      <c r="ICH4" s="106"/>
      <c r="ICI4" s="106"/>
      <c r="ICJ4" s="106"/>
      <c r="ICK4" s="106"/>
      <c r="ICL4" s="106"/>
      <c r="ICM4" s="106"/>
      <c r="ICN4" s="106"/>
      <c r="ICO4" s="106"/>
      <c r="ICP4" s="106"/>
      <c r="ICQ4" s="106"/>
      <c r="ICR4" s="106"/>
      <c r="ICS4" s="106"/>
      <c r="ICT4" s="106"/>
      <c r="ICU4" s="106"/>
      <c r="ICV4" s="106"/>
      <c r="ICW4" s="106"/>
      <c r="ICX4" s="106"/>
      <c r="ICY4" s="106"/>
      <c r="ICZ4" s="106"/>
      <c r="IDA4" s="106"/>
      <c r="IDB4" s="106"/>
      <c r="IDC4" s="106"/>
      <c r="IDD4" s="106"/>
      <c r="IDE4" s="106"/>
      <c r="IDF4" s="106"/>
      <c r="IDG4" s="106"/>
      <c r="IDH4" s="106"/>
      <c r="IDI4" s="106"/>
      <c r="IDJ4" s="106"/>
      <c r="IDK4" s="106"/>
      <c r="IDL4" s="106"/>
      <c r="IDM4" s="106"/>
      <c r="IDN4" s="106"/>
      <c r="IDO4" s="106"/>
      <c r="IDP4" s="106"/>
      <c r="IDQ4" s="106"/>
      <c r="IDR4" s="106"/>
      <c r="IDS4" s="106"/>
      <c r="IDT4" s="106"/>
      <c r="IDU4" s="106"/>
      <c r="IDV4" s="106"/>
      <c r="IDW4" s="106"/>
      <c r="IDX4" s="106"/>
      <c r="IDY4" s="106"/>
      <c r="IDZ4" s="106"/>
      <c r="IEA4" s="106"/>
      <c r="IEB4" s="106"/>
      <c r="IEC4" s="106"/>
      <c r="IED4" s="106"/>
      <c r="IEE4" s="106"/>
      <c r="IEF4" s="106"/>
      <c r="IEG4" s="106"/>
      <c r="IEH4" s="106"/>
      <c r="IEI4" s="106"/>
      <c r="IEJ4" s="106"/>
      <c r="IEK4" s="106"/>
      <c r="IEL4" s="106"/>
      <c r="IEM4" s="106"/>
      <c r="IEN4" s="106"/>
      <c r="IEO4" s="106"/>
      <c r="IEP4" s="106"/>
      <c r="IEQ4" s="106"/>
      <c r="IER4" s="106"/>
      <c r="IES4" s="106"/>
      <c r="IET4" s="106"/>
      <c r="IEU4" s="106"/>
      <c r="IEV4" s="106"/>
      <c r="IEW4" s="106"/>
      <c r="IEX4" s="106"/>
      <c r="IEY4" s="106"/>
      <c r="IEZ4" s="106"/>
      <c r="IFA4" s="106"/>
      <c r="IFB4" s="106"/>
      <c r="IFC4" s="106"/>
      <c r="IFD4" s="106"/>
      <c r="IFE4" s="106"/>
      <c r="IFF4" s="106"/>
      <c r="IFG4" s="106"/>
      <c r="IFH4" s="106"/>
      <c r="IFI4" s="106"/>
      <c r="IFJ4" s="106"/>
      <c r="IFK4" s="106"/>
      <c r="IFL4" s="106"/>
      <c r="IFM4" s="106"/>
      <c r="IFN4" s="106"/>
      <c r="IFO4" s="106"/>
      <c r="IFP4" s="106"/>
      <c r="IFQ4" s="106"/>
      <c r="IFR4" s="106"/>
      <c r="IFS4" s="106"/>
      <c r="IFT4" s="106"/>
      <c r="IFU4" s="106"/>
      <c r="IFV4" s="106"/>
      <c r="IFW4" s="106"/>
      <c r="IFX4" s="106"/>
      <c r="IFY4" s="106"/>
      <c r="IFZ4" s="106"/>
      <c r="IGA4" s="106"/>
      <c r="IGB4" s="106"/>
      <c r="IGC4" s="106"/>
      <c r="IGD4" s="106"/>
      <c r="IGE4" s="106"/>
      <c r="IGF4" s="106"/>
      <c r="IGG4" s="106"/>
      <c r="IGH4" s="106"/>
      <c r="IGI4" s="106"/>
      <c r="IGJ4" s="106"/>
      <c r="IGK4" s="106"/>
      <c r="IGL4" s="106"/>
      <c r="IGM4" s="106"/>
      <c r="IGN4" s="106"/>
      <c r="IGO4" s="106"/>
      <c r="IGP4" s="106"/>
      <c r="IGQ4" s="106"/>
      <c r="IGR4" s="106"/>
      <c r="IGS4" s="106"/>
      <c r="IGT4" s="106"/>
      <c r="IGU4" s="106"/>
      <c r="IGV4" s="106"/>
      <c r="IGW4" s="106"/>
      <c r="IGX4" s="106"/>
      <c r="IGY4" s="106"/>
      <c r="IGZ4" s="106"/>
      <c r="IHA4" s="106"/>
      <c r="IHB4" s="106"/>
      <c r="IHC4" s="106"/>
      <c r="IHD4" s="106"/>
      <c r="IHE4" s="106"/>
      <c r="IHF4" s="106"/>
      <c r="IHG4" s="106"/>
      <c r="IHH4" s="106"/>
      <c r="IHI4" s="106"/>
      <c r="IHJ4" s="106"/>
      <c r="IHK4" s="106"/>
      <c r="IHL4" s="106"/>
      <c r="IHM4" s="106"/>
      <c r="IHN4" s="106"/>
      <c r="IHO4" s="106"/>
      <c r="IHP4" s="106"/>
      <c r="IHQ4" s="106"/>
      <c r="IHR4" s="106"/>
      <c r="IHS4" s="106"/>
      <c r="IHT4" s="106"/>
      <c r="IHU4" s="106"/>
      <c r="IHV4" s="106"/>
      <c r="IHW4" s="106"/>
      <c r="IHX4" s="106"/>
      <c r="IHY4" s="106"/>
      <c r="IHZ4" s="106"/>
      <c r="IIA4" s="106"/>
      <c r="IIB4" s="106"/>
      <c r="IIC4" s="106"/>
      <c r="IID4" s="106"/>
      <c r="IIE4" s="106"/>
      <c r="IIF4" s="106"/>
      <c r="IIG4" s="106"/>
      <c r="IIH4" s="106"/>
      <c r="III4" s="106"/>
      <c r="IIJ4" s="106"/>
      <c r="IIK4" s="106"/>
      <c r="IIL4" s="106"/>
      <c r="IIM4" s="106"/>
      <c r="IIN4" s="106"/>
      <c r="IIO4" s="106"/>
      <c r="IIP4" s="106"/>
      <c r="IIQ4" s="106"/>
      <c r="IIR4" s="106"/>
      <c r="IIS4" s="106"/>
      <c r="IIT4" s="106"/>
      <c r="IIU4" s="106"/>
      <c r="IIV4" s="106"/>
      <c r="IIW4" s="106"/>
      <c r="IIX4" s="106"/>
      <c r="IIY4" s="106"/>
      <c r="IIZ4" s="106"/>
      <c r="IJA4" s="106"/>
      <c r="IJB4" s="106"/>
      <c r="IJC4" s="106"/>
      <c r="IJD4" s="106"/>
      <c r="IJE4" s="106"/>
      <c r="IJF4" s="106"/>
      <c r="IJG4" s="106"/>
      <c r="IJH4" s="106"/>
      <c r="IJI4" s="106"/>
      <c r="IJJ4" s="106"/>
      <c r="IJK4" s="106"/>
      <c r="IJL4" s="106"/>
      <c r="IJM4" s="106"/>
      <c r="IJN4" s="106"/>
      <c r="IJO4" s="106"/>
      <c r="IJP4" s="106"/>
      <c r="IJQ4" s="106"/>
      <c r="IJR4" s="106"/>
      <c r="IJS4" s="106"/>
      <c r="IJT4" s="106"/>
      <c r="IJU4" s="106"/>
      <c r="IJV4" s="106"/>
      <c r="IJW4" s="106"/>
      <c r="IJX4" s="106"/>
      <c r="IJY4" s="106"/>
      <c r="IJZ4" s="106"/>
      <c r="IKA4" s="106"/>
      <c r="IKB4" s="106"/>
      <c r="IKC4" s="106"/>
      <c r="IKD4" s="106"/>
      <c r="IKE4" s="106"/>
      <c r="IKF4" s="106"/>
      <c r="IKG4" s="106"/>
      <c r="IKH4" s="106"/>
      <c r="IKI4" s="106"/>
      <c r="IKJ4" s="106"/>
      <c r="IKK4" s="106"/>
      <c r="IKL4" s="106"/>
      <c r="IKM4" s="106"/>
      <c r="IKN4" s="106"/>
      <c r="IKO4" s="106"/>
      <c r="IKP4" s="106"/>
      <c r="IKQ4" s="106"/>
      <c r="IKR4" s="106"/>
      <c r="IKS4" s="106"/>
      <c r="IKT4" s="106"/>
      <c r="IKU4" s="106"/>
      <c r="IKV4" s="106"/>
      <c r="IKW4" s="106"/>
      <c r="IKX4" s="106"/>
      <c r="IKY4" s="106"/>
      <c r="IKZ4" s="106"/>
      <c r="ILA4" s="106"/>
      <c r="ILB4" s="106"/>
      <c r="ILC4" s="106"/>
      <c r="ILD4" s="106"/>
      <c r="ILE4" s="106"/>
      <c r="ILF4" s="106"/>
      <c r="ILG4" s="106"/>
      <c r="ILH4" s="106"/>
      <c r="ILI4" s="106"/>
      <c r="ILJ4" s="106"/>
      <c r="ILK4" s="106"/>
      <c r="ILL4" s="106"/>
      <c r="ILM4" s="106"/>
      <c r="ILN4" s="106"/>
      <c r="ILO4" s="106"/>
      <c r="ILP4" s="106"/>
      <c r="ILQ4" s="106"/>
      <c r="ILR4" s="106"/>
      <c r="ILS4" s="106"/>
      <c r="ILT4" s="106"/>
      <c r="ILU4" s="106"/>
      <c r="ILV4" s="106"/>
      <c r="ILW4" s="106"/>
      <c r="ILX4" s="106"/>
      <c r="ILY4" s="106"/>
      <c r="ILZ4" s="106"/>
      <c r="IMA4" s="106"/>
      <c r="IMB4" s="106"/>
      <c r="IMC4" s="106"/>
      <c r="IMD4" s="106"/>
      <c r="IME4" s="106"/>
      <c r="IMF4" s="106"/>
      <c r="IMG4" s="106"/>
      <c r="IMH4" s="106"/>
      <c r="IMI4" s="106"/>
      <c r="IMJ4" s="106"/>
      <c r="IMK4" s="106"/>
      <c r="IML4" s="106"/>
      <c r="IMM4" s="106"/>
      <c r="IMN4" s="106"/>
      <c r="IMO4" s="106"/>
      <c r="IMP4" s="106"/>
      <c r="IMQ4" s="106"/>
      <c r="IMR4" s="106"/>
      <c r="IMS4" s="106"/>
      <c r="IMT4" s="106"/>
      <c r="IMU4" s="106"/>
      <c r="IMV4" s="106"/>
      <c r="IMW4" s="106"/>
      <c r="IMX4" s="106"/>
      <c r="IMY4" s="106"/>
      <c r="IMZ4" s="106"/>
      <c r="INA4" s="106"/>
      <c r="INB4" s="106"/>
      <c r="INC4" s="106"/>
      <c r="IND4" s="106"/>
      <c r="INE4" s="106"/>
      <c r="INF4" s="106"/>
      <c r="ING4" s="106"/>
      <c r="INH4" s="106"/>
      <c r="INI4" s="106"/>
      <c r="INJ4" s="106"/>
      <c r="INK4" s="106"/>
      <c r="INL4" s="106"/>
      <c r="INM4" s="106"/>
      <c r="INN4" s="106"/>
      <c r="INO4" s="106"/>
      <c r="INP4" s="106"/>
      <c r="INQ4" s="106"/>
      <c r="INR4" s="106"/>
      <c r="INS4" s="106"/>
      <c r="INT4" s="106"/>
      <c r="INU4" s="106"/>
      <c r="INV4" s="106"/>
      <c r="INW4" s="106"/>
      <c r="INX4" s="106"/>
      <c r="INY4" s="106"/>
      <c r="INZ4" s="106"/>
      <c r="IOA4" s="106"/>
      <c r="IOB4" s="106"/>
      <c r="IOC4" s="106"/>
      <c r="IOD4" s="106"/>
      <c r="IOE4" s="106"/>
      <c r="IOF4" s="106"/>
      <c r="IOG4" s="106"/>
      <c r="IOH4" s="106"/>
      <c r="IOI4" s="106"/>
      <c r="IOJ4" s="106"/>
      <c r="IOK4" s="106"/>
      <c r="IOL4" s="106"/>
      <c r="IOM4" s="106"/>
      <c r="ION4" s="106"/>
      <c r="IOO4" s="106"/>
      <c r="IOP4" s="106"/>
      <c r="IOQ4" s="106"/>
      <c r="IOR4" s="106"/>
      <c r="IOS4" s="106"/>
      <c r="IOT4" s="106"/>
      <c r="IOU4" s="106"/>
      <c r="IOV4" s="106"/>
      <c r="IOW4" s="106"/>
      <c r="IOX4" s="106"/>
      <c r="IOY4" s="106"/>
      <c r="IOZ4" s="106"/>
      <c r="IPA4" s="106"/>
      <c r="IPB4" s="106"/>
      <c r="IPC4" s="106"/>
      <c r="IPD4" s="106"/>
      <c r="IPE4" s="106"/>
      <c r="IPF4" s="106"/>
      <c r="IPG4" s="106"/>
      <c r="IPH4" s="106"/>
      <c r="IPI4" s="106"/>
      <c r="IPJ4" s="106"/>
      <c r="IPK4" s="106"/>
      <c r="IPL4" s="106"/>
      <c r="IPM4" s="106"/>
      <c r="IPN4" s="106"/>
      <c r="IPO4" s="106"/>
      <c r="IPP4" s="106"/>
      <c r="IPQ4" s="106"/>
      <c r="IPR4" s="106"/>
      <c r="IPS4" s="106"/>
      <c r="IPT4" s="106"/>
      <c r="IPU4" s="106"/>
      <c r="IPV4" s="106"/>
      <c r="IPW4" s="106"/>
      <c r="IPX4" s="106"/>
      <c r="IPY4" s="106"/>
      <c r="IPZ4" s="106"/>
      <c r="IQA4" s="106"/>
      <c r="IQB4" s="106"/>
      <c r="IQC4" s="106"/>
      <c r="IQD4" s="106"/>
      <c r="IQE4" s="106"/>
      <c r="IQF4" s="106"/>
      <c r="IQG4" s="106"/>
      <c r="IQH4" s="106"/>
      <c r="IQI4" s="106"/>
      <c r="IQJ4" s="106"/>
      <c r="IQK4" s="106"/>
      <c r="IQL4" s="106"/>
      <c r="IQM4" s="106"/>
      <c r="IQN4" s="106"/>
      <c r="IQO4" s="106"/>
      <c r="IQP4" s="106"/>
      <c r="IQQ4" s="106"/>
      <c r="IQR4" s="106"/>
      <c r="IQS4" s="106"/>
      <c r="IQT4" s="106"/>
      <c r="IQU4" s="106"/>
      <c r="IQV4" s="106"/>
      <c r="IQW4" s="106"/>
      <c r="IQX4" s="106"/>
      <c r="IQY4" s="106"/>
      <c r="IQZ4" s="106"/>
      <c r="IRA4" s="106"/>
      <c r="IRB4" s="106"/>
      <c r="IRC4" s="106"/>
      <c r="IRD4" s="106"/>
      <c r="IRE4" s="106"/>
      <c r="IRF4" s="106"/>
      <c r="IRG4" s="106"/>
      <c r="IRH4" s="106"/>
      <c r="IRI4" s="106"/>
      <c r="IRJ4" s="106"/>
      <c r="IRK4" s="106"/>
      <c r="IRL4" s="106"/>
      <c r="IRM4" s="106"/>
      <c r="IRN4" s="106"/>
      <c r="IRO4" s="106"/>
      <c r="IRP4" s="106"/>
      <c r="IRQ4" s="106"/>
      <c r="IRR4" s="106"/>
      <c r="IRS4" s="106"/>
      <c r="IRT4" s="106"/>
      <c r="IRU4" s="106"/>
      <c r="IRV4" s="106"/>
      <c r="IRW4" s="106"/>
      <c r="IRX4" s="106"/>
      <c r="IRY4" s="106"/>
      <c r="IRZ4" s="106"/>
      <c r="ISA4" s="106"/>
      <c r="ISB4" s="106"/>
      <c r="ISC4" s="106"/>
      <c r="ISD4" s="106"/>
      <c r="ISE4" s="106"/>
      <c r="ISF4" s="106"/>
      <c r="ISG4" s="106"/>
      <c r="ISH4" s="106"/>
      <c r="ISI4" s="106"/>
      <c r="ISJ4" s="106"/>
      <c r="ISK4" s="106"/>
      <c r="ISL4" s="106"/>
      <c r="ISM4" s="106"/>
      <c r="ISN4" s="106"/>
      <c r="ISO4" s="106"/>
      <c r="ISP4" s="106"/>
      <c r="ISQ4" s="106"/>
      <c r="ISR4" s="106"/>
      <c r="ISS4" s="106"/>
      <c r="IST4" s="106"/>
      <c r="ISU4" s="106"/>
      <c r="ISV4" s="106"/>
      <c r="ISW4" s="106"/>
      <c r="ISX4" s="106"/>
      <c r="ISY4" s="106"/>
      <c r="ISZ4" s="106"/>
      <c r="ITA4" s="106"/>
      <c r="ITB4" s="106"/>
      <c r="ITC4" s="106"/>
      <c r="ITD4" s="106"/>
      <c r="ITE4" s="106"/>
      <c r="ITF4" s="106"/>
      <c r="ITG4" s="106"/>
      <c r="ITH4" s="106"/>
      <c r="ITI4" s="106"/>
      <c r="ITJ4" s="106"/>
      <c r="ITK4" s="106"/>
      <c r="ITL4" s="106"/>
      <c r="ITM4" s="106"/>
      <c r="ITN4" s="106"/>
      <c r="ITO4" s="106"/>
      <c r="ITP4" s="106"/>
      <c r="ITQ4" s="106"/>
      <c r="ITR4" s="106"/>
      <c r="ITS4" s="106"/>
      <c r="ITT4" s="106"/>
      <c r="ITU4" s="106"/>
      <c r="ITV4" s="106"/>
      <c r="ITW4" s="106"/>
      <c r="ITX4" s="106"/>
      <c r="ITY4" s="106"/>
      <c r="ITZ4" s="106"/>
      <c r="IUA4" s="106"/>
      <c r="IUB4" s="106"/>
      <c r="IUC4" s="106"/>
      <c r="IUD4" s="106"/>
      <c r="IUE4" s="106"/>
      <c r="IUF4" s="106"/>
      <c r="IUG4" s="106"/>
      <c r="IUH4" s="106"/>
      <c r="IUI4" s="106"/>
      <c r="IUJ4" s="106"/>
      <c r="IUK4" s="106"/>
      <c r="IUL4" s="106"/>
      <c r="IUM4" s="106"/>
      <c r="IUN4" s="106"/>
      <c r="IUO4" s="106"/>
      <c r="IUP4" s="106"/>
      <c r="IUQ4" s="106"/>
      <c r="IUR4" s="106"/>
      <c r="IUS4" s="106"/>
      <c r="IUT4" s="106"/>
      <c r="IUU4" s="106"/>
      <c r="IUV4" s="106"/>
      <c r="IUW4" s="106"/>
      <c r="IUX4" s="106"/>
      <c r="IUY4" s="106"/>
      <c r="IUZ4" s="106"/>
      <c r="IVA4" s="106"/>
      <c r="IVB4" s="106"/>
      <c r="IVC4" s="106"/>
      <c r="IVD4" s="106"/>
      <c r="IVE4" s="106"/>
      <c r="IVF4" s="106"/>
      <c r="IVG4" s="106"/>
      <c r="IVH4" s="106"/>
      <c r="IVI4" s="106"/>
      <c r="IVJ4" s="106"/>
      <c r="IVK4" s="106"/>
      <c r="IVL4" s="106"/>
      <c r="IVM4" s="106"/>
      <c r="IVN4" s="106"/>
      <c r="IVO4" s="106"/>
      <c r="IVP4" s="106"/>
      <c r="IVQ4" s="106"/>
      <c r="IVR4" s="106"/>
      <c r="IVS4" s="106"/>
      <c r="IVT4" s="106"/>
      <c r="IVU4" s="106"/>
      <c r="IVV4" s="106"/>
      <c r="IVW4" s="106"/>
      <c r="IVX4" s="106"/>
      <c r="IVY4" s="106"/>
      <c r="IVZ4" s="106"/>
      <c r="IWA4" s="106"/>
      <c r="IWB4" s="106"/>
      <c r="IWC4" s="106"/>
      <c r="IWD4" s="106"/>
      <c r="IWE4" s="106"/>
      <c r="IWF4" s="106"/>
      <c r="IWG4" s="106"/>
      <c r="IWH4" s="106"/>
      <c r="IWI4" s="106"/>
      <c r="IWJ4" s="106"/>
      <c r="IWK4" s="106"/>
      <c r="IWL4" s="106"/>
      <c r="IWM4" s="106"/>
      <c r="IWN4" s="106"/>
      <c r="IWO4" s="106"/>
      <c r="IWP4" s="106"/>
      <c r="IWQ4" s="106"/>
      <c r="IWR4" s="106"/>
      <c r="IWS4" s="106"/>
      <c r="IWT4" s="106"/>
      <c r="IWU4" s="106"/>
      <c r="IWV4" s="106"/>
      <c r="IWW4" s="106"/>
      <c r="IWX4" s="106"/>
      <c r="IWY4" s="106"/>
      <c r="IWZ4" s="106"/>
      <c r="IXA4" s="106"/>
      <c r="IXB4" s="106"/>
      <c r="IXC4" s="106"/>
      <c r="IXD4" s="106"/>
      <c r="IXE4" s="106"/>
      <c r="IXF4" s="106"/>
      <c r="IXG4" s="106"/>
      <c r="IXH4" s="106"/>
      <c r="IXI4" s="106"/>
      <c r="IXJ4" s="106"/>
      <c r="IXK4" s="106"/>
      <c r="IXL4" s="106"/>
      <c r="IXM4" s="106"/>
      <c r="IXN4" s="106"/>
      <c r="IXO4" s="106"/>
      <c r="IXP4" s="106"/>
      <c r="IXQ4" s="106"/>
      <c r="IXR4" s="106"/>
      <c r="IXS4" s="106"/>
      <c r="IXT4" s="106"/>
      <c r="IXU4" s="106"/>
      <c r="IXV4" s="106"/>
      <c r="IXW4" s="106"/>
      <c r="IXX4" s="106"/>
      <c r="IXY4" s="106"/>
      <c r="IXZ4" s="106"/>
      <c r="IYA4" s="106"/>
      <c r="IYB4" s="106"/>
      <c r="IYC4" s="106"/>
      <c r="IYD4" s="106"/>
      <c r="IYE4" s="106"/>
      <c r="IYF4" s="106"/>
      <c r="IYG4" s="106"/>
      <c r="IYH4" s="106"/>
      <c r="IYI4" s="106"/>
      <c r="IYJ4" s="106"/>
      <c r="IYK4" s="106"/>
      <c r="IYL4" s="106"/>
      <c r="IYM4" s="106"/>
      <c r="IYN4" s="106"/>
      <c r="IYO4" s="106"/>
      <c r="IYP4" s="106"/>
      <c r="IYQ4" s="106"/>
      <c r="IYR4" s="106"/>
      <c r="IYS4" s="106"/>
      <c r="IYT4" s="106"/>
      <c r="IYU4" s="106"/>
      <c r="IYV4" s="106"/>
      <c r="IYW4" s="106"/>
      <c r="IYX4" s="106"/>
      <c r="IYY4" s="106"/>
      <c r="IYZ4" s="106"/>
      <c r="IZA4" s="106"/>
      <c r="IZB4" s="106"/>
      <c r="IZC4" s="106"/>
      <c r="IZD4" s="106"/>
      <c r="IZE4" s="106"/>
      <c r="IZF4" s="106"/>
      <c r="IZG4" s="106"/>
      <c r="IZH4" s="106"/>
      <c r="IZI4" s="106"/>
      <c r="IZJ4" s="106"/>
      <c r="IZK4" s="106"/>
      <c r="IZL4" s="106"/>
      <c r="IZM4" s="106"/>
      <c r="IZN4" s="106"/>
      <c r="IZO4" s="106"/>
      <c r="IZP4" s="106"/>
      <c r="IZQ4" s="106"/>
      <c r="IZR4" s="106"/>
      <c r="IZS4" s="106"/>
      <c r="IZT4" s="106"/>
      <c r="IZU4" s="106"/>
      <c r="IZV4" s="106"/>
      <c r="IZW4" s="106"/>
      <c r="IZX4" s="106"/>
      <c r="IZY4" s="106"/>
      <c r="IZZ4" s="106"/>
      <c r="JAA4" s="106"/>
      <c r="JAB4" s="106"/>
      <c r="JAC4" s="106"/>
      <c r="JAD4" s="106"/>
      <c r="JAE4" s="106"/>
      <c r="JAF4" s="106"/>
      <c r="JAG4" s="106"/>
      <c r="JAH4" s="106"/>
      <c r="JAI4" s="106"/>
      <c r="JAJ4" s="106"/>
      <c r="JAK4" s="106"/>
      <c r="JAL4" s="106"/>
      <c r="JAM4" s="106"/>
      <c r="JAN4" s="106"/>
      <c r="JAO4" s="106"/>
      <c r="JAP4" s="106"/>
      <c r="JAQ4" s="106"/>
      <c r="JAR4" s="106"/>
      <c r="JAS4" s="106"/>
      <c r="JAT4" s="106"/>
      <c r="JAU4" s="106"/>
      <c r="JAV4" s="106"/>
      <c r="JAW4" s="106"/>
      <c r="JAX4" s="106"/>
      <c r="JAY4" s="106"/>
      <c r="JAZ4" s="106"/>
      <c r="JBA4" s="106"/>
      <c r="JBB4" s="106"/>
      <c r="JBC4" s="106"/>
      <c r="JBD4" s="106"/>
      <c r="JBE4" s="106"/>
      <c r="JBF4" s="106"/>
      <c r="JBG4" s="106"/>
      <c r="JBH4" s="106"/>
      <c r="JBI4" s="106"/>
      <c r="JBJ4" s="106"/>
      <c r="JBK4" s="106"/>
      <c r="JBL4" s="106"/>
      <c r="JBM4" s="106"/>
      <c r="JBN4" s="106"/>
      <c r="JBO4" s="106"/>
      <c r="JBP4" s="106"/>
      <c r="JBQ4" s="106"/>
      <c r="JBR4" s="106"/>
      <c r="JBS4" s="106"/>
      <c r="JBT4" s="106"/>
      <c r="JBU4" s="106"/>
      <c r="JBV4" s="106"/>
      <c r="JBW4" s="106"/>
      <c r="JBX4" s="106"/>
      <c r="JBY4" s="106"/>
      <c r="JBZ4" s="106"/>
      <c r="JCA4" s="106"/>
      <c r="JCB4" s="106"/>
      <c r="JCC4" s="106"/>
      <c r="JCD4" s="106"/>
      <c r="JCE4" s="106"/>
      <c r="JCF4" s="106"/>
      <c r="JCG4" s="106"/>
      <c r="JCH4" s="106"/>
      <c r="JCI4" s="106"/>
      <c r="JCJ4" s="106"/>
      <c r="JCK4" s="106"/>
      <c r="JCL4" s="106"/>
      <c r="JCM4" s="106"/>
      <c r="JCN4" s="106"/>
      <c r="JCO4" s="106"/>
      <c r="JCP4" s="106"/>
      <c r="JCQ4" s="106"/>
      <c r="JCR4" s="106"/>
      <c r="JCS4" s="106"/>
      <c r="JCT4" s="106"/>
      <c r="JCU4" s="106"/>
      <c r="JCV4" s="106"/>
      <c r="JCW4" s="106"/>
      <c r="JCX4" s="106"/>
      <c r="JCY4" s="106"/>
      <c r="JCZ4" s="106"/>
      <c r="JDA4" s="106"/>
      <c r="JDB4" s="106"/>
      <c r="JDC4" s="106"/>
      <c r="JDD4" s="106"/>
      <c r="JDE4" s="106"/>
      <c r="JDF4" s="106"/>
      <c r="JDG4" s="106"/>
      <c r="JDH4" s="106"/>
      <c r="JDI4" s="106"/>
      <c r="JDJ4" s="106"/>
      <c r="JDK4" s="106"/>
      <c r="JDL4" s="106"/>
      <c r="JDM4" s="106"/>
      <c r="JDN4" s="106"/>
      <c r="JDO4" s="106"/>
      <c r="JDP4" s="106"/>
      <c r="JDQ4" s="106"/>
      <c r="JDR4" s="106"/>
      <c r="JDS4" s="106"/>
      <c r="JDT4" s="106"/>
      <c r="JDU4" s="106"/>
      <c r="JDV4" s="106"/>
      <c r="JDW4" s="106"/>
      <c r="JDX4" s="106"/>
      <c r="JDY4" s="106"/>
      <c r="JDZ4" s="106"/>
      <c r="JEA4" s="106"/>
      <c r="JEB4" s="106"/>
      <c r="JEC4" s="106"/>
      <c r="JED4" s="106"/>
      <c r="JEE4" s="106"/>
      <c r="JEF4" s="106"/>
      <c r="JEG4" s="106"/>
      <c r="JEH4" s="106"/>
      <c r="JEI4" s="106"/>
      <c r="JEJ4" s="106"/>
      <c r="JEK4" s="106"/>
      <c r="JEL4" s="106"/>
      <c r="JEM4" s="106"/>
      <c r="JEN4" s="106"/>
      <c r="JEO4" s="106"/>
      <c r="JEP4" s="106"/>
      <c r="JEQ4" s="106"/>
      <c r="JER4" s="106"/>
      <c r="JES4" s="106"/>
      <c r="JET4" s="106"/>
      <c r="JEU4" s="106"/>
      <c r="JEV4" s="106"/>
      <c r="JEW4" s="106"/>
      <c r="JEX4" s="106"/>
      <c r="JEY4" s="106"/>
      <c r="JEZ4" s="106"/>
      <c r="JFA4" s="106"/>
      <c r="JFB4" s="106"/>
      <c r="JFC4" s="106"/>
      <c r="JFD4" s="106"/>
      <c r="JFE4" s="106"/>
      <c r="JFF4" s="106"/>
      <c r="JFG4" s="106"/>
      <c r="JFH4" s="106"/>
      <c r="JFI4" s="106"/>
      <c r="JFJ4" s="106"/>
      <c r="JFK4" s="106"/>
      <c r="JFL4" s="106"/>
      <c r="JFM4" s="106"/>
      <c r="JFN4" s="106"/>
      <c r="JFO4" s="106"/>
      <c r="JFP4" s="106"/>
      <c r="JFQ4" s="106"/>
      <c r="JFR4" s="106"/>
      <c r="JFS4" s="106"/>
      <c r="JFT4" s="106"/>
      <c r="JFU4" s="106"/>
      <c r="JFV4" s="106"/>
      <c r="JFW4" s="106"/>
      <c r="JFX4" s="106"/>
      <c r="JFY4" s="106"/>
      <c r="JFZ4" s="106"/>
      <c r="JGA4" s="106"/>
      <c r="JGB4" s="106"/>
      <c r="JGC4" s="106"/>
      <c r="JGD4" s="106"/>
      <c r="JGE4" s="106"/>
      <c r="JGF4" s="106"/>
      <c r="JGG4" s="106"/>
      <c r="JGH4" s="106"/>
      <c r="JGI4" s="106"/>
      <c r="JGJ4" s="106"/>
      <c r="JGK4" s="106"/>
      <c r="JGL4" s="106"/>
      <c r="JGM4" s="106"/>
      <c r="JGN4" s="106"/>
      <c r="JGO4" s="106"/>
      <c r="JGP4" s="106"/>
      <c r="JGQ4" s="106"/>
      <c r="JGR4" s="106"/>
      <c r="JGS4" s="106"/>
      <c r="JGT4" s="106"/>
      <c r="JGU4" s="106"/>
      <c r="JGV4" s="106"/>
      <c r="JGW4" s="106"/>
      <c r="JGX4" s="106"/>
      <c r="JGY4" s="106"/>
      <c r="JGZ4" s="106"/>
      <c r="JHA4" s="106"/>
      <c r="JHB4" s="106"/>
      <c r="JHC4" s="106"/>
      <c r="JHD4" s="106"/>
      <c r="JHE4" s="106"/>
      <c r="JHF4" s="106"/>
      <c r="JHG4" s="106"/>
      <c r="JHH4" s="106"/>
      <c r="JHI4" s="106"/>
      <c r="JHJ4" s="106"/>
      <c r="JHK4" s="106"/>
      <c r="JHL4" s="106"/>
      <c r="JHM4" s="106"/>
      <c r="JHN4" s="106"/>
      <c r="JHO4" s="106"/>
      <c r="JHP4" s="106"/>
      <c r="JHQ4" s="106"/>
      <c r="JHR4" s="106"/>
      <c r="JHS4" s="106"/>
      <c r="JHT4" s="106"/>
      <c r="JHU4" s="106"/>
      <c r="JHV4" s="106"/>
      <c r="JHW4" s="106"/>
      <c r="JHX4" s="106"/>
      <c r="JHY4" s="106"/>
      <c r="JHZ4" s="106"/>
      <c r="JIA4" s="106"/>
      <c r="JIB4" s="106"/>
      <c r="JIC4" s="106"/>
      <c r="JID4" s="106"/>
      <c r="JIE4" s="106"/>
      <c r="JIF4" s="106"/>
      <c r="JIG4" s="106"/>
      <c r="JIH4" s="106"/>
      <c r="JII4" s="106"/>
      <c r="JIJ4" s="106"/>
      <c r="JIK4" s="106"/>
      <c r="JIL4" s="106"/>
      <c r="JIM4" s="106"/>
      <c r="JIN4" s="106"/>
      <c r="JIO4" s="106"/>
      <c r="JIP4" s="106"/>
      <c r="JIQ4" s="106"/>
      <c r="JIR4" s="106"/>
      <c r="JIS4" s="106"/>
      <c r="JIT4" s="106"/>
      <c r="JIU4" s="106"/>
      <c r="JIV4" s="106"/>
      <c r="JIW4" s="106"/>
      <c r="JIX4" s="106"/>
      <c r="JIY4" s="106"/>
      <c r="JIZ4" s="106"/>
      <c r="JJA4" s="106"/>
      <c r="JJB4" s="106"/>
      <c r="JJC4" s="106"/>
      <c r="JJD4" s="106"/>
      <c r="JJE4" s="106"/>
      <c r="JJF4" s="106"/>
      <c r="JJG4" s="106"/>
      <c r="JJH4" s="106"/>
      <c r="JJI4" s="106"/>
      <c r="JJJ4" s="106"/>
      <c r="JJK4" s="106"/>
      <c r="JJL4" s="106"/>
      <c r="JJM4" s="106"/>
      <c r="JJN4" s="106"/>
      <c r="JJO4" s="106"/>
      <c r="JJP4" s="106"/>
      <c r="JJQ4" s="106"/>
      <c r="JJR4" s="106"/>
      <c r="JJS4" s="106"/>
      <c r="JJT4" s="106"/>
      <c r="JJU4" s="106"/>
      <c r="JJV4" s="106"/>
      <c r="JJW4" s="106"/>
      <c r="JJX4" s="106"/>
      <c r="JJY4" s="106"/>
      <c r="JJZ4" s="106"/>
      <c r="JKA4" s="106"/>
      <c r="JKB4" s="106"/>
      <c r="JKC4" s="106"/>
      <c r="JKD4" s="106"/>
      <c r="JKE4" s="106"/>
      <c r="JKF4" s="106"/>
      <c r="JKG4" s="106"/>
      <c r="JKH4" s="106"/>
      <c r="JKI4" s="106"/>
      <c r="JKJ4" s="106"/>
      <c r="JKK4" s="106"/>
      <c r="JKL4" s="106"/>
      <c r="JKM4" s="106"/>
      <c r="JKN4" s="106"/>
      <c r="JKO4" s="106"/>
      <c r="JKP4" s="106"/>
      <c r="JKQ4" s="106"/>
      <c r="JKR4" s="106"/>
      <c r="JKS4" s="106"/>
      <c r="JKT4" s="106"/>
      <c r="JKU4" s="106"/>
      <c r="JKV4" s="106"/>
      <c r="JKW4" s="106"/>
      <c r="JKX4" s="106"/>
      <c r="JKY4" s="106"/>
      <c r="JKZ4" s="106"/>
      <c r="JLA4" s="106"/>
      <c r="JLB4" s="106"/>
      <c r="JLC4" s="106"/>
      <c r="JLD4" s="106"/>
      <c r="JLE4" s="106"/>
      <c r="JLF4" s="106"/>
      <c r="JLG4" s="106"/>
      <c r="JLH4" s="106"/>
      <c r="JLI4" s="106"/>
      <c r="JLJ4" s="106"/>
      <c r="JLK4" s="106"/>
      <c r="JLL4" s="106"/>
      <c r="JLM4" s="106"/>
      <c r="JLN4" s="106"/>
      <c r="JLO4" s="106"/>
      <c r="JLP4" s="106"/>
      <c r="JLQ4" s="106"/>
      <c r="JLR4" s="106"/>
      <c r="JLS4" s="106"/>
      <c r="JLT4" s="106"/>
      <c r="JLU4" s="106"/>
      <c r="JLV4" s="106"/>
      <c r="JLW4" s="106"/>
      <c r="JLX4" s="106"/>
      <c r="JLY4" s="106"/>
      <c r="JLZ4" s="106"/>
      <c r="JMA4" s="106"/>
      <c r="JMB4" s="106"/>
      <c r="JMC4" s="106"/>
      <c r="JMD4" s="106"/>
      <c r="JME4" s="106"/>
      <c r="JMF4" s="106"/>
      <c r="JMG4" s="106"/>
      <c r="JMH4" s="106"/>
      <c r="JMI4" s="106"/>
      <c r="JMJ4" s="106"/>
      <c r="JMK4" s="106"/>
      <c r="JML4" s="106"/>
      <c r="JMM4" s="106"/>
      <c r="JMN4" s="106"/>
      <c r="JMO4" s="106"/>
      <c r="JMP4" s="106"/>
      <c r="JMQ4" s="106"/>
      <c r="JMR4" s="106"/>
      <c r="JMS4" s="106"/>
      <c r="JMT4" s="106"/>
      <c r="JMU4" s="106"/>
      <c r="JMV4" s="106"/>
      <c r="JMW4" s="106"/>
      <c r="JMX4" s="106"/>
      <c r="JMY4" s="106"/>
      <c r="JMZ4" s="106"/>
      <c r="JNA4" s="106"/>
      <c r="JNB4" s="106"/>
      <c r="JNC4" s="106"/>
      <c r="JND4" s="106"/>
      <c r="JNE4" s="106"/>
      <c r="JNF4" s="106"/>
      <c r="JNG4" s="106"/>
      <c r="JNH4" s="106"/>
      <c r="JNI4" s="106"/>
      <c r="JNJ4" s="106"/>
      <c r="JNK4" s="106"/>
      <c r="JNL4" s="106"/>
      <c r="JNM4" s="106"/>
      <c r="JNN4" s="106"/>
      <c r="JNO4" s="106"/>
      <c r="JNP4" s="106"/>
      <c r="JNQ4" s="106"/>
      <c r="JNR4" s="106"/>
      <c r="JNS4" s="106"/>
      <c r="JNT4" s="106"/>
      <c r="JNU4" s="106"/>
      <c r="JNV4" s="106"/>
      <c r="JNW4" s="106"/>
      <c r="JNX4" s="106"/>
      <c r="JNY4" s="106"/>
      <c r="JNZ4" s="106"/>
      <c r="JOA4" s="106"/>
      <c r="JOB4" s="106"/>
      <c r="JOC4" s="106"/>
      <c r="JOD4" s="106"/>
      <c r="JOE4" s="106"/>
      <c r="JOF4" s="106"/>
      <c r="JOG4" s="106"/>
      <c r="JOH4" s="106"/>
      <c r="JOI4" s="106"/>
      <c r="JOJ4" s="106"/>
      <c r="JOK4" s="106"/>
      <c r="JOL4" s="106"/>
      <c r="JOM4" s="106"/>
      <c r="JON4" s="106"/>
      <c r="JOO4" s="106"/>
      <c r="JOP4" s="106"/>
      <c r="JOQ4" s="106"/>
      <c r="JOR4" s="106"/>
      <c r="JOS4" s="106"/>
      <c r="JOT4" s="106"/>
      <c r="JOU4" s="106"/>
      <c r="JOV4" s="106"/>
      <c r="JOW4" s="106"/>
      <c r="JOX4" s="106"/>
      <c r="JOY4" s="106"/>
      <c r="JOZ4" s="106"/>
      <c r="JPA4" s="106"/>
      <c r="JPB4" s="106"/>
      <c r="JPC4" s="106"/>
      <c r="JPD4" s="106"/>
      <c r="JPE4" s="106"/>
      <c r="JPF4" s="106"/>
      <c r="JPG4" s="106"/>
      <c r="JPH4" s="106"/>
      <c r="JPI4" s="106"/>
      <c r="JPJ4" s="106"/>
      <c r="JPK4" s="106"/>
      <c r="JPL4" s="106"/>
      <c r="JPM4" s="106"/>
      <c r="JPN4" s="106"/>
      <c r="JPO4" s="106"/>
      <c r="JPP4" s="106"/>
      <c r="JPQ4" s="106"/>
      <c r="JPR4" s="106"/>
      <c r="JPS4" s="106"/>
      <c r="JPT4" s="106"/>
      <c r="JPU4" s="106"/>
      <c r="JPV4" s="106"/>
      <c r="JPW4" s="106"/>
      <c r="JPX4" s="106"/>
      <c r="JPY4" s="106"/>
      <c r="JPZ4" s="106"/>
      <c r="JQA4" s="106"/>
      <c r="JQB4" s="106"/>
      <c r="JQC4" s="106"/>
      <c r="JQD4" s="106"/>
      <c r="JQE4" s="106"/>
      <c r="JQF4" s="106"/>
      <c r="JQG4" s="106"/>
      <c r="JQH4" s="106"/>
      <c r="JQI4" s="106"/>
      <c r="JQJ4" s="106"/>
      <c r="JQK4" s="106"/>
      <c r="JQL4" s="106"/>
      <c r="JQM4" s="106"/>
      <c r="JQN4" s="106"/>
      <c r="JQO4" s="106"/>
      <c r="JQP4" s="106"/>
      <c r="JQQ4" s="106"/>
      <c r="JQR4" s="106"/>
      <c r="JQS4" s="106"/>
      <c r="JQT4" s="106"/>
      <c r="JQU4" s="106"/>
      <c r="JQV4" s="106"/>
      <c r="JQW4" s="106"/>
      <c r="JQX4" s="106"/>
      <c r="JQY4" s="106"/>
      <c r="JQZ4" s="106"/>
      <c r="JRA4" s="106"/>
      <c r="JRB4" s="106"/>
      <c r="JRC4" s="106"/>
      <c r="JRD4" s="106"/>
      <c r="JRE4" s="106"/>
      <c r="JRF4" s="106"/>
      <c r="JRG4" s="106"/>
      <c r="JRH4" s="106"/>
      <c r="JRI4" s="106"/>
      <c r="JRJ4" s="106"/>
      <c r="JRK4" s="106"/>
      <c r="JRL4" s="106"/>
      <c r="JRM4" s="106"/>
      <c r="JRN4" s="106"/>
      <c r="JRO4" s="106"/>
      <c r="JRP4" s="106"/>
      <c r="JRQ4" s="106"/>
      <c r="JRR4" s="106"/>
      <c r="JRS4" s="106"/>
      <c r="JRT4" s="106"/>
      <c r="JRU4" s="106"/>
      <c r="JRV4" s="106"/>
      <c r="JRW4" s="106"/>
      <c r="JRX4" s="106"/>
      <c r="JRY4" s="106"/>
      <c r="JRZ4" s="106"/>
      <c r="JSA4" s="106"/>
      <c r="JSB4" s="106"/>
      <c r="JSC4" s="106"/>
      <c r="JSD4" s="106"/>
      <c r="JSE4" s="106"/>
      <c r="JSF4" s="106"/>
      <c r="JSG4" s="106"/>
      <c r="JSH4" s="106"/>
      <c r="JSI4" s="106"/>
      <c r="JSJ4" s="106"/>
      <c r="JSK4" s="106"/>
      <c r="JSL4" s="106"/>
      <c r="JSM4" s="106"/>
      <c r="JSN4" s="106"/>
      <c r="JSO4" s="106"/>
      <c r="JSP4" s="106"/>
      <c r="JSQ4" s="106"/>
      <c r="JSR4" s="106"/>
      <c r="JSS4" s="106"/>
      <c r="JST4" s="106"/>
      <c r="JSU4" s="106"/>
      <c r="JSV4" s="106"/>
      <c r="JSW4" s="106"/>
      <c r="JSX4" s="106"/>
      <c r="JSY4" s="106"/>
      <c r="JSZ4" s="106"/>
      <c r="JTA4" s="106"/>
      <c r="JTB4" s="106"/>
      <c r="JTC4" s="106"/>
      <c r="JTD4" s="106"/>
      <c r="JTE4" s="106"/>
      <c r="JTF4" s="106"/>
      <c r="JTG4" s="106"/>
      <c r="JTH4" s="106"/>
      <c r="JTI4" s="106"/>
      <c r="JTJ4" s="106"/>
      <c r="JTK4" s="106"/>
      <c r="JTL4" s="106"/>
      <c r="JTM4" s="106"/>
      <c r="JTN4" s="106"/>
      <c r="JTO4" s="106"/>
      <c r="JTP4" s="106"/>
      <c r="JTQ4" s="106"/>
      <c r="JTR4" s="106"/>
      <c r="JTS4" s="106"/>
      <c r="JTT4" s="106"/>
      <c r="JTU4" s="106"/>
      <c r="JTV4" s="106"/>
      <c r="JTW4" s="106"/>
      <c r="JTX4" s="106"/>
      <c r="JTY4" s="106"/>
      <c r="JTZ4" s="106"/>
      <c r="JUA4" s="106"/>
      <c r="JUB4" s="106"/>
      <c r="JUC4" s="106"/>
      <c r="JUD4" s="106"/>
      <c r="JUE4" s="106"/>
      <c r="JUF4" s="106"/>
      <c r="JUG4" s="106"/>
      <c r="JUH4" s="106"/>
      <c r="JUI4" s="106"/>
      <c r="JUJ4" s="106"/>
      <c r="JUK4" s="106"/>
      <c r="JUL4" s="106"/>
      <c r="JUM4" s="106"/>
      <c r="JUN4" s="106"/>
      <c r="JUO4" s="106"/>
      <c r="JUP4" s="106"/>
      <c r="JUQ4" s="106"/>
      <c r="JUR4" s="106"/>
      <c r="JUS4" s="106"/>
      <c r="JUT4" s="106"/>
      <c r="JUU4" s="106"/>
      <c r="JUV4" s="106"/>
      <c r="JUW4" s="106"/>
      <c r="JUX4" s="106"/>
      <c r="JUY4" s="106"/>
      <c r="JUZ4" s="106"/>
      <c r="JVA4" s="106"/>
      <c r="JVB4" s="106"/>
      <c r="JVC4" s="106"/>
      <c r="JVD4" s="106"/>
      <c r="JVE4" s="106"/>
      <c r="JVF4" s="106"/>
      <c r="JVG4" s="106"/>
      <c r="JVH4" s="106"/>
      <c r="JVI4" s="106"/>
      <c r="JVJ4" s="106"/>
      <c r="JVK4" s="106"/>
      <c r="JVL4" s="106"/>
      <c r="JVM4" s="106"/>
      <c r="JVN4" s="106"/>
      <c r="JVO4" s="106"/>
      <c r="JVP4" s="106"/>
      <c r="JVQ4" s="106"/>
      <c r="JVR4" s="106"/>
      <c r="JVS4" s="106"/>
      <c r="JVT4" s="106"/>
      <c r="JVU4" s="106"/>
      <c r="JVV4" s="106"/>
      <c r="JVW4" s="106"/>
      <c r="JVX4" s="106"/>
      <c r="JVY4" s="106"/>
      <c r="JVZ4" s="106"/>
      <c r="JWA4" s="106"/>
      <c r="JWB4" s="106"/>
      <c r="JWC4" s="106"/>
      <c r="JWD4" s="106"/>
      <c r="JWE4" s="106"/>
      <c r="JWF4" s="106"/>
      <c r="JWG4" s="106"/>
      <c r="JWH4" s="106"/>
      <c r="JWI4" s="106"/>
      <c r="JWJ4" s="106"/>
      <c r="JWK4" s="106"/>
      <c r="JWL4" s="106"/>
      <c r="JWM4" s="106"/>
      <c r="JWN4" s="106"/>
      <c r="JWO4" s="106"/>
      <c r="JWP4" s="106"/>
      <c r="JWQ4" s="106"/>
      <c r="JWR4" s="106"/>
      <c r="JWS4" s="106"/>
      <c r="JWT4" s="106"/>
      <c r="JWU4" s="106"/>
      <c r="JWV4" s="106"/>
      <c r="JWW4" s="106"/>
      <c r="JWX4" s="106"/>
      <c r="JWY4" s="106"/>
      <c r="JWZ4" s="106"/>
      <c r="JXA4" s="106"/>
      <c r="JXB4" s="106"/>
      <c r="JXC4" s="106"/>
      <c r="JXD4" s="106"/>
      <c r="JXE4" s="106"/>
      <c r="JXF4" s="106"/>
      <c r="JXG4" s="106"/>
      <c r="JXH4" s="106"/>
      <c r="JXI4" s="106"/>
      <c r="JXJ4" s="106"/>
      <c r="JXK4" s="106"/>
      <c r="JXL4" s="106"/>
      <c r="JXM4" s="106"/>
      <c r="JXN4" s="106"/>
      <c r="JXO4" s="106"/>
      <c r="JXP4" s="106"/>
      <c r="JXQ4" s="106"/>
      <c r="JXR4" s="106"/>
      <c r="JXS4" s="106"/>
      <c r="JXT4" s="106"/>
      <c r="JXU4" s="106"/>
      <c r="JXV4" s="106"/>
      <c r="JXW4" s="106"/>
      <c r="JXX4" s="106"/>
      <c r="JXY4" s="106"/>
      <c r="JXZ4" s="106"/>
      <c r="JYA4" s="106"/>
      <c r="JYB4" s="106"/>
      <c r="JYC4" s="106"/>
      <c r="JYD4" s="106"/>
      <c r="JYE4" s="106"/>
      <c r="JYF4" s="106"/>
      <c r="JYG4" s="106"/>
      <c r="JYH4" s="106"/>
      <c r="JYI4" s="106"/>
      <c r="JYJ4" s="106"/>
      <c r="JYK4" s="106"/>
      <c r="JYL4" s="106"/>
      <c r="JYM4" s="106"/>
      <c r="JYN4" s="106"/>
      <c r="JYO4" s="106"/>
      <c r="JYP4" s="106"/>
      <c r="JYQ4" s="106"/>
      <c r="JYR4" s="106"/>
      <c r="JYS4" s="106"/>
      <c r="JYT4" s="106"/>
      <c r="JYU4" s="106"/>
      <c r="JYV4" s="106"/>
      <c r="JYW4" s="106"/>
      <c r="JYX4" s="106"/>
      <c r="JYY4" s="106"/>
      <c r="JYZ4" s="106"/>
      <c r="JZA4" s="106"/>
      <c r="JZB4" s="106"/>
      <c r="JZC4" s="106"/>
      <c r="JZD4" s="106"/>
      <c r="JZE4" s="106"/>
      <c r="JZF4" s="106"/>
      <c r="JZG4" s="106"/>
      <c r="JZH4" s="106"/>
      <c r="JZI4" s="106"/>
      <c r="JZJ4" s="106"/>
      <c r="JZK4" s="106"/>
      <c r="JZL4" s="106"/>
      <c r="JZM4" s="106"/>
      <c r="JZN4" s="106"/>
      <c r="JZO4" s="106"/>
      <c r="JZP4" s="106"/>
      <c r="JZQ4" s="106"/>
      <c r="JZR4" s="106"/>
      <c r="JZS4" s="106"/>
      <c r="JZT4" s="106"/>
      <c r="JZU4" s="106"/>
      <c r="JZV4" s="106"/>
      <c r="JZW4" s="106"/>
      <c r="JZX4" s="106"/>
      <c r="JZY4" s="106"/>
      <c r="JZZ4" s="106"/>
      <c r="KAA4" s="106"/>
      <c r="KAB4" s="106"/>
      <c r="KAC4" s="106"/>
      <c r="KAD4" s="106"/>
      <c r="KAE4" s="106"/>
      <c r="KAF4" s="106"/>
      <c r="KAG4" s="106"/>
      <c r="KAH4" s="106"/>
      <c r="KAI4" s="106"/>
      <c r="KAJ4" s="106"/>
      <c r="KAK4" s="106"/>
      <c r="KAL4" s="106"/>
      <c r="KAM4" s="106"/>
      <c r="KAN4" s="106"/>
      <c r="KAO4" s="106"/>
      <c r="KAP4" s="106"/>
      <c r="KAQ4" s="106"/>
      <c r="KAR4" s="106"/>
      <c r="KAS4" s="106"/>
      <c r="KAT4" s="106"/>
      <c r="KAU4" s="106"/>
      <c r="KAV4" s="106"/>
      <c r="KAW4" s="106"/>
      <c r="KAX4" s="106"/>
      <c r="KAY4" s="106"/>
      <c r="KAZ4" s="106"/>
      <c r="KBA4" s="106"/>
      <c r="KBB4" s="106"/>
      <c r="KBC4" s="106"/>
      <c r="KBD4" s="106"/>
      <c r="KBE4" s="106"/>
      <c r="KBF4" s="106"/>
      <c r="KBG4" s="106"/>
      <c r="KBH4" s="106"/>
      <c r="KBI4" s="106"/>
      <c r="KBJ4" s="106"/>
      <c r="KBK4" s="106"/>
      <c r="KBL4" s="106"/>
      <c r="KBM4" s="106"/>
      <c r="KBN4" s="106"/>
      <c r="KBO4" s="106"/>
      <c r="KBP4" s="106"/>
      <c r="KBQ4" s="106"/>
      <c r="KBR4" s="106"/>
      <c r="KBS4" s="106"/>
      <c r="KBT4" s="106"/>
      <c r="KBU4" s="106"/>
      <c r="KBV4" s="106"/>
      <c r="KBW4" s="106"/>
      <c r="KBX4" s="106"/>
      <c r="KBY4" s="106"/>
      <c r="KBZ4" s="106"/>
      <c r="KCA4" s="106"/>
      <c r="KCB4" s="106"/>
      <c r="KCC4" s="106"/>
      <c r="KCD4" s="106"/>
      <c r="KCE4" s="106"/>
      <c r="KCF4" s="106"/>
      <c r="KCG4" s="106"/>
      <c r="KCH4" s="106"/>
      <c r="KCI4" s="106"/>
      <c r="KCJ4" s="106"/>
      <c r="KCK4" s="106"/>
      <c r="KCL4" s="106"/>
      <c r="KCM4" s="106"/>
      <c r="KCN4" s="106"/>
      <c r="KCO4" s="106"/>
      <c r="KCP4" s="106"/>
      <c r="KCQ4" s="106"/>
      <c r="KCR4" s="106"/>
      <c r="KCS4" s="106"/>
      <c r="KCT4" s="106"/>
      <c r="KCU4" s="106"/>
      <c r="KCV4" s="106"/>
      <c r="KCW4" s="106"/>
      <c r="KCX4" s="106"/>
      <c r="KCY4" s="106"/>
      <c r="KCZ4" s="106"/>
      <c r="KDA4" s="106"/>
      <c r="KDB4" s="106"/>
      <c r="KDC4" s="106"/>
      <c r="KDD4" s="106"/>
      <c r="KDE4" s="106"/>
      <c r="KDF4" s="106"/>
      <c r="KDG4" s="106"/>
      <c r="KDH4" s="106"/>
      <c r="KDI4" s="106"/>
      <c r="KDJ4" s="106"/>
      <c r="KDK4" s="106"/>
      <c r="KDL4" s="106"/>
      <c r="KDM4" s="106"/>
      <c r="KDN4" s="106"/>
      <c r="KDO4" s="106"/>
      <c r="KDP4" s="106"/>
      <c r="KDQ4" s="106"/>
      <c r="KDR4" s="106"/>
      <c r="KDS4" s="106"/>
      <c r="KDT4" s="106"/>
      <c r="KDU4" s="106"/>
      <c r="KDV4" s="106"/>
      <c r="KDW4" s="106"/>
      <c r="KDX4" s="106"/>
      <c r="KDY4" s="106"/>
      <c r="KDZ4" s="106"/>
      <c r="KEA4" s="106"/>
      <c r="KEB4" s="106"/>
      <c r="KEC4" s="106"/>
      <c r="KED4" s="106"/>
      <c r="KEE4" s="106"/>
      <c r="KEF4" s="106"/>
      <c r="KEG4" s="106"/>
      <c r="KEH4" s="106"/>
      <c r="KEI4" s="106"/>
      <c r="KEJ4" s="106"/>
      <c r="KEK4" s="106"/>
      <c r="KEL4" s="106"/>
      <c r="KEM4" s="106"/>
      <c r="KEN4" s="106"/>
      <c r="KEO4" s="106"/>
      <c r="KEP4" s="106"/>
      <c r="KEQ4" s="106"/>
      <c r="KER4" s="106"/>
      <c r="KES4" s="106"/>
      <c r="KET4" s="106"/>
      <c r="KEU4" s="106"/>
      <c r="KEV4" s="106"/>
      <c r="KEW4" s="106"/>
      <c r="KEX4" s="106"/>
      <c r="KEY4" s="106"/>
      <c r="KEZ4" s="106"/>
      <c r="KFA4" s="106"/>
      <c r="KFB4" s="106"/>
      <c r="KFC4" s="106"/>
      <c r="KFD4" s="106"/>
      <c r="KFE4" s="106"/>
      <c r="KFF4" s="106"/>
      <c r="KFG4" s="106"/>
      <c r="KFH4" s="106"/>
      <c r="KFI4" s="106"/>
      <c r="KFJ4" s="106"/>
      <c r="KFK4" s="106"/>
      <c r="KFL4" s="106"/>
      <c r="KFM4" s="106"/>
      <c r="KFN4" s="106"/>
      <c r="KFO4" s="106"/>
      <c r="KFP4" s="106"/>
      <c r="KFQ4" s="106"/>
      <c r="KFR4" s="106"/>
      <c r="KFS4" s="106"/>
      <c r="KFT4" s="106"/>
      <c r="KFU4" s="106"/>
      <c r="KFV4" s="106"/>
      <c r="KFW4" s="106"/>
      <c r="KFX4" s="106"/>
      <c r="KFY4" s="106"/>
      <c r="KFZ4" s="106"/>
      <c r="KGA4" s="106"/>
      <c r="KGB4" s="106"/>
      <c r="KGC4" s="106"/>
      <c r="KGD4" s="106"/>
      <c r="KGE4" s="106"/>
      <c r="KGF4" s="106"/>
      <c r="KGG4" s="106"/>
      <c r="KGH4" s="106"/>
      <c r="KGI4" s="106"/>
      <c r="KGJ4" s="106"/>
      <c r="KGK4" s="106"/>
      <c r="KGL4" s="106"/>
      <c r="KGM4" s="106"/>
      <c r="KGN4" s="106"/>
      <c r="KGO4" s="106"/>
      <c r="KGP4" s="106"/>
      <c r="KGQ4" s="106"/>
      <c r="KGR4" s="106"/>
      <c r="KGS4" s="106"/>
      <c r="KGT4" s="106"/>
      <c r="KGU4" s="106"/>
      <c r="KGV4" s="106"/>
      <c r="KGW4" s="106"/>
      <c r="KGX4" s="106"/>
      <c r="KGY4" s="106"/>
      <c r="KGZ4" s="106"/>
      <c r="KHA4" s="106"/>
      <c r="KHB4" s="106"/>
      <c r="KHC4" s="106"/>
      <c r="KHD4" s="106"/>
      <c r="KHE4" s="106"/>
      <c r="KHF4" s="106"/>
      <c r="KHG4" s="106"/>
      <c r="KHH4" s="106"/>
      <c r="KHI4" s="106"/>
      <c r="KHJ4" s="106"/>
      <c r="KHK4" s="106"/>
      <c r="KHL4" s="106"/>
      <c r="KHM4" s="106"/>
      <c r="KHN4" s="106"/>
      <c r="KHO4" s="106"/>
      <c r="KHP4" s="106"/>
      <c r="KHQ4" s="106"/>
      <c r="KHR4" s="106"/>
      <c r="KHS4" s="106"/>
      <c r="KHT4" s="106"/>
      <c r="KHU4" s="106"/>
      <c r="KHV4" s="106"/>
      <c r="KHW4" s="106"/>
      <c r="KHX4" s="106"/>
      <c r="KHY4" s="106"/>
      <c r="KHZ4" s="106"/>
      <c r="KIA4" s="106"/>
      <c r="KIB4" s="106"/>
      <c r="KIC4" s="106"/>
      <c r="KID4" s="106"/>
      <c r="KIE4" s="106"/>
      <c r="KIF4" s="106"/>
      <c r="KIG4" s="106"/>
      <c r="KIH4" s="106"/>
      <c r="KII4" s="106"/>
      <c r="KIJ4" s="106"/>
      <c r="KIK4" s="106"/>
      <c r="KIL4" s="106"/>
      <c r="KIM4" s="106"/>
      <c r="KIN4" s="106"/>
      <c r="KIO4" s="106"/>
      <c r="KIP4" s="106"/>
      <c r="KIQ4" s="106"/>
      <c r="KIR4" s="106"/>
      <c r="KIS4" s="106"/>
      <c r="KIT4" s="106"/>
      <c r="KIU4" s="106"/>
      <c r="KIV4" s="106"/>
      <c r="KIW4" s="106"/>
      <c r="KIX4" s="106"/>
      <c r="KIY4" s="106"/>
      <c r="KIZ4" s="106"/>
      <c r="KJA4" s="106"/>
      <c r="KJB4" s="106"/>
      <c r="KJC4" s="106"/>
      <c r="KJD4" s="106"/>
      <c r="KJE4" s="106"/>
      <c r="KJF4" s="106"/>
      <c r="KJG4" s="106"/>
      <c r="KJH4" s="106"/>
      <c r="KJI4" s="106"/>
      <c r="KJJ4" s="106"/>
      <c r="KJK4" s="106"/>
      <c r="KJL4" s="106"/>
      <c r="KJM4" s="106"/>
      <c r="KJN4" s="106"/>
      <c r="KJO4" s="106"/>
      <c r="KJP4" s="106"/>
      <c r="KJQ4" s="106"/>
      <c r="KJR4" s="106"/>
      <c r="KJS4" s="106"/>
      <c r="KJT4" s="106"/>
      <c r="KJU4" s="106"/>
      <c r="KJV4" s="106"/>
      <c r="KJW4" s="106"/>
      <c r="KJX4" s="106"/>
      <c r="KJY4" s="106"/>
      <c r="KJZ4" s="106"/>
      <c r="KKA4" s="106"/>
      <c r="KKB4" s="106"/>
      <c r="KKC4" s="106"/>
      <c r="KKD4" s="106"/>
      <c r="KKE4" s="106"/>
      <c r="KKF4" s="106"/>
      <c r="KKG4" s="106"/>
      <c r="KKH4" s="106"/>
      <c r="KKI4" s="106"/>
      <c r="KKJ4" s="106"/>
      <c r="KKK4" s="106"/>
      <c r="KKL4" s="106"/>
      <c r="KKM4" s="106"/>
      <c r="KKN4" s="106"/>
      <c r="KKO4" s="106"/>
      <c r="KKP4" s="106"/>
      <c r="KKQ4" s="106"/>
      <c r="KKR4" s="106"/>
      <c r="KKS4" s="106"/>
      <c r="KKT4" s="106"/>
      <c r="KKU4" s="106"/>
      <c r="KKV4" s="106"/>
      <c r="KKW4" s="106"/>
      <c r="KKX4" s="106"/>
      <c r="KKY4" s="106"/>
      <c r="KKZ4" s="106"/>
      <c r="KLA4" s="106"/>
      <c r="KLB4" s="106"/>
      <c r="KLC4" s="106"/>
      <c r="KLD4" s="106"/>
      <c r="KLE4" s="106"/>
      <c r="KLF4" s="106"/>
      <c r="KLG4" s="106"/>
      <c r="KLH4" s="106"/>
      <c r="KLI4" s="106"/>
      <c r="KLJ4" s="106"/>
      <c r="KLK4" s="106"/>
      <c r="KLL4" s="106"/>
      <c r="KLM4" s="106"/>
      <c r="KLN4" s="106"/>
      <c r="KLO4" s="106"/>
      <c r="KLP4" s="106"/>
      <c r="KLQ4" s="106"/>
      <c r="KLR4" s="106"/>
      <c r="KLS4" s="106"/>
      <c r="KLT4" s="106"/>
      <c r="KLU4" s="106"/>
      <c r="KLV4" s="106"/>
      <c r="KLW4" s="106"/>
      <c r="KLX4" s="106"/>
      <c r="KLY4" s="106"/>
      <c r="KLZ4" s="106"/>
      <c r="KMA4" s="106"/>
      <c r="KMB4" s="106"/>
      <c r="KMC4" s="106"/>
      <c r="KMD4" s="106"/>
      <c r="KME4" s="106"/>
      <c r="KMF4" s="106"/>
      <c r="KMG4" s="106"/>
      <c r="KMH4" s="106"/>
      <c r="KMI4" s="106"/>
      <c r="KMJ4" s="106"/>
      <c r="KMK4" s="106"/>
      <c r="KML4" s="106"/>
      <c r="KMM4" s="106"/>
      <c r="KMN4" s="106"/>
      <c r="KMO4" s="106"/>
      <c r="KMP4" s="106"/>
      <c r="KMQ4" s="106"/>
      <c r="KMR4" s="106"/>
      <c r="KMS4" s="106"/>
      <c r="KMT4" s="106"/>
      <c r="KMU4" s="106"/>
      <c r="KMV4" s="106"/>
      <c r="KMW4" s="106"/>
      <c r="KMX4" s="106"/>
      <c r="KMY4" s="106"/>
      <c r="KMZ4" s="106"/>
      <c r="KNA4" s="106"/>
      <c r="KNB4" s="106"/>
      <c r="KNC4" s="106"/>
      <c r="KND4" s="106"/>
      <c r="KNE4" s="106"/>
      <c r="KNF4" s="106"/>
      <c r="KNG4" s="106"/>
      <c r="KNH4" s="106"/>
      <c r="KNI4" s="106"/>
      <c r="KNJ4" s="106"/>
      <c r="KNK4" s="106"/>
      <c r="KNL4" s="106"/>
      <c r="KNM4" s="106"/>
      <c r="KNN4" s="106"/>
      <c r="KNO4" s="106"/>
      <c r="KNP4" s="106"/>
      <c r="KNQ4" s="106"/>
      <c r="KNR4" s="106"/>
      <c r="KNS4" s="106"/>
      <c r="KNT4" s="106"/>
      <c r="KNU4" s="106"/>
      <c r="KNV4" s="106"/>
      <c r="KNW4" s="106"/>
      <c r="KNX4" s="106"/>
      <c r="KNY4" s="106"/>
      <c r="KNZ4" s="106"/>
      <c r="KOA4" s="106"/>
      <c r="KOB4" s="106"/>
      <c r="KOC4" s="106"/>
      <c r="KOD4" s="106"/>
      <c r="KOE4" s="106"/>
      <c r="KOF4" s="106"/>
      <c r="KOG4" s="106"/>
      <c r="KOH4" s="106"/>
      <c r="KOI4" s="106"/>
      <c r="KOJ4" s="106"/>
      <c r="KOK4" s="106"/>
      <c r="KOL4" s="106"/>
      <c r="KOM4" s="106"/>
      <c r="KON4" s="106"/>
      <c r="KOO4" s="106"/>
      <c r="KOP4" s="106"/>
      <c r="KOQ4" s="106"/>
      <c r="KOR4" s="106"/>
      <c r="KOS4" s="106"/>
      <c r="KOT4" s="106"/>
      <c r="KOU4" s="106"/>
      <c r="KOV4" s="106"/>
      <c r="KOW4" s="106"/>
      <c r="KOX4" s="106"/>
      <c r="KOY4" s="106"/>
      <c r="KOZ4" s="106"/>
      <c r="KPA4" s="106"/>
      <c r="KPB4" s="106"/>
      <c r="KPC4" s="106"/>
      <c r="KPD4" s="106"/>
      <c r="KPE4" s="106"/>
      <c r="KPF4" s="106"/>
      <c r="KPG4" s="106"/>
      <c r="KPH4" s="106"/>
      <c r="KPI4" s="106"/>
      <c r="KPJ4" s="106"/>
      <c r="KPK4" s="106"/>
      <c r="KPL4" s="106"/>
      <c r="KPM4" s="106"/>
      <c r="KPN4" s="106"/>
      <c r="KPO4" s="106"/>
      <c r="KPP4" s="106"/>
      <c r="KPQ4" s="106"/>
      <c r="KPR4" s="106"/>
      <c r="KPS4" s="106"/>
      <c r="KPT4" s="106"/>
      <c r="KPU4" s="106"/>
      <c r="KPV4" s="106"/>
      <c r="KPW4" s="106"/>
      <c r="KPX4" s="106"/>
      <c r="KPY4" s="106"/>
      <c r="KPZ4" s="106"/>
      <c r="KQA4" s="106"/>
      <c r="KQB4" s="106"/>
      <c r="KQC4" s="106"/>
      <c r="KQD4" s="106"/>
      <c r="KQE4" s="106"/>
      <c r="KQF4" s="106"/>
      <c r="KQG4" s="106"/>
      <c r="KQH4" s="106"/>
      <c r="KQI4" s="106"/>
      <c r="KQJ4" s="106"/>
      <c r="KQK4" s="106"/>
      <c r="KQL4" s="106"/>
      <c r="KQM4" s="106"/>
      <c r="KQN4" s="106"/>
      <c r="KQO4" s="106"/>
      <c r="KQP4" s="106"/>
      <c r="KQQ4" s="106"/>
      <c r="KQR4" s="106"/>
      <c r="KQS4" s="106"/>
      <c r="KQT4" s="106"/>
      <c r="KQU4" s="106"/>
      <c r="KQV4" s="106"/>
      <c r="KQW4" s="106"/>
      <c r="KQX4" s="106"/>
      <c r="KQY4" s="106"/>
      <c r="KQZ4" s="106"/>
      <c r="KRA4" s="106"/>
      <c r="KRB4" s="106"/>
      <c r="KRC4" s="106"/>
      <c r="KRD4" s="106"/>
      <c r="KRE4" s="106"/>
      <c r="KRF4" s="106"/>
      <c r="KRG4" s="106"/>
      <c r="KRH4" s="106"/>
      <c r="KRI4" s="106"/>
      <c r="KRJ4" s="106"/>
      <c r="KRK4" s="106"/>
      <c r="KRL4" s="106"/>
      <c r="KRM4" s="106"/>
      <c r="KRN4" s="106"/>
      <c r="KRO4" s="106"/>
      <c r="KRP4" s="106"/>
      <c r="KRQ4" s="106"/>
      <c r="KRR4" s="106"/>
      <c r="KRS4" s="106"/>
      <c r="KRT4" s="106"/>
      <c r="KRU4" s="106"/>
      <c r="KRV4" s="106"/>
      <c r="KRW4" s="106"/>
      <c r="KRX4" s="106"/>
      <c r="KRY4" s="106"/>
      <c r="KRZ4" s="106"/>
      <c r="KSA4" s="106"/>
      <c r="KSB4" s="106"/>
      <c r="KSC4" s="106"/>
      <c r="KSD4" s="106"/>
      <c r="KSE4" s="106"/>
      <c r="KSF4" s="106"/>
      <c r="KSG4" s="106"/>
      <c r="KSH4" s="106"/>
      <c r="KSI4" s="106"/>
      <c r="KSJ4" s="106"/>
      <c r="KSK4" s="106"/>
      <c r="KSL4" s="106"/>
      <c r="KSM4" s="106"/>
      <c r="KSN4" s="106"/>
      <c r="KSO4" s="106"/>
      <c r="KSP4" s="106"/>
      <c r="KSQ4" s="106"/>
      <c r="KSR4" s="106"/>
      <c r="KSS4" s="106"/>
      <c r="KST4" s="106"/>
      <c r="KSU4" s="106"/>
      <c r="KSV4" s="106"/>
      <c r="KSW4" s="106"/>
      <c r="KSX4" s="106"/>
      <c r="KSY4" s="106"/>
      <c r="KSZ4" s="106"/>
      <c r="KTA4" s="106"/>
      <c r="KTB4" s="106"/>
      <c r="KTC4" s="106"/>
      <c r="KTD4" s="106"/>
      <c r="KTE4" s="106"/>
      <c r="KTF4" s="106"/>
      <c r="KTG4" s="106"/>
      <c r="KTH4" s="106"/>
      <c r="KTI4" s="106"/>
      <c r="KTJ4" s="106"/>
      <c r="KTK4" s="106"/>
      <c r="KTL4" s="106"/>
      <c r="KTM4" s="106"/>
      <c r="KTN4" s="106"/>
      <c r="KTO4" s="106"/>
      <c r="KTP4" s="106"/>
      <c r="KTQ4" s="106"/>
      <c r="KTR4" s="106"/>
      <c r="KTS4" s="106"/>
      <c r="KTT4" s="106"/>
      <c r="KTU4" s="106"/>
      <c r="KTV4" s="106"/>
      <c r="KTW4" s="106"/>
      <c r="KTX4" s="106"/>
      <c r="KTY4" s="106"/>
      <c r="KTZ4" s="106"/>
      <c r="KUA4" s="106"/>
      <c r="KUB4" s="106"/>
      <c r="KUC4" s="106"/>
      <c r="KUD4" s="106"/>
      <c r="KUE4" s="106"/>
      <c r="KUF4" s="106"/>
      <c r="KUG4" s="106"/>
      <c r="KUH4" s="106"/>
      <c r="KUI4" s="106"/>
      <c r="KUJ4" s="106"/>
      <c r="KUK4" s="106"/>
      <c r="KUL4" s="106"/>
      <c r="KUM4" s="106"/>
      <c r="KUN4" s="106"/>
      <c r="KUO4" s="106"/>
      <c r="KUP4" s="106"/>
      <c r="KUQ4" s="106"/>
      <c r="KUR4" s="106"/>
      <c r="KUS4" s="106"/>
      <c r="KUT4" s="106"/>
      <c r="KUU4" s="106"/>
      <c r="KUV4" s="106"/>
      <c r="KUW4" s="106"/>
      <c r="KUX4" s="106"/>
      <c r="KUY4" s="106"/>
      <c r="KUZ4" s="106"/>
      <c r="KVA4" s="106"/>
      <c r="KVB4" s="106"/>
      <c r="KVC4" s="106"/>
      <c r="KVD4" s="106"/>
      <c r="KVE4" s="106"/>
      <c r="KVF4" s="106"/>
      <c r="KVG4" s="106"/>
      <c r="KVH4" s="106"/>
      <c r="KVI4" s="106"/>
      <c r="KVJ4" s="106"/>
      <c r="KVK4" s="106"/>
      <c r="KVL4" s="106"/>
      <c r="KVM4" s="106"/>
      <c r="KVN4" s="106"/>
      <c r="KVO4" s="106"/>
      <c r="KVP4" s="106"/>
      <c r="KVQ4" s="106"/>
      <c r="KVR4" s="106"/>
      <c r="KVS4" s="106"/>
      <c r="KVT4" s="106"/>
      <c r="KVU4" s="106"/>
      <c r="KVV4" s="106"/>
      <c r="KVW4" s="106"/>
      <c r="KVX4" s="106"/>
      <c r="KVY4" s="106"/>
      <c r="KVZ4" s="106"/>
      <c r="KWA4" s="106"/>
      <c r="KWB4" s="106"/>
      <c r="KWC4" s="106"/>
      <c r="KWD4" s="106"/>
      <c r="KWE4" s="106"/>
      <c r="KWF4" s="106"/>
      <c r="KWG4" s="106"/>
      <c r="KWH4" s="106"/>
      <c r="KWI4" s="106"/>
      <c r="KWJ4" s="106"/>
      <c r="KWK4" s="106"/>
      <c r="KWL4" s="106"/>
      <c r="KWM4" s="106"/>
      <c r="KWN4" s="106"/>
      <c r="KWO4" s="106"/>
      <c r="KWP4" s="106"/>
      <c r="KWQ4" s="106"/>
      <c r="KWR4" s="106"/>
      <c r="KWS4" s="106"/>
      <c r="KWT4" s="106"/>
      <c r="KWU4" s="106"/>
      <c r="KWV4" s="106"/>
      <c r="KWW4" s="106"/>
      <c r="KWX4" s="106"/>
      <c r="KWY4" s="106"/>
      <c r="KWZ4" s="106"/>
      <c r="KXA4" s="106"/>
      <c r="KXB4" s="106"/>
      <c r="KXC4" s="106"/>
      <c r="KXD4" s="106"/>
      <c r="KXE4" s="106"/>
      <c r="KXF4" s="106"/>
      <c r="KXG4" s="106"/>
      <c r="KXH4" s="106"/>
      <c r="KXI4" s="106"/>
      <c r="KXJ4" s="106"/>
      <c r="KXK4" s="106"/>
      <c r="KXL4" s="106"/>
      <c r="KXM4" s="106"/>
      <c r="KXN4" s="106"/>
      <c r="KXO4" s="106"/>
      <c r="KXP4" s="106"/>
      <c r="KXQ4" s="106"/>
      <c r="KXR4" s="106"/>
      <c r="KXS4" s="106"/>
      <c r="KXT4" s="106"/>
      <c r="KXU4" s="106"/>
      <c r="KXV4" s="106"/>
      <c r="KXW4" s="106"/>
      <c r="KXX4" s="106"/>
      <c r="KXY4" s="106"/>
      <c r="KXZ4" s="106"/>
      <c r="KYA4" s="106"/>
      <c r="KYB4" s="106"/>
      <c r="KYC4" s="106"/>
      <c r="KYD4" s="106"/>
      <c r="KYE4" s="106"/>
      <c r="KYF4" s="106"/>
      <c r="KYG4" s="106"/>
      <c r="KYH4" s="106"/>
      <c r="KYI4" s="106"/>
      <c r="KYJ4" s="106"/>
      <c r="KYK4" s="106"/>
      <c r="KYL4" s="106"/>
      <c r="KYM4" s="106"/>
      <c r="KYN4" s="106"/>
      <c r="KYO4" s="106"/>
      <c r="KYP4" s="106"/>
      <c r="KYQ4" s="106"/>
      <c r="KYR4" s="106"/>
      <c r="KYS4" s="106"/>
      <c r="KYT4" s="106"/>
      <c r="KYU4" s="106"/>
      <c r="KYV4" s="106"/>
      <c r="KYW4" s="106"/>
      <c r="KYX4" s="106"/>
      <c r="KYY4" s="106"/>
      <c r="KYZ4" s="106"/>
      <c r="KZA4" s="106"/>
      <c r="KZB4" s="106"/>
      <c r="KZC4" s="106"/>
      <c r="KZD4" s="106"/>
      <c r="KZE4" s="106"/>
      <c r="KZF4" s="106"/>
      <c r="KZG4" s="106"/>
      <c r="KZH4" s="106"/>
      <c r="KZI4" s="106"/>
      <c r="KZJ4" s="106"/>
      <c r="KZK4" s="106"/>
      <c r="KZL4" s="106"/>
      <c r="KZM4" s="106"/>
      <c r="KZN4" s="106"/>
      <c r="KZO4" s="106"/>
      <c r="KZP4" s="106"/>
      <c r="KZQ4" s="106"/>
      <c r="KZR4" s="106"/>
      <c r="KZS4" s="106"/>
      <c r="KZT4" s="106"/>
      <c r="KZU4" s="106"/>
      <c r="KZV4" s="106"/>
      <c r="KZW4" s="106"/>
      <c r="KZX4" s="106"/>
      <c r="KZY4" s="106"/>
      <c r="KZZ4" s="106"/>
      <c r="LAA4" s="106"/>
      <c r="LAB4" s="106"/>
      <c r="LAC4" s="106"/>
      <c r="LAD4" s="106"/>
      <c r="LAE4" s="106"/>
      <c r="LAF4" s="106"/>
      <c r="LAG4" s="106"/>
      <c r="LAH4" s="106"/>
      <c r="LAI4" s="106"/>
      <c r="LAJ4" s="106"/>
      <c r="LAK4" s="106"/>
      <c r="LAL4" s="106"/>
      <c r="LAM4" s="106"/>
      <c r="LAN4" s="106"/>
      <c r="LAO4" s="106"/>
      <c r="LAP4" s="106"/>
      <c r="LAQ4" s="106"/>
      <c r="LAR4" s="106"/>
      <c r="LAS4" s="106"/>
      <c r="LAT4" s="106"/>
      <c r="LAU4" s="106"/>
      <c r="LAV4" s="106"/>
      <c r="LAW4" s="106"/>
      <c r="LAX4" s="106"/>
      <c r="LAY4" s="106"/>
      <c r="LAZ4" s="106"/>
      <c r="LBA4" s="106"/>
      <c r="LBB4" s="106"/>
      <c r="LBC4" s="106"/>
      <c r="LBD4" s="106"/>
      <c r="LBE4" s="106"/>
      <c r="LBF4" s="106"/>
      <c r="LBG4" s="106"/>
      <c r="LBH4" s="106"/>
      <c r="LBI4" s="106"/>
      <c r="LBJ4" s="106"/>
      <c r="LBK4" s="106"/>
      <c r="LBL4" s="106"/>
      <c r="LBM4" s="106"/>
      <c r="LBN4" s="106"/>
      <c r="LBO4" s="106"/>
      <c r="LBP4" s="106"/>
      <c r="LBQ4" s="106"/>
      <c r="LBR4" s="106"/>
      <c r="LBS4" s="106"/>
      <c r="LBT4" s="106"/>
      <c r="LBU4" s="106"/>
      <c r="LBV4" s="106"/>
      <c r="LBW4" s="106"/>
      <c r="LBX4" s="106"/>
      <c r="LBY4" s="106"/>
      <c r="LBZ4" s="106"/>
      <c r="LCA4" s="106"/>
      <c r="LCB4" s="106"/>
      <c r="LCC4" s="106"/>
      <c r="LCD4" s="106"/>
      <c r="LCE4" s="106"/>
      <c r="LCF4" s="106"/>
      <c r="LCG4" s="106"/>
      <c r="LCH4" s="106"/>
      <c r="LCI4" s="106"/>
      <c r="LCJ4" s="106"/>
      <c r="LCK4" s="106"/>
      <c r="LCL4" s="106"/>
      <c r="LCM4" s="106"/>
      <c r="LCN4" s="106"/>
      <c r="LCO4" s="106"/>
      <c r="LCP4" s="106"/>
      <c r="LCQ4" s="106"/>
      <c r="LCR4" s="106"/>
      <c r="LCS4" s="106"/>
      <c r="LCT4" s="106"/>
      <c r="LCU4" s="106"/>
      <c r="LCV4" s="106"/>
      <c r="LCW4" s="106"/>
      <c r="LCX4" s="106"/>
      <c r="LCY4" s="106"/>
      <c r="LCZ4" s="106"/>
      <c r="LDA4" s="106"/>
      <c r="LDB4" s="106"/>
      <c r="LDC4" s="106"/>
      <c r="LDD4" s="106"/>
      <c r="LDE4" s="106"/>
      <c r="LDF4" s="106"/>
      <c r="LDG4" s="106"/>
      <c r="LDH4" s="106"/>
      <c r="LDI4" s="106"/>
      <c r="LDJ4" s="106"/>
      <c r="LDK4" s="106"/>
      <c r="LDL4" s="106"/>
      <c r="LDM4" s="106"/>
      <c r="LDN4" s="106"/>
      <c r="LDO4" s="106"/>
      <c r="LDP4" s="106"/>
      <c r="LDQ4" s="106"/>
      <c r="LDR4" s="106"/>
      <c r="LDS4" s="106"/>
      <c r="LDT4" s="106"/>
      <c r="LDU4" s="106"/>
      <c r="LDV4" s="106"/>
      <c r="LDW4" s="106"/>
      <c r="LDX4" s="106"/>
      <c r="LDY4" s="106"/>
      <c r="LDZ4" s="106"/>
      <c r="LEA4" s="106"/>
      <c r="LEB4" s="106"/>
      <c r="LEC4" s="106"/>
      <c r="LED4" s="106"/>
      <c r="LEE4" s="106"/>
      <c r="LEF4" s="106"/>
      <c r="LEG4" s="106"/>
      <c r="LEH4" s="106"/>
      <c r="LEI4" s="106"/>
      <c r="LEJ4" s="106"/>
      <c r="LEK4" s="106"/>
      <c r="LEL4" s="106"/>
      <c r="LEM4" s="106"/>
      <c r="LEN4" s="106"/>
      <c r="LEO4" s="106"/>
      <c r="LEP4" s="106"/>
      <c r="LEQ4" s="106"/>
      <c r="LER4" s="106"/>
      <c r="LES4" s="106"/>
      <c r="LET4" s="106"/>
      <c r="LEU4" s="106"/>
      <c r="LEV4" s="106"/>
      <c r="LEW4" s="106"/>
      <c r="LEX4" s="106"/>
      <c r="LEY4" s="106"/>
      <c r="LEZ4" s="106"/>
      <c r="LFA4" s="106"/>
      <c r="LFB4" s="106"/>
      <c r="LFC4" s="106"/>
      <c r="LFD4" s="106"/>
      <c r="LFE4" s="106"/>
      <c r="LFF4" s="106"/>
      <c r="LFG4" s="106"/>
      <c r="LFH4" s="106"/>
      <c r="LFI4" s="106"/>
      <c r="LFJ4" s="106"/>
      <c r="LFK4" s="106"/>
      <c r="LFL4" s="106"/>
      <c r="LFM4" s="106"/>
      <c r="LFN4" s="106"/>
      <c r="LFO4" s="106"/>
      <c r="LFP4" s="106"/>
      <c r="LFQ4" s="106"/>
      <c r="LFR4" s="106"/>
      <c r="LFS4" s="106"/>
      <c r="LFT4" s="106"/>
      <c r="LFU4" s="106"/>
      <c r="LFV4" s="106"/>
      <c r="LFW4" s="106"/>
      <c r="LFX4" s="106"/>
      <c r="LFY4" s="106"/>
      <c r="LFZ4" s="106"/>
      <c r="LGA4" s="106"/>
      <c r="LGB4" s="106"/>
      <c r="LGC4" s="106"/>
      <c r="LGD4" s="106"/>
      <c r="LGE4" s="106"/>
      <c r="LGF4" s="106"/>
      <c r="LGG4" s="106"/>
      <c r="LGH4" s="106"/>
      <c r="LGI4" s="106"/>
      <c r="LGJ4" s="106"/>
      <c r="LGK4" s="106"/>
      <c r="LGL4" s="106"/>
      <c r="LGM4" s="106"/>
      <c r="LGN4" s="106"/>
      <c r="LGO4" s="106"/>
      <c r="LGP4" s="106"/>
      <c r="LGQ4" s="106"/>
      <c r="LGR4" s="106"/>
      <c r="LGS4" s="106"/>
      <c r="LGT4" s="106"/>
      <c r="LGU4" s="106"/>
      <c r="LGV4" s="106"/>
      <c r="LGW4" s="106"/>
      <c r="LGX4" s="106"/>
      <c r="LGY4" s="106"/>
      <c r="LGZ4" s="106"/>
      <c r="LHA4" s="106"/>
      <c r="LHB4" s="106"/>
      <c r="LHC4" s="106"/>
      <c r="LHD4" s="106"/>
      <c r="LHE4" s="106"/>
      <c r="LHF4" s="106"/>
      <c r="LHG4" s="106"/>
      <c r="LHH4" s="106"/>
      <c r="LHI4" s="106"/>
      <c r="LHJ4" s="106"/>
      <c r="LHK4" s="106"/>
      <c r="LHL4" s="106"/>
      <c r="LHM4" s="106"/>
      <c r="LHN4" s="106"/>
      <c r="LHO4" s="106"/>
      <c r="LHP4" s="106"/>
      <c r="LHQ4" s="106"/>
      <c r="LHR4" s="106"/>
      <c r="LHS4" s="106"/>
      <c r="LHT4" s="106"/>
      <c r="LHU4" s="106"/>
      <c r="LHV4" s="106"/>
      <c r="LHW4" s="106"/>
      <c r="LHX4" s="106"/>
      <c r="LHY4" s="106"/>
      <c r="LHZ4" s="106"/>
      <c r="LIA4" s="106"/>
      <c r="LIB4" s="106"/>
      <c r="LIC4" s="106"/>
      <c r="LID4" s="106"/>
      <c r="LIE4" s="106"/>
      <c r="LIF4" s="106"/>
      <c r="LIG4" s="106"/>
      <c r="LIH4" s="106"/>
      <c r="LII4" s="106"/>
      <c r="LIJ4" s="106"/>
      <c r="LIK4" s="106"/>
      <c r="LIL4" s="106"/>
      <c r="LIM4" s="106"/>
      <c r="LIN4" s="106"/>
      <c r="LIO4" s="106"/>
      <c r="LIP4" s="106"/>
      <c r="LIQ4" s="106"/>
      <c r="LIR4" s="106"/>
      <c r="LIS4" s="106"/>
      <c r="LIT4" s="106"/>
      <c r="LIU4" s="106"/>
      <c r="LIV4" s="106"/>
      <c r="LIW4" s="106"/>
      <c r="LIX4" s="106"/>
      <c r="LIY4" s="106"/>
      <c r="LIZ4" s="106"/>
      <c r="LJA4" s="106"/>
      <c r="LJB4" s="106"/>
      <c r="LJC4" s="106"/>
      <c r="LJD4" s="106"/>
      <c r="LJE4" s="106"/>
      <c r="LJF4" s="106"/>
      <c r="LJG4" s="106"/>
      <c r="LJH4" s="106"/>
      <c r="LJI4" s="106"/>
      <c r="LJJ4" s="106"/>
      <c r="LJK4" s="106"/>
      <c r="LJL4" s="106"/>
      <c r="LJM4" s="106"/>
      <c r="LJN4" s="106"/>
      <c r="LJO4" s="106"/>
      <c r="LJP4" s="106"/>
      <c r="LJQ4" s="106"/>
      <c r="LJR4" s="106"/>
      <c r="LJS4" s="106"/>
      <c r="LJT4" s="106"/>
      <c r="LJU4" s="106"/>
      <c r="LJV4" s="106"/>
      <c r="LJW4" s="106"/>
      <c r="LJX4" s="106"/>
      <c r="LJY4" s="106"/>
      <c r="LJZ4" s="106"/>
      <c r="LKA4" s="106"/>
      <c r="LKB4" s="106"/>
      <c r="LKC4" s="106"/>
      <c r="LKD4" s="106"/>
      <c r="LKE4" s="106"/>
      <c r="LKF4" s="106"/>
      <c r="LKG4" s="106"/>
      <c r="LKH4" s="106"/>
      <c r="LKI4" s="106"/>
      <c r="LKJ4" s="106"/>
      <c r="LKK4" s="106"/>
      <c r="LKL4" s="106"/>
      <c r="LKM4" s="106"/>
      <c r="LKN4" s="106"/>
      <c r="LKO4" s="106"/>
      <c r="LKP4" s="106"/>
      <c r="LKQ4" s="106"/>
      <c r="LKR4" s="106"/>
      <c r="LKS4" s="106"/>
      <c r="LKT4" s="106"/>
      <c r="LKU4" s="106"/>
      <c r="LKV4" s="106"/>
      <c r="LKW4" s="106"/>
      <c r="LKX4" s="106"/>
      <c r="LKY4" s="106"/>
      <c r="LKZ4" s="106"/>
      <c r="LLA4" s="106"/>
      <c r="LLB4" s="106"/>
      <c r="LLC4" s="106"/>
      <c r="LLD4" s="106"/>
      <c r="LLE4" s="106"/>
      <c r="LLF4" s="106"/>
      <c r="LLG4" s="106"/>
      <c r="LLH4" s="106"/>
      <c r="LLI4" s="106"/>
      <c r="LLJ4" s="106"/>
      <c r="LLK4" s="106"/>
      <c r="LLL4" s="106"/>
      <c r="LLM4" s="106"/>
      <c r="LLN4" s="106"/>
      <c r="LLO4" s="106"/>
      <c r="LLP4" s="106"/>
      <c r="LLQ4" s="106"/>
      <c r="LLR4" s="106"/>
      <c r="LLS4" s="106"/>
      <c r="LLT4" s="106"/>
      <c r="LLU4" s="106"/>
      <c r="LLV4" s="106"/>
      <c r="LLW4" s="106"/>
      <c r="LLX4" s="106"/>
      <c r="LLY4" s="106"/>
      <c r="LLZ4" s="106"/>
      <c r="LMA4" s="106"/>
      <c r="LMB4" s="106"/>
      <c r="LMC4" s="106"/>
      <c r="LMD4" s="106"/>
      <c r="LME4" s="106"/>
      <c r="LMF4" s="106"/>
      <c r="LMG4" s="106"/>
      <c r="LMH4" s="106"/>
      <c r="LMI4" s="106"/>
      <c r="LMJ4" s="106"/>
      <c r="LMK4" s="106"/>
      <c r="LML4" s="106"/>
      <c r="LMM4" s="106"/>
      <c r="LMN4" s="106"/>
      <c r="LMO4" s="106"/>
      <c r="LMP4" s="106"/>
      <c r="LMQ4" s="106"/>
      <c r="LMR4" s="106"/>
      <c r="LMS4" s="106"/>
      <c r="LMT4" s="106"/>
      <c r="LMU4" s="106"/>
      <c r="LMV4" s="106"/>
      <c r="LMW4" s="106"/>
      <c r="LMX4" s="106"/>
      <c r="LMY4" s="106"/>
      <c r="LMZ4" s="106"/>
      <c r="LNA4" s="106"/>
      <c r="LNB4" s="106"/>
      <c r="LNC4" s="106"/>
      <c r="LND4" s="106"/>
      <c r="LNE4" s="106"/>
      <c r="LNF4" s="106"/>
      <c r="LNG4" s="106"/>
      <c r="LNH4" s="106"/>
      <c r="LNI4" s="106"/>
      <c r="LNJ4" s="106"/>
      <c r="LNK4" s="106"/>
      <c r="LNL4" s="106"/>
      <c r="LNM4" s="106"/>
      <c r="LNN4" s="106"/>
      <c r="LNO4" s="106"/>
      <c r="LNP4" s="106"/>
      <c r="LNQ4" s="106"/>
      <c r="LNR4" s="106"/>
      <c r="LNS4" s="106"/>
      <c r="LNT4" s="106"/>
      <c r="LNU4" s="106"/>
      <c r="LNV4" s="106"/>
      <c r="LNW4" s="106"/>
      <c r="LNX4" s="106"/>
      <c r="LNY4" s="106"/>
      <c r="LNZ4" s="106"/>
      <c r="LOA4" s="106"/>
      <c r="LOB4" s="106"/>
      <c r="LOC4" s="106"/>
      <c r="LOD4" s="106"/>
      <c r="LOE4" s="106"/>
      <c r="LOF4" s="106"/>
      <c r="LOG4" s="106"/>
      <c r="LOH4" s="106"/>
      <c r="LOI4" s="106"/>
      <c r="LOJ4" s="106"/>
      <c r="LOK4" s="106"/>
      <c r="LOL4" s="106"/>
      <c r="LOM4" s="106"/>
      <c r="LON4" s="106"/>
      <c r="LOO4" s="106"/>
      <c r="LOP4" s="106"/>
      <c r="LOQ4" s="106"/>
      <c r="LOR4" s="106"/>
      <c r="LOS4" s="106"/>
      <c r="LOT4" s="106"/>
      <c r="LOU4" s="106"/>
      <c r="LOV4" s="106"/>
      <c r="LOW4" s="106"/>
      <c r="LOX4" s="106"/>
      <c r="LOY4" s="106"/>
      <c r="LOZ4" s="106"/>
      <c r="LPA4" s="106"/>
      <c r="LPB4" s="106"/>
      <c r="LPC4" s="106"/>
      <c r="LPD4" s="106"/>
      <c r="LPE4" s="106"/>
      <c r="LPF4" s="106"/>
      <c r="LPG4" s="106"/>
      <c r="LPH4" s="106"/>
      <c r="LPI4" s="106"/>
      <c r="LPJ4" s="106"/>
      <c r="LPK4" s="106"/>
      <c r="LPL4" s="106"/>
      <c r="LPM4" s="106"/>
      <c r="LPN4" s="106"/>
      <c r="LPO4" s="106"/>
      <c r="LPP4" s="106"/>
      <c r="LPQ4" s="106"/>
      <c r="LPR4" s="106"/>
      <c r="LPS4" s="106"/>
      <c r="LPT4" s="106"/>
      <c r="LPU4" s="106"/>
      <c r="LPV4" s="106"/>
      <c r="LPW4" s="106"/>
      <c r="LPX4" s="106"/>
      <c r="LPY4" s="106"/>
      <c r="LPZ4" s="106"/>
      <c r="LQA4" s="106"/>
      <c r="LQB4" s="106"/>
      <c r="LQC4" s="106"/>
      <c r="LQD4" s="106"/>
      <c r="LQE4" s="106"/>
      <c r="LQF4" s="106"/>
      <c r="LQG4" s="106"/>
      <c r="LQH4" s="106"/>
      <c r="LQI4" s="106"/>
      <c r="LQJ4" s="106"/>
      <c r="LQK4" s="106"/>
      <c r="LQL4" s="106"/>
      <c r="LQM4" s="106"/>
      <c r="LQN4" s="106"/>
      <c r="LQO4" s="106"/>
      <c r="LQP4" s="106"/>
      <c r="LQQ4" s="106"/>
      <c r="LQR4" s="106"/>
      <c r="LQS4" s="106"/>
      <c r="LQT4" s="106"/>
      <c r="LQU4" s="106"/>
      <c r="LQV4" s="106"/>
      <c r="LQW4" s="106"/>
      <c r="LQX4" s="106"/>
      <c r="LQY4" s="106"/>
      <c r="LQZ4" s="106"/>
      <c r="LRA4" s="106"/>
      <c r="LRB4" s="106"/>
      <c r="LRC4" s="106"/>
      <c r="LRD4" s="106"/>
      <c r="LRE4" s="106"/>
      <c r="LRF4" s="106"/>
      <c r="LRG4" s="106"/>
      <c r="LRH4" s="106"/>
      <c r="LRI4" s="106"/>
      <c r="LRJ4" s="106"/>
      <c r="LRK4" s="106"/>
      <c r="LRL4" s="106"/>
      <c r="LRM4" s="106"/>
      <c r="LRN4" s="106"/>
      <c r="LRO4" s="106"/>
      <c r="LRP4" s="106"/>
      <c r="LRQ4" s="106"/>
      <c r="LRR4" s="106"/>
      <c r="LRS4" s="106"/>
      <c r="LRT4" s="106"/>
      <c r="LRU4" s="106"/>
      <c r="LRV4" s="106"/>
      <c r="LRW4" s="106"/>
      <c r="LRX4" s="106"/>
      <c r="LRY4" s="106"/>
      <c r="LRZ4" s="106"/>
      <c r="LSA4" s="106"/>
      <c r="LSB4" s="106"/>
      <c r="LSC4" s="106"/>
      <c r="LSD4" s="106"/>
      <c r="LSE4" s="106"/>
      <c r="LSF4" s="106"/>
      <c r="LSG4" s="106"/>
      <c r="LSH4" s="106"/>
      <c r="LSI4" s="106"/>
      <c r="LSJ4" s="106"/>
      <c r="LSK4" s="106"/>
      <c r="LSL4" s="106"/>
      <c r="LSM4" s="106"/>
      <c r="LSN4" s="106"/>
      <c r="LSO4" s="106"/>
      <c r="LSP4" s="106"/>
      <c r="LSQ4" s="106"/>
      <c r="LSR4" s="106"/>
      <c r="LSS4" s="106"/>
      <c r="LST4" s="106"/>
      <c r="LSU4" s="106"/>
      <c r="LSV4" s="106"/>
      <c r="LSW4" s="106"/>
      <c r="LSX4" s="106"/>
      <c r="LSY4" s="106"/>
      <c r="LSZ4" s="106"/>
      <c r="LTA4" s="106"/>
      <c r="LTB4" s="106"/>
      <c r="LTC4" s="106"/>
      <c r="LTD4" s="106"/>
      <c r="LTE4" s="106"/>
      <c r="LTF4" s="106"/>
      <c r="LTG4" s="106"/>
      <c r="LTH4" s="106"/>
      <c r="LTI4" s="106"/>
      <c r="LTJ4" s="106"/>
      <c r="LTK4" s="106"/>
      <c r="LTL4" s="106"/>
      <c r="LTM4" s="106"/>
      <c r="LTN4" s="106"/>
      <c r="LTO4" s="106"/>
      <c r="LTP4" s="106"/>
      <c r="LTQ4" s="106"/>
      <c r="LTR4" s="106"/>
      <c r="LTS4" s="106"/>
      <c r="LTT4" s="106"/>
      <c r="LTU4" s="106"/>
      <c r="LTV4" s="106"/>
      <c r="LTW4" s="106"/>
      <c r="LTX4" s="106"/>
      <c r="LTY4" s="106"/>
      <c r="LTZ4" s="106"/>
      <c r="LUA4" s="106"/>
      <c r="LUB4" s="106"/>
      <c r="LUC4" s="106"/>
      <c r="LUD4" s="106"/>
      <c r="LUE4" s="106"/>
      <c r="LUF4" s="106"/>
      <c r="LUG4" s="106"/>
      <c r="LUH4" s="106"/>
      <c r="LUI4" s="106"/>
      <c r="LUJ4" s="106"/>
      <c r="LUK4" s="106"/>
      <c r="LUL4" s="106"/>
      <c r="LUM4" s="106"/>
      <c r="LUN4" s="106"/>
      <c r="LUO4" s="106"/>
      <c r="LUP4" s="106"/>
      <c r="LUQ4" s="106"/>
      <c r="LUR4" s="106"/>
      <c r="LUS4" s="106"/>
      <c r="LUT4" s="106"/>
      <c r="LUU4" s="106"/>
      <c r="LUV4" s="106"/>
      <c r="LUW4" s="106"/>
      <c r="LUX4" s="106"/>
      <c r="LUY4" s="106"/>
      <c r="LUZ4" s="106"/>
      <c r="LVA4" s="106"/>
      <c r="LVB4" s="106"/>
      <c r="LVC4" s="106"/>
      <c r="LVD4" s="106"/>
      <c r="LVE4" s="106"/>
      <c r="LVF4" s="106"/>
      <c r="LVG4" s="106"/>
      <c r="LVH4" s="106"/>
      <c r="LVI4" s="106"/>
      <c r="LVJ4" s="106"/>
      <c r="LVK4" s="106"/>
      <c r="LVL4" s="106"/>
      <c r="LVM4" s="106"/>
      <c r="LVN4" s="106"/>
      <c r="LVO4" s="106"/>
      <c r="LVP4" s="106"/>
      <c r="LVQ4" s="106"/>
      <c r="LVR4" s="106"/>
      <c r="LVS4" s="106"/>
      <c r="LVT4" s="106"/>
      <c r="LVU4" s="106"/>
      <c r="LVV4" s="106"/>
      <c r="LVW4" s="106"/>
      <c r="LVX4" s="106"/>
      <c r="LVY4" s="106"/>
      <c r="LVZ4" s="106"/>
      <c r="LWA4" s="106"/>
      <c r="LWB4" s="106"/>
      <c r="LWC4" s="106"/>
      <c r="LWD4" s="106"/>
      <c r="LWE4" s="106"/>
      <c r="LWF4" s="106"/>
      <c r="LWG4" s="106"/>
      <c r="LWH4" s="106"/>
      <c r="LWI4" s="106"/>
      <c r="LWJ4" s="106"/>
      <c r="LWK4" s="106"/>
      <c r="LWL4" s="106"/>
      <c r="LWM4" s="106"/>
      <c r="LWN4" s="106"/>
      <c r="LWO4" s="106"/>
      <c r="LWP4" s="106"/>
      <c r="LWQ4" s="106"/>
      <c r="LWR4" s="106"/>
      <c r="LWS4" s="106"/>
      <c r="LWT4" s="106"/>
      <c r="LWU4" s="106"/>
      <c r="LWV4" s="106"/>
      <c r="LWW4" s="106"/>
      <c r="LWX4" s="106"/>
      <c r="LWY4" s="106"/>
      <c r="LWZ4" s="106"/>
      <c r="LXA4" s="106"/>
      <c r="LXB4" s="106"/>
      <c r="LXC4" s="106"/>
      <c r="LXD4" s="106"/>
      <c r="LXE4" s="106"/>
      <c r="LXF4" s="106"/>
      <c r="LXG4" s="106"/>
      <c r="LXH4" s="106"/>
      <c r="LXI4" s="106"/>
      <c r="LXJ4" s="106"/>
      <c r="LXK4" s="106"/>
      <c r="LXL4" s="106"/>
      <c r="LXM4" s="106"/>
      <c r="LXN4" s="106"/>
      <c r="LXO4" s="106"/>
      <c r="LXP4" s="106"/>
      <c r="LXQ4" s="106"/>
      <c r="LXR4" s="106"/>
      <c r="LXS4" s="106"/>
      <c r="LXT4" s="106"/>
      <c r="LXU4" s="106"/>
      <c r="LXV4" s="106"/>
      <c r="LXW4" s="106"/>
      <c r="LXX4" s="106"/>
      <c r="LXY4" s="106"/>
      <c r="LXZ4" s="106"/>
      <c r="LYA4" s="106"/>
      <c r="LYB4" s="106"/>
      <c r="LYC4" s="106"/>
      <c r="LYD4" s="106"/>
      <c r="LYE4" s="106"/>
      <c r="LYF4" s="106"/>
      <c r="LYG4" s="106"/>
      <c r="LYH4" s="106"/>
      <c r="LYI4" s="106"/>
      <c r="LYJ4" s="106"/>
      <c r="LYK4" s="106"/>
      <c r="LYL4" s="106"/>
      <c r="LYM4" s="106"/>
      <c r="LYN4" s="106"/>
      <c r="LYO4" s="106"/>
      <c r="LYP4" s="106"/>
      <c r="LYQ4" s="106"/>
      <c r="LYR4" s="106"/>
      <c r="LYS4" s="106"/>
      <c r="LYT4" s="106"/>
      <c r="LYU4" s="106"/>
      <c r="LYV4" s="106"/>
      <c r="LYW4" s="106"/>
      <c r="LYX4" s="106"/>
      <c r="LYY4" s="106"/>
      <c r="LYZ4" s="106"/>
      <c r="LZA4" s="106"/>
      <c r="LZB4" s="106"/>
      <c r="LZC4" s="106"/>
      <c r="LZD4" s="106"/>
      <c r="LZE4" s="106"/>
      <c r="LZF4" s="106"/>
      <c r="LZG4" s="106"/>
      <c r="LZH4" s="106"/>
      <c r="LZI4" s="106"/>
      <c r="LZJ4" s="106"/>
      <c r="LZK4" s="106"/>
      <c r="LZL4" s="106"/>
      <c r="LZM4" s="106"/>
      <c r="LZN4" s="106"/>
      <c r="LZO4" s="106"/>
      <c r="LZP4" s="106"/>
      <c r="LZQ4" s="106"/>
      <c r="LZR4" s="106"/>
      <c r="LZS4" s="106"/>
      <c r="LZT4" s="106"/>
      <c r="LZU4" s="106"/>
      <c r="LZV4" s="106"/>
      <c r="LZW4" s="106"/>
      <c r="LZX4" s="106"/>
      <c r="LZY4" s="106"/>
      <c r="LZZ4" s="106"/>
      <c r="MAA4" s="106"/>
      <c r="MAB4" s="106"/>
      <c r="MAC4" s="106"/>
      <c r="MAD4" s="106"/>
      <c r="MAE4" s="106"/>
      <c r="MAF4" s="106"/>
      <c r="MAG4" s="106"/>
      <c r="MAH4" s="106"/>
      <c r="MAI4" s="106"/>
      <c r="MAJ4" s="106"/>
      <c r="MAK4" s="106"/>
      <c r="MAL4" s="106"/>
      <c r="MAM4" s="106"/>
      <c r="MAN4" s="106"/>
      <c r="MAO4" s="106"/>
      <c r="MAP4" s="106"/>
      <c r="MAQ4" s="106"/>
      <c r="MAR4" s="106"/>
      <c r="MAS4" s="106"/>
      <c r="MAT4" s="106"/>
      <c r="MAU4" s="106"/>
      <c r="MAV4" s="106"/>
      <c r="MAW4" s="106"/>
      <c r="MAX4" s="106"/>
      <c r="MAY4" s="106"/>
      <c r="MAZ4" s="106"/>
      <c r="MBA4" s="106"/>
      <c r="MBB4" s="106"/>
      <c r="MBC4" s="106"/>
      <c r="MBD4" s="106"/>
      <c r="MBE4" s="106"/>
      <c r="MBF4" s="106"/>
      <c r="MBG4" s="106"/>
      <c r="MBH4" s="106"/>
      <c r="MBI4" s="106"/>
      <c r="MBJ4" s="106"/>
      <c r="MBK4" s="106"/>
      <c r="MBL4" s="106"/>
      <c r="MBM4" s="106"/>
      <c r="MBN4" s="106"/>
      <c r="MBO4" s="106"/>
      <c r="MBP4" s="106"/>
      <c r="MBQ4" s="106"/>
      <c r="MBR4" s="106"/>
      <c r="MBS4" s="106"/>
      <c r="MBT4" s="106"/>
      <c r="MBU4" s="106"/>
      <c r="MBV4" s="106"/>
      <c r="MBW4" s="106"/>
      <c r="MBX4" s="106"/>
      <c r="MBY4" s="106"/>
      <c r="MBZ4" s="106"/>
      <c r="MCA4" s="106"/>
      <c r="MCB4" s="106"/>
      <c r="MCC4" s="106"/>
      <c r="MCD4" s="106"/>
      <c r="MCE4" s="106"/>
      <c r="MCF4" s="106"/>
      <c r="MCG4" s="106"/>
      <c r="MCH4" s="106"/>
      <c r="MCI4" s="106"/>
      <c r="MCJ4" s="106"/>
      <c r="MCK4" s="106"/>
      <c r="MCL4" s="106"/>
      <c r="MCM4" s="106"/>
      <c r="MCN4" s="106"/>
      <c r="MCO4" s="106"/>
      <c r="MCP4" s="106"/>
      <c r="MCQ4" s="106"/>
      <c r="MCR4" s="106"/>
      <c r="MCS4" s="106"/>
      <c r="MCT4" s="106"/>
      <c r="MCU4" s="106"/>
      <c r="MCV4" s="106"/>
      <c r="MCW4" s="106"/>
      <c r="MCX4" s="106"/>
      <c r="MCY4" s="106"/>
      <c r="MCZ4" s="106"/>
      <c r="MDA4" s="106"/>
      <c r="MDB4" s="106"/>
      <c r="MDC4" s="106"/>
      <c r="MDD4" s="106"/>
      <c r="MDE4" s="106"/>
      <c r="MDF4" s="106"/>
      <c r="MDG4" s="106"/>
      <c r="MDH4" s="106"/>
      <c r="MDI4" s="106"/>
      <c r="MDJ4" s="106"/>
      <c r="MDK4" s="106"/>
      <c r="MDL4" s="106"/>
      <c r="MDM4" s="106"/>
      <c r="MDN4" s="106"/>
      <c r="MDO4" s="106"/>
      <c r="MDP4" s="106"/>
      <c r="MDQ4" s="106"/>
      <c r="MDR4" s="106"/>
      <c r="MDS4" s="106"/>
      <c r="MDT4" s="106"/>
      <c r="MDU4" s="106"/>
      <c r="MDV4" s="106"/>
      <c r="MDW4" s="106"/>
      <c r="MDX4" s="106"/>
      <c r="MDY4" s="106"/>
      <c r="MDZ4" s="106"/>
      <c r="MEA4" s="106"/>
      <c r="MEB4" s="106"/>
      <c r="MEC4" s="106"/>
      <c r="MED4" s="106"/>
      <c r="MEE4" s="106"/>
      <c r="MEF4" s="106"/>
      <c r="MEG4" s="106"/>
      <c r="MEH4" s="106"/>
      <c r="MEI4" s="106"/>
      <c r="MEJ4" s="106"/>
      <c r="MEK4" s="106"/>
      <c r="MEL4" s="106"/>
      <c r="MEM4" s="106"/>
      <c r="MEN4" s="106"/>
      <c r="MEO4" s="106"/>
      <c r="MEP4" s="106"/>
      <c r="MEQ4" s="106"/>
      <c r="MER4" s="106"/>
      <c r="MES4" s="106"/>
      <c r="MET4" s="106"/>
      <c r="MEU4" s="106"/>
      <c r="MEV4" s="106"/>
      <c r="MEW4" s="106"/>
      <c r="MEX4" s="106"/>
      <c r="MEY4" s="106"/>
      <c r="MEZ4" s="106"/>
      <c r="MFA4" s="106"/>
      <c r="MFB4" s="106"/>
      <c r="MFC4" s="106"/>
      <c r="MFD4" s="106"/>
      <c r="MFE4" s="106"/>
      <c r="MFF4" s="106"/>
      <c r="MFG4" s="106"/>
      <c r="MFH4" s="106"/>
      <c r="MFI4" s="106"/>
      <c r="MFJ4" s="106"/>
      <c r="MFK4" s="106"/>
      <c r="MFL4" s="106"/>
      <c r="MFM4" s="106"/>
      <c r="MFN4" s="106"/>
      <c r="MFO4" s="106"/>
      <c r="MFP4" s="106"/>
      <c r="MFQ4" s="106"/>
      <c r="MFR4" s="106"/>
      <c r="MFS4" s="106"/>
      <c r="MFT4" s="106"/>
      <c r="MFU4" s="106"/>
      <c r="MFV4" s="106"/>
      <c r="MFW4" s="106"/>
      <c r="MFX4" s="106"/>
      <c r="MFY4" s="106"/>
      <c r="MFZ4" s="106"/>
      <c r="MGA4" s="106"/>
      <c r="MGB4" s="106"/>
      <c r="MGC4" s="106"/>
      <c r="MGD4" s="106"/>
      <c r="MGE4" s="106"/>
      <c r="MGF4" s="106"/>
      <c r="MGG4" s="106"/>
      <c r="MGH4" s="106"/>
      <c r="MGI4" s="106"/>
      <c r="MGJ4" s="106"/>
      <c r="MGK4" s="106"/>
      <c r="MGL4" s="106"/>
      <c r="MGM4" s="106"/>
      <c r="MGN4" s="106"/>
      <c r="MGO4" s="106"/>
      <c r="MGP4" s="106"/>
      <c r="MGQ4" s="106"/>
      <c r="MGR4" s="106"/>
      <c r="MGS4" s="106"/>
      <c r="MGT4" s="106"/>
      <c r="MGU4" s="106"/>
      <c r="MGV4" s="106"/>
      <c r="MGW4" s="106"/>
      <c r="MGX4" s="106"/>
      <c r="MGY4" s="106"/>
      <c r="MGZ4" s="106"/>
      <c r="MHA4" s="106"/>
      <c r="MHB4" s="106"/>
      <c r="MHC4" s="106"/>
      <c r="MHD4" s="106"/>
      <c r="MHE4" s="106"/>
      <c r="MHF4" s="106"/>
      <c r="MHG4" s="106"/>
      <c r="MHH4" s="106"/>
      <c r="MHI4" s="106"/>
      <c r="MHJ4" s="106"/>
      <c r="MHK4" s="106"/>
      <c r="MHL4" s="106"/>
      <c r="MHM4" s="106"/>
      <c r="MHN4" s="106"/>
      <c r="MHO4" s="106"/>
      <c r="MHP4" s="106"/>
      <c r="MHQ4" s="106"/>
      <c r="MHR4" s="106"/>
      <c r="MHS4" s="106"/>
      <c r="MHT4" s="106"/>
      <c r="MHU4" s="106"/>
      <c r="MHV4" s="106"/>
      <c r="MHW4" s="106"/>
      <c r="MHX4" s="106"/>
      <c r="MHY4" s="106"/>
      <c r="MHZ4" s="106"/>
      <c r="MIA4" s="106"/>
      <c r="MIB4" s="106"/>
      <c r="MIC4" s="106"/>
      <c r="MID4" s="106"/>
      <c r="MIE4" s="106"/>
      <c r="MIF4" s="106"/>
      <c r="MIG4" s="106"/>
      <c r="MIH4" s="106"/>
      <c r="MII4" s="106"/>
      <c r="MIJ4" s="106"/>
      <c r="MIK4" s="106"/>
      <c r="MIL4" s="106"/>
      <c r="MIM4" s="106"/>
      <c r="MIN4" s="106"/>
      <c r="MIO4" s="106"/>
      <c r="MIP4" s="106"/>
      <c r="MIQ4" s="106"/>
      <c r="MIR4" s="106"/>
      <c r="MIS4" s="106"/>
      <c r="MIT4" s="106"/>
      <c r="MIU4" s="106"/>
      <c r="MIV4" s="106"/>
      <c r="MIW4" s="106"/>
      <c r="MIX4" s="106"/>
      <c r="MIY4" s="106"/>
      <c r="MIZ4" s="106"/>
      <c r="MJA4" s="106"/>
      <c r="MJB4" s="106"/>
      <c r="MJC4" s="106"/>
      <c r="MJD4" s="106"/>
      <c r="MJE4" s="106"/>
      <c r="MJF4" s="106"/>
      <c r="MJG4" s="106"/>
      <c r="MJH4" s="106"/>
      <c r="MJI4" s="106"/>
      <c r="MJJ4" s="106"/>
      <c r="MJK4" s="106"/>
      <c r="MJL4" s="106"/>
      <c r="MJM4" s="106"/>
      <c r="MJN4" s="106"/>
      <c r="MJO4" s="106"/>
      <c r="MJP4" s="106"/>
      <c r="MJQ4" s="106"/>
      <c r="MJR4" s="106"/>
      <c r="MJS4" s="106"/>
      <c r="MJT4" s="106"/>
      <c r="MJU4" s="106"/>
      <c r="MJV4" s="106"/>
      <c r="MJW4" s="106"/>
      <c r="MJX4" s="106"/>
      <c r="MJY4" s="106"/>
      <c r="MJZ4" s="106"/>
      <c r="MKA4" s="106"/>
      <c r="MKB4" s="106"/>
      <c r="MKC4" s="106"/>
      <c r="MKD4" s="106"/>
      <c r="MKE4" s="106"/>
      <c r="MKF4" s="106"/>
      <c r="MKG4" s="106"/>
      <c r="MKH4" s="106"/>
      <c r="MKI4" s="106"/>
      <c r="MKJ4" s="106"/>
      <c r="MKK4" s="106"/>
      <c r="MKL4" s="106"/>
      <c r="MKM4" s="106"/>
      <c r="MKN4" s="106"/>
      <c r="MKO4" s="106"/>
      <c r="MKP4" s="106"/>
      <c r="MKQ4" s="106"/>
      <c r="MKR4" s="106"/>
      <c r="MKS4" s="106"/>
      <c r="MKT4" s="106"/>
      <c r="MKU4" s="106"/>
      <c r="MKV4" s="106"/>
      <c r="MKW4" s="106"/>
      <c r="MKX4" s="106"/>
      <c r="MKY4" s="106"/>
      <c r="MKZ4" s="106"/>
      <c r="MLA4" s="106"/>
      <c r="MLB4" s="106"/>
      <c r="MLC4" s="106"/>
      <c r="MLD4" s="106"/>
      <c r="MLE4" s="106"/>
      <c r="MLF4" s="106"/>
      <c r="MLG4" s="106"/>
      <c r="MLH4" s="106"/>
      <c r="MLI4" s="106"/>
      <c r="MLJ4" s="106"/>
      <c r="MLK4" s="106"/>
      <c r="MLL4" s="106"/>
      <c r="MLM4" s="106"/>
      <c r="MLN4" s="106"/>
      <c r="MLO4" s="106"/>
      <c r="MLP4" s="106"/>
      <c r="MLQ4" s="106"/>
      <c r="MLR4" s="106"/>
      <c r="MLS4" s="106"/>
      <c r="MLT4" s="106"/>
      <c r="MLU4" s="106"/>
      <c r="MLV4" s="106"/>
      <c r="MLW4" s="106"/>
      <c r="MLX4" s="106"/>
      <c r="MLY4" s="106"/>
      <c r="MLZ4" s="106"/>
      <c r="MMA4" s="106"/>
      <c r="MMB4" s="106"/>
      <c r="MMC4" s="106"/>
      <c r="MMD4" s="106"/>
      <c r="MME4" s="106"/>
      <c r="MMF4" s="106"/>
      <c r="MMG4" s="106"/>
      <c r="MMH4" s="106"/>
      <c r="MMI4" s="106"/>
      <c r="MMJ4" s="106"/>
      <c r="MMK4" s="106"/>
      <c r="MML4" s="106"/>
      <c r="MMM4" s="106"/>
      <c r="MMN4" s="106"/>
      <c r="MMO4" s="106"/>
      <c r="MMP4" s="106"/>
      <c r="MMQ4" s="106"/>
      <c r="MMR4" s="106"/>
      <c r="MMS4" s="106"/>
      <c r="MMT4" s="106"/>
      <c r="MMU4" s="106"/>
      <c r="MMV4" s="106"/>
      <c r="MMW4" s="106"/>
      <c r="MMX4" s="106"/>
      <c r="MMY4" s="106"/>
      <c r="MMZ4" s="106"/>
      <c r="MNA4" s="106"/>
      <c r="MNB4" s="106"/>
      <c r="MNC4" s="106"/>
      <c r="MND4" s="106"/>
      <c r="MNE4" s="106"/>
      <c r="MNF4" s="106"/>
      <c r="MNG4" s="106"/>
      <c r="MNH4" s="106"/>
      <c r="MNI4" s="106"/>
      <c r="MNJ4" s="106"/>
      <c r="MNK4" s="106"/>
      <c r="MNL4" s="106"/>
      <c r="MNM4" s="106"/>
      <c r="MNN4" s="106"/>
      <c r="MNO4" s="106"/>
      <c r="MNP4" s="106"/>
      <c r="MNQ4" s="106"/>
      <c r="MNR4" s="106"/>
      <c r="MNS4" s="106"/>
      <c r="MNT4" s="106"/>
      <c r="MNU4" s="106"/>
      <c r="MNV4" s="106"/>
      <c r="MNW4" s="106"/>
      <c r="MNX4" s="106"/>
      <c r="MNY4" s="106"/>
      <c r="MNZ4" s="106"/>
      <c r="MOA4" s="106"/>
      <c r="MOB4" s="106"/>
      <c r="MOC4" s="106"/>
      <c r="MOD4" s="106"/>
      <c r="MOE4" s="106"/>
      <c r="MOF4" s="106"/>
      <c r="MOG4" s="106"/>
      <c r="MOH4" s="106"/>
      <c r="MOI4" s="106"/>
      <c r="MOJ4" s="106"/>
      <c r="MOK4" s="106"/>
      <c r="MOL4" s="106"/>
      <c r="MOM4" s="106"/>
      <c r="MON4" s="106"/>
      <c r="MOO4" s="106"/>
      <c r="MOP4" s="106"/>
      <c r="MOQ4" s="106"/>
      <c r="MOR4" s="106"/>
      <c r="MOS4" s="106"/>
      <c r="MOT4" s="106"/>
      <c r="MOU4" s="106"/>
      <c r="MOV4" s="106"/>
      <c r="MOW4" s="106"/>
      <c r="MOX4" s="106"/>
      <c r="MOY4" s="106"/>
      <c r="MOZ4" s="106"/>
      <c r="MPA4" s="106"/>
      <c r="MPB4" s="106"/>
      <c r="MPC4" s="106"/>
      <c r="MPD4" s="106"/>
      <c r="MPE4" s="106"/>
      <c r="MPF4" s="106"/>
      <c r="MPG4" s="106"/>
      <c r="MPH4" s="106"/>
      <c r="MPI4" s="106"/>
      <c r="MPJ4" s="106"/>
      <c r="MPK4" s="106"/>
      <c r="MPL4" s="106"/>
      <c r="MPM4" s="106"/>
      <c r="MPN4" s="106"/>
      <c r="MPO4" s="106"/>
      <c r="MPP4" s="106"/>
      <c r="MPQ4" s="106"/>
      <c r="MPR4" s="106"/>
      <c r="MPS4" s="106"/>
      <c r="MPT4" s="106"/>
      <c r="MPU4" s="106"/>
      <c r="MPV4" s="106"/>
      <c r="MPW4" s="106"/>
      <c r="MPX4" s="106"/>
      <c r="MPY4" s="106"/>
      <c r="MPZ4" s="106"/>
      <c r="MQA4" s="106"/>
      <c r="MQB4" s="106"/>
      <c r="MQC4" s="106"/>
      <c r="MQD4" s="106"/>
      <c r="MQE4" s="106"/>
      <c r="MQF4" s="106"/>
      <c r="MQG4" s="106"/>
      <c r="MQH4" s="106"/>
      <c r="MQI4" s="106"/>
      <c r="MQJ4" s="106"/>
      <c r="MQK4" s="106"/>
      <c r="MQL4" s="106"/>
      <c r="MQM4" s="106"/>
      <c r="MQN4" s="106"/>
      <c r="MQO4" s="106"/>
      <c r="MQP4" s="106"/>
      <c r="MQQ4" s="106"/>
      <c r="MQR4" s="106"/>
      <c r="MQS4" s="106"/>
      <c r="MQT4" s="106"/>
      <c r="MQU4" s="106"/>
      <c r="MQV4" s="106"/>
      <c r="MQW4" s="106"/>
      <c r="MQX4" s="106"/>
      <c r="MQY4" s="106"/>
      <c r="MQZ4" s="106"/>
      <c r="MRA4" s="106"/>
      <c r="MRB4" s="106"/>
      <c r="MRC4" s="106"/>
      <c r="MRD4" s="106"/>
      <c r="MRE4" s="106"/>
      <c r="MRF4" s="106"/>
      <c r="MRG4" s="106"/>
      <c r="MRH4" s="106"/>
      <c r="MRI4" s="106"/>
      <c r="MRJ4" s="106"/>
      <c r="MRK4" s="106"/>
      <c r="MRL4" s="106"/>
      <c r="MRM4" s="106"/>
      <c r="MRN4" s="106"/>
      <c r="MRO4" s="106"/>
      <c r="MRP4" s="106"/>
      <c r="MRQ4" s="106"/>
      <c r="MRR4" s="106"/>
      <c r="MRS4" s="106"/>
      <c r="MRT4" s="106"/>
      <c r="MRU4" s="106"/>
      <c r="MRV4" s="106"/>
      <c r="MRW4" s="106"/>
      <c r="MRX4" s="106"/>
      <c r="MRY4" s="106"/>
      <c r="MRZ4" s="106"/>
      <c r="MSA4" s="106"/>
      <c r="MSB4" s="106"/>
      <c r="MSC4" s="106"/>
      <c r="MSD4" s="106"/>
      <c r="MSE4" s="106"/>
      <c r="MSF4" s="106"/>
      <c r="MSG4" s="106"/>
      <c r="MSH4" s="106"/>
      <c r="MSI4" s="106"/>
      <c r="MSJ4" s="106"/>
      <c r="MSK4" s="106"/>
      <c r="MSL4" s="106"/>
      <c r="MSM4" s="106"/>
      <c r="MSN4" s="106"/>
      <c r="MSO4" s="106"/>
      <c r="MSP4" s="106"/>
      <c r="MSQ4" s="106"/>
      <c r="MSR4" s="106"/>
      <c r="MSS4" s="106"/>
      <c r="MST4" s="106"/>
      <c r="MSU4" s="106"/>
      <c r="MSV4" s="106"/>
      <c r="MSW4" s="106"/>
      <c r="MSX4" s="106"/>
      <c r="MSY4" s="106"/>
      <c r="MSZ4" s="106"/>
      <c r="MTA4" s="106"/>
      <c r="MTB4" s="106"/>
      <c r="MTC4" s="106"/>
      <c r="MTD4" s="106"/>
      <c r="MTE4" s="106"/>
      <c r="MTF4" s="106"/>
      <c r="MTG4" s="106"/>
      <c r="MTH4" s="106"/>
      <c r="MTI4" s="106"/>
      <c r="MTJ4" s="106"/>
      <c r="MTK4" s="106"/>
      <c r="MTL4" s="106"/>
      <c r="MTM4" s="106"/>
      <c r="MTN4" s="106"/>
      <c r="MTO4" s="106"/>
      <c r="MTP4" s="106"/>
      <c r="MTQ4" s="106"/>
      <c r="MTR4" s="106"/>
      <c r="MTS4" s="106"/>
      <c r="MTT4" s="106"/>
      <c r="MTU4" s="106"/>
      <c r="MTV4" s="106"/>
      <c r="MTW4" s="106"/>
      <c r="MTX4" s="106"/>
      <c r="MTY4" s="106"/>
      <c r="MTZ4" s="106"/>
      <c r="MUA4" s="106"/>
      <c r="MUB4" s="106"/>
      <c r="MUC4" s="106"/>
      <c r="MUD4" s="106"/>
      <c r="MUE4" s="106"/>
      <c r="MUF4" s="106"/>
      <c r="MUG4" s="106"/>
      <c r="MUH4" s="106"/>
      <c r="MUI4" s="106"/>
      <c r="MUJ4" s="106"/>
      <c r="MUK4" s="106"/>
      <c r="MUL4" s="106"/>
      <c r="MUM4" s="106"/>
      <c r="MUN4" s="106"/>
      <c r="MUO4" s="106"/>
      <c r="MUP4" s="106"/>
      <c r="MUQ4" s="106"/>
      <c r="MUR4" s="106"/>
      <c r="MUS4" s="106"/>
      <c r="MUT4" s="106"/>
      <c r="MUU4" s="106"/>
      <c r="MUV4" s="106"/>
      <c r="MUW4" s="106"/>
      <c r="MUX4" s="106"/>
      <c r="MUY4" s="106"/>
      <c r="MUZ4" s="106"/>
      <c r="MVA4" s="106"/>
      <c r="MVB4" s="106"/>
      <c r="MVC4" s="106"/>
      <c r="MVD4" s="106"/>
      <c r="MVE4" s="106"/>
      <c r="MVF4" s="106"/>
      <c r="MVG4" s="106"/>
      <c r="MVH4" s="106"/>
      <c r="MVI4" s="106"/>
      <c r="MVJ4" s="106"/>
      <c r="MVK4" s="106"/>
      <c r="MVL4" s="106"/>
      <c r="MVM4" s="106"/>
      <c r="MVN4" s="106"/>
      <c r="MVO4" s="106"/>
      <c r="MVP4" s="106"/>
      <c r="MVQ4" s="106"/>
      <c r="MVR4" s="106"/>
      <c r="MVS4" s="106"/>
      <c r="MVT4" s="106"/>
      <c r="MVU4" s="106"/>
      <c r="MVV4" s="106"/>
      <c r="MVW4" s="106"/>
      <c r="MVX4" s="106"/>
      <c r="MVY4" s="106"/>
      <c r="MVZ4" s="106"/>
      <c r="MWA4" s="106"/>
      <c r="MWB4" s="106"/>
      <c r="MWC4" s="106"/>
      <c r="MWD4" s="106"/>
      <c r="MWE4" s="106"/>
      <c r="MWF4" s="106"/>
      <c r="MWG4" s="106"/>
      <c r="MWH4" s="106"/>
      <c r="MWI4" s="106"/>
      <c r="MWJ4" s="106"/>
      <c r="MWK4" s="106"/>
      <c r="MWL4" s="106"/>
      <c r="MWM4" s="106"/>
      <c r="MWN4" s="106"/>
      <c r="MWO4" s="106"/>
      <c r="MWP4" s="106"/>
      <c r="MWQ4" s="106"/>
      <c r="MWR4" s="106"/>
      <c r="MWS4" s="106"/>
      <c r="MWT4" s="106"/>
      <c r="MWU4" s="106"/>
      <c r="MWV4" s="106"/>
      <c r="MWW4" s="106"/>
      <c r="MWX4" s="106"/>
      <c r="MWY4" s="106"/>
      <c r="MWZ4" s="106"/>
      <c r="MXA4" s="106"/>
      <c r="MXB4" s="106"/>
      <c r="MXC4" s="106"/>
      <c r="MXD4" s="106"/>
      <c r="MXE4" s="106"/>
      <c r="MXF4" s="106"/>
      <c r="MXG4" s="106"/>
      <c r="MXH4" s="106"/>
      <c r="MXI4" s="106"/>
      <c r="MXJ4" s="106"/>
      <c r="MXK4" s="106"/>
      <c r="MXL4" s="106"/>
      <c r="MXM4" s="106"/>
      <c r="MXN4" s="106"/>
      <c r="MXO4" s="106"/>
      <c r="MXP4" s="106"/>
      <c r="MXQ4" s="106"/>
      <c r="MXR4" s="106"/>
      <c r="MXS4" s="106"/>
      <c r="MXT4" s="106"/>
      <c r="MXU4" s="106"/>
      <c r="MXV4" s="106"/>
      <c r="MXW4" s="106"/>
      <c r="MXX4" s="106"/>
      <c r="MXY4" s="106"/>
      <c r="MXZ4" s="106"/>
      <c r="MYA4" s="106"/>
      <c r="MYB4" s="106"/>
      <c r="MYC4" s="106"/>
      <c r="MYD4" s="106"/>
      <c r="MYE4" s="106"/>
      <c r="MYF4" s="106"/>
      <c r="MYG4" s="106"/>
      <c r="MYH4" s="106"/>
      <c r="MYI4" s="106"/>
      <c r="MYJ4" s="106"/>
      <c r="MYK4" s="106"/>
      <c r="MYL4" s="106"/>
      <c r="MYM4" s="106"/>
      <c r="MYN4" s="106"/>
      <c r="MYO4" s="106"/>
      <c r="MYP4" s="106"/>
      <c r="MYQ4" s="106"/>
      <c r="MYR4" s="106"/>
      <c r="MYS4" s="106"/>
      <c r="MYT4" s="106"/>
      <c r="MYU4" s="106"/>
      <c r="MYV4" s="106"/>
      <c r="MYW4" s="106"/>
      <c r="MYX4" s="106"/>
      <c r="MYY4" s="106"/>
      <c r="MYZ4" s="106"/>
      <c r="MZA4" s="106"/>
      <c r="MZB4" s="106"/>
      <c r="MZC4" s="106"/>
      <c r="MZD4" s="106"/>
      <c r="MZE4" s="106"/>
      <c r="MZF4" s="106"/>
      <c r="MZG4" s="106"/>
      <c r="MZH4" s="106"/>
      <c r="MZI4" s="106"/>
      <c r="MZJ4" s="106"/>
      <c r="MZK4" s="106"/>
      <c r="MZL4" s="106"/>
      <c r="MZM4" s="106"/>
      <c r="MZN4" s="106"/>
      <c r="MZO4" s="106"/>
      <c r="MZP4" s="106"/>
      <c r="MZQ4" s="106"/>
      <c r="MZR4" s="106"/>
      <c r="MZS4" s="106"/>
      <c r="MZT4" s="106"/>
      <c r="MZU4" s="106"/>
      <c r="MZV4" s="106"/>
      <c r="MZW4" s="106"/>
      <c r="MZX4" s="106"/>
      <c r="MZY4" s="106"/>
      <c r="MZZ4" s="106"/>
      <c r="NAA4" s="106"/>
      <c r="NAB4" s="106"/>
      <c r="NAC4" s="106"/>
      <c r="NAD4" s="106"/>
      <c r="NAE4" s="106"/>
      <c r="NAF4" s="106"/>
      <c r="NAG4" s="106"/>
      <c r="NAH4" s="106"/>
      <c r="NAI4" s="106"/>
      <c r="NAJ4" s="106"/>
      <c r="NAK4" s="106"/>
      <c r="NAL4" s="106"/>
      <c r="NAM4" s="106"/>
      <c r="NAN4" s="106"/>
      <c r="NAO4" s="106"/>
      <c r="NAP4" s="106"/>
      <c r="NAQ4" s="106"/>
      <c r="NAR4" s="106"/>
      <c r="NAS4" s="106"/>
      <c r="NAT4" s="106"/>
      <c r="NAU4" s="106"/>
      <c r="NAV4" s="106"/>
      <c r="NAW4" s="106"/>
      <c r="NAX4" s="106"/>
      <c r="NAY4" s="106"/>
      <c r="NAZ4" s="106"/>
      <c r="NBA4" s="106"/>
      <c r="NBB4" s="106"/>
      <c r="NBC4" s="106"/>
      <c r="NBD4" s="106"/>
      <c r="NBE4" s="106"/>
      <c r="NBF4" s="106"/>
      <c r="NBG4" s="106"/>
      <c r="NBH4" s="106"/>
      <c r="NBI4" s="106"/>
      <c r="NBJ4" s="106"/>
      <c r="NBK4" s="106"/>
      <c r="NBL4" s="106"/>
      <c r="NBM4" s="106"/>
      <c r="NBN4" s="106"/>
      <c r="NBO4" s="106"/>
      <c r="NBP4" s="106"/>
      <c r="NBQ4" s="106"/>
      <c r="NBR4" s="106"/>
      <c r="NBS4" s="106"/>
      <c r="NBT4" s="106"/>
      <c r="NBU4" s="106"/>
      <c r="NBV4" s="106"/>
      <c r="NBW4" s="106"/>
      <c r="NBX4" s="106"/>
      <c r="NBY4" s="106"/>
      <c r="NBZ4" s="106"/>
      <c r="NCA4" s="106"/>
      <c r="NCB4" s="106"/>
      <c r="NCC4" s="106"/>
      <c r="NCD4" s="106"/>
      <c r="NCE4" s="106"/>
      <c r="NCF4" s="106"/>
      <c r="NCG4" s="106"/>
      <c r="NCH4" s="106"/>
      <c r="NCI4" s="106"/>
      <c r="NCJ4" s="106"/>
      <c r="NCK4" s="106"/>
      <c r="NCL4" s="106"/>
      <c r="NCM4" s="106"/>
      <c r="NCN4" s="106"/>
      <c r="NCO4" s="106"/>
      <c r="NCP4" s="106"/>
      <c r="NCQ4" s="106"/>
      <c r="NCR4" s="106"/>
      <c r="NCS4" s="106"/>
      <c r="NCT4" s="106"/>
      <c r="NCU4" s="106"/>
      <c r="NCV4" s="106"/>
      <c r="NCW4" s="106"/>
      <c r="NCX4" s="106"/>
      <c r="NCY4" s="106"/>
      <c r="NCZ4" s="106"/>
      <c r="NDA4" s="106"/>
      <c r="NDB4" s="106"/>
      <c r="NDC4" s="106"/>
      <c r="NDD4" s="106"/>
      <c r="NDE4" s="106"/>
      <c r="NDF4" s="106"/>
      <c r="NDG4" s="106"/>
      <c r="NDH4" s="106"/>
      <c r="NDI4" s="106"/>
      <c r="NDJ4" s="106"/>
      <c r="NDK4" s="106"/>
      <c r="NDL4" s="106"/>
      <c r="NDM4" s="106"/>
      <c r="NDN4" s="106"/>
      <c r="NDO4" s="106"/>
      <c r="NDP4" s="106"/>
      <c r="NDQ4" s="106"/>
      <c r="NDR4" s="106"/>
      <c r="NDS4" s="106"/>
      <c r="NDT4" s="106"/>
      <c r="NDU4" s="106"/>
      <c r="NDV4" s="106"/>
      <c r="NDW4" s="106"/>
      <c r="NDX4" s="106"/>
      <c r="NDY4" s="106"/>
      <c r="NDZ4" s="106"/>
      <c r="NEA4" s="106"/>
      <c r="NEB4" s="106"/>
      <c r="NEC4" s="106"/>
      <c r="NED4" s="106"/>
      <c r="NEE4" s="106"/>
      <c r="NEF4" s="106"/>
      <c r="NEG4" s="106"/>
      <c r="NEH4" s="106"/>
      <c r="NEI4" s="106"/>
      <c r="NEJ4" s="106"/>
      <c r="NEK4" s="106"/>
      <c r="NEL4" s="106"/>
      <c r="NEM4" s="106"/>
      <c r="NEN4" s="106"/>
      <c r="NEO4" s="106"/>
      <c r="NEP4" s="106"/>
      <c r="NEQ4" s="106"/>
      <c r="NER4" s="106"/>
      <c r="NES4" s="106"/>
      <c r="NET4" s="106"/>
      <c r="NEU4" s="106"/>
      <c r="NEV4" s="106"/>
      <c r="NEW4" s="106"/>
      <c r="NEX4" s="106"/>
      <c r="NEY4" s="106"/>
      <c r="NEZ4" s="106"/>
      <c r="NFA4" s="106"/>
      <c r="NFB4" s="106"/>
      <c r="NFC4" s="106"/>
      <c r="NFD4" s="106"/>
      <c r="NFE4" s="106"/>
      <c r="NFF4" s="106"/>
      <c r="NFG4" s="106"/>
      <c r="NFH4" s="106"/>
      <c r="NFI4" s="106"/>
      <c r="NFJ4" s="106"/>
      <c r="NFK4" s="106"/>
      <c r="NFL4" s="106"/>
      <c r="NFM4" s="106"/>
      <c r="NFN4" s="106"/>
      <c r="NFO4" s="106"/>
      <c r="NFP4" s="106"/>
      <c r="NFQ4" s="106"/>
      <c r="NFR4" s="106"/>
      <c r="NFS4" s="106"/>
      <c r="NFT4" s="106"/>
      <c r="NFU4" s="106"/>
      <c r="NFV4" s="106"/>
      <c r="NFW4" s="106"/>
      <c r="NFX4" s="106"/>
      <c r="NFY4" s="106"/>
      <c r="NFZ4" s="106"/>
      <c r="NGA4" s="106"/>
      <c r="NGB4" s="106"/>
      <c r="NGC4" s="106"/>
      <c r="NGD4" s="106"/>
      <c r="NGE4" s="106"/>
      <c r="NGF4" s="106"/>
      <c r="NGG4" s="106"/>
      <c r="NGH4" s="106"/>
      <c r="NGI4" s="106"/>
      <c r="NGJ4" s="106"/>
      <c r="NGK4" s="106"/>
      <c r="NGL4" s="106"/>
      <c r="NGM4" s="106"/>
      <c r="NGN4" s="106"/>
      <c r="NGO4" s="106"/>
      <c r="NGP4" s="106"/>
      <c r="NGQ4" s="106"/>
      <c r="NGR4" s="106"/>
      <c r="NGS4" s="106"/>
      <c r="NGT4" s="106"/>
      <c r="NGU4" s="106"/>
      <c r="NGV4" s="106"/>
      <c r="NGW4" s="106"/>
      <c r="NGX4" s="106"/>
      <c r="NGY4" s="106"/>
      <c r="NGZ4" s="106"/>
      <c r="NHA4" s="106"/>
      <c r="NHB4" s="106"/>
      <c r="NHC4" s="106"/>
      <c r="NHD4" s="106"/>
      <c r="NHE4" s="106"/>
      <c r="NHF4" s="106"/>
      <c r="NHG4" s="106"/>
      <c r="NHH4" s="106"/>
      <c r="NHI4" s="106"/>
      <c r="NHJ4" s="106"/>
      <c r="NHK4" s="106"/>
      <c r="NHL4" s="106"/>
      <c r="NHM4" s="106"/>
      <c r="NHN4" s="106"/>
      <c r="NHO4" s="106"/>
      <c r="NHP4" s="106"/>
      <c r="NHQ4" s="106"/>
      <c r="NHR4" s="106"/>
      <c r="NHS4" s="106"/>
      <c r="NHT4" s="106"/>
      <c r="NHU4" s="106"/>
      <c r="NHV4" s="106"/>
      <c r="NHW4" s="106"/>
      <c r="NHX4" s="106"/>
      <c r="NHY4" s="106"/>
      <c r="NHZ4" s="106"/>
      <c r="NIA4" s="106"/>
      <c r="NIB4" s="106"/>
      <c r="NIC4" s="106"/>
      <c r="NID4" s="106"/>
      <c r="NIE4" s="106"/>
      <c r="NIF4" s="106"/>
      <c r="NIG4" s="106"/>
      <c r="NIH4" s="106"/>
      <c r="NII4" s="106"/>
      <c r="NIJ4" s="106"/>
      <c r="NIK4" s="106"/>
      <c r="NIL4" s="106"/>
      <c r="NIM4" s="106"/>
      <c r="NIN4" s="106"/>
      <c r="NIO4" s="106"/>
      <c r="NIP4" s="106"/>
      <c r="NIQ4" s="106"/>
      <c r="NIR4" s="106"/>
      <c r="NIS4" s="106"/>
      <c r="NIT4" s="106"/>
      <c r="NIU4" s="106"/>
      <c r="NIV4" s="106"/>
      <c r="NIW4" s="106"/>
      <c r="NIX4" s="106"/>
      <c r="NIY4" s="106"/>
      <c r="NIZ4" s="106"/>
      <c r="NJA4" s="106"/>
      <c r="NJB4" s="106"/>
      <c r="NJC4" s="106"/>
      <c r="NJD4" s="106"/>
      <c r="NJE4" s="106"/>
      <c r="NJF4" s="106"/>
      <c r="NJG4" s="106"/>
      <c r="NJH4" s="106"/>
      <c r="NJI4" s="106"/>
      <c r="NJJ4" s="106"/>
      <c r="NJK4" s="106"/>
      <c r="NJL4" s="106"/>
      <c r="NJM4" s="106"/>
      <c r="NJN4" s="106"/>
      <c r="NJO4" s="106"/>
      <c r="NJP4" s="106"/>
      <c r="NJQ4" s="106"/>
      <c r="NJR4" s="106"/>
      <c r="NJS4" s="106"/>
      <c r="NJT4" s="106"/>
      <c r="NJU4" s="106"/>
      <c r="NJV4" s="106"/>
      <c r="NJW4" s="106"/>
      <c r="NJX4" s="106"/>
      <c r="NJY4" s="106"/>
      <c r="NJZ4" s="106"/>
      <c r="NKA4" s="106"/>
      <c r="NKB4" s="106"/>
      <c r="NKC4" s="106"/>
      <c r="NKD4" s="106"/>
      <c r="NKE4" s="106"/>
      <c r="NKF4" s="106"/>
      <c r="NKG4" s="106"/>
      <c r="NKH4" s="106"/>
      <c r="NKI4" s="106"/>
      <c r="NKJ4" s="106"/>
      <c r="NKK4" s="106"/>
      <c r="NKL4" s="106"/>
      <c r="NKM4" s="106"/>
      <c r="NKN4" s="106"/>
      <c r="NKO4" s="106"/>
      <c r="NKP4" s="106"/>
      <c r="NKQ4" s="106"/>
      <c r="NKR4" s="106"/>
      <c r="NKS4" s="106"/>
      <c r="NKT4" s="106"/>
      <c r="NKU4" s="106"/>
      <c r="NKV4" s="106"/>
      <c r="NKW4" s="106"/>
      <c r="NKX4" s="106"/>
      <c r="NKY4" s="106"/>
      <c r="NKZ4" s="106"/>
      <c r="NLA4" s="106"/>
      <c r="NLB4" s="106"/>
      <c r="NLC4" s="106"/>
      <c r="NLD4" s="106"/>
      <c r="NLE4" s="106"/>
      <c r="NLF4" s="106"/>
      <c r="NLG4" s="106"/>
      <c r="NLH4" s="106"/>
      <c r="NLI4" s="106"/>
      <c r="NLJ4" s="106"/>
      <c r="NLK4" s="106"/>
      <c r="NLL4" s="106"/>
      <c r="NLM4" s="106"/>
      <c r="NLN4" s="106"/>
      <c r="NLO4" s="106"/>
      <c r="NLP4" s="106"/>
      <c r="NLQ4" s="106"/>
      <c r="NLR4" s="106"/>
      <c r="NLS4" s="106"/>
      <c r="NLT4" s="106"/>
      <c r="NLU4" s="106"/>
      <c r="NLV4" s="106"/>
      <c r="NLW4" s="106"/>
      <c r="NLX4" s="106"/>
      <c r="NLY4" s="106"/>
      <c r="NLZ4" s="106"/>
      <c r="NMA4" s="106"/>
      <c r="NMB4" s="106"/>
      <c r="NMC4" s="106"/>
      <c r="NMD4" s="106"/>
      <c r="NME4" s="106"/>
      <c r="NMF4" s="106"/>
      <c r="NMG4" s="106"/>
      <c r="NMH4" s="106"/>
      <c r="NMI4" s="106"/>
      <c r="NMJ4" s="106"/>
      <c r="NMK4" s="106"/>
      <c r="NML4" s="106"/>
      <c r="NMM4" s="106"/>
      <c r="NMN4" s="106"/>
      <c r="NMO4" s="106"/>
      <c r="NMP4" s="106"/>
      <c r="NMQ4" s="106"/>
      <c r="NMR4" s="106"/>
      <c r="NMS4" s="106"/>
      <c r="NMT4" s="106"/>
      <c r="NMU4" s="106"/>
      <c r="NMV4" s="106"/>
      <c r="NMW4" s="106"/>
      <c r="NMX4" s="106"/>
      <c r="NMY4" s="106"/>
      <c r="NMZ4" s="106"/>
      <c r="NNA4" s="106"/>
      <c r="NNB4" s="106"/>
      <c r="NNC4" s="106"/>
      <c r="NND4" s="106"/>
      <c r="NNE4" s="106"/>
      <c r="NNF4" s="106"/>
      <c r="NNG4" s="106"/>
      <c r="NNH4" s="106"/>
      <c r="NNI4" s="106"/>
      <c r="NNJ4" s="106"/>
      <c r="NNK4" s="106"/>
      <c r="NNL4" s="106"/>
      <c r="NNM4" s="106"/>
      <c r="NNN4" s="106"/>
      <c r="NNO4" s="106"/>
      <c r="NNP4" s="106"/>
      <c r="NNQ4" s="106"/>
      <c r="NNR4" s="106"/>
      <c r="NNS4" s="106"/>
      <c r="NNT4" s="106"/>
      <c r="NNU4" s="106"/>
      <c r="NNV4" s="106"/>
      <c r="NNW4" s="106"/>
      <c r="NNX4" s="106"/>
      <c r="NNY4" s="106"/>
      <c r="NNZ4" s="106"/>
      <c r="NOA4" s="106"/>
      <c r="NOB4" s="106"/>
      <c r="NOC4" s="106"/>
      <c r="NOD4" s="106"/>
      <c r="NOE4" s="106"/>
      <c r="NOF4" s="106"/>
      <c r="NOG4" s="106"/>
      <c r="NOH4" s="106"/>
      <c r="NOI4" s="106"/>
      <c r="NOJ4" s="106"/>
      <c r="NOK4" s="106"/>
      <c r="NOL4" s="106"/>
      <c r="NOM4" s="106"/>
      <c r="NON4" s="106"/>
      <c r="NOO4" s="106"/>
      <c r="NOP4" s="106"/>
      <c r="NOQ4" s="106"/>
      <c r="NOR4" s="106"/>
      <c r="NOS4" s="106"/>
      <c r="NOT4" s="106"/>
      <c r="NOU4" s="106"/>
      <c r="NOV4" s="106"/>
      <c r="NOW4" s="106"/>
      <c r="NOX4" s="106"/>
      <c r="NOY4" s="106"/>
      <c r="NOZ4" s="106"/>
      <c r="NPA4" s="106"/>
      <c r="NPB4" s="106"/>
      <c r="NPC4" s="106"/>
      <c r="NPD4" s="106"/>
      <c r="NPE4" s="106"/>
      <c r="NPF4" s="106"/>
      <c r="NPG4" s="106"/>
      <c r="NPH4" s="106"/>
      <c r="NPI4" s="106"/>
      <c r="NPJ4" s="106"/>
      <c r="NPK4" s="106"/>
      <c r="NPL4" s="106"/>
      <c r="NPM4" s="106"/>
      <c r="NPN4" s="106"/>
      <c r="NPO4" s="106"/>
      <c r="NPP4" s="106"/>
      <c r="NPQ4" s="106"/>
      <c r="NPR4" s="106"/>
      <c r="NPS4" s="106"/>
      <c r="NPT4" s="106"/>
      <c r="NPU4" s="106"/>
      <c r="NPV4" s="106"/>
      <c r="NPW4" s="106"/>
      <c r="NPX4" s="106"/>
      <c r="NPY4" s="106"/>
      <c r="NPZ4" s="106"/>
      <c r="NQA4" s="106"/>
      <c r="NQB4" s="106"/>
      <c r="NQC4" s="106"/>
      <c r="NQD4" s="106"/>
      <c r="NQE4" s="106"/>
      <c r="NQF4" s="106"/>
      <c r="NQG4" s="106"/>
      <c r="NQH4" s="106"/>
      <c r="NQI4" s="106"/>
      <c r="NQJ4" s="106"/>
      <c r="NQK4" s="106"/>
      <c r="NQL4" s="106"/>
      <c r="NQM4" s="106"/>
      <c r="NQN4" s="106"/>
      <c r="NQO4" s="106"/>
      <c r="NQP4" s="106"/>
      <c r="NQQ4" s="106"/>
      <c r="NQR4" s="106"/>
      <c r="NQS4" s="106"/>
      <c r="NQT4" s="106"/>
      <c r="NQU4" s="106"/>
      <c r="NQV4" s="106"/>
      <c r="NQW4" s="106"/>
      <c r="NQX4" s="106"/>
      <c r="NQY4" s="106"/>
      <c r="NQZ4" s="106"/>
      <c r="NRA4" s="106"/>
      <c r="NRB4" s="106"/>
      <c r="NRC4" s="106"/>
      <c r="NRD4" s="106"/>
      <c r="NRE4" s="106"/>
      <c r="NRF4" s="106"/>
      <c r="NRG4" s="106"/>
      <c r="NRH4" s="106"/>
      <c r="NRI4" s="106"/>
      <c r="NRJ4" s="106"/>
      <c r="NRK4" s="106"/>
      <c r="NRL4" s="106"/>
      <c r="NRM4" s="106"/>
      <c r="NRN4" s="106"/>
      <c r="NRO4" s="106"/>
      <c r="NRP4" s="106"/>
      <c r="NRQ4" s="106"/>
      <c r="NRR4" s="106"/>
      <c r="NRS4" s="106"/>
      <c r="NRT4" s="106"/>
      <c r="NRU4" s="106"/>
      <c r="NRV4" s="106"/>
      <c r="NRW4" s="106"/>
      <c r="NRX4" s="106"/>
      <c r="NRY4" s="106"/>
      <c r="NRZ4" s="106"/>
      <c r="NSA4" s="106"/>
      <c r="NSB4" s="106"/>
      <c r="NSC4" s="106"/>
      <c r="NSD4" s="106"/>
      <c r="NSE4" s="106"/>
      <c r="NSF4" s="106"/>
      <c r="NSG4" s="106"/>
      <c r="NSH4" s="106"/>
      <c r="NSI4" s="106"/>
      <c r="NSJ4" s="106"/>
      <c r="NSK4" s="106"/>
      <c r="NSL4" s="106"/>
      <c r="NSM4" s="106"/>
      <c r="NSN4" s="106"/>
      <c r="NSO4" s="106"/>
      <c r="NSP4" s="106"/>
      <c r="NSQ4" s="106"/>
      <c r="NSR4" s="106"/>
      <c r="NSS4" s="106"/>
      <c r="NST4" s="106"/>
      <c r="NSU4" s="106"/>
      <c r="NSV4" s="106"/>
      <c r="NSW4" s="106"/>
      <c r="NSX4" s="106"/>
      <c r="NSY4" s="106"/>
      <c r="NSZ4" s="106"/>
      <c r="NTA4" s="106"/>
      <c r="NTB4" s="106"/>
      <c r="NTC4" s="106"/>
      <c r="NTD4" s="106"/>
      <c r="NTE4" s="106"/>
      <c r="NTF4" s="106"/>
      <c r="NTG4" s="106"/>
      <c r="NTH4" s="106"/>
      <c r="NTI4" s="106"/>
      <c r="NTJ4" s="106"/>
      <c r="NTK4" s="106"/>
      <c r="NTL4" s="106"/>
      <c r="NTM4" s="106"/>
      <c r="NTN4" s="106"/>
      <c r="NTO4" s="106"/>
      <c r="NTP4" s="106"/>
      <c r="NTQ4" s="106"/>
      <c r="NTR4" s="106"/>
      <c r="NTS4" s="106"/>
      <c r="NTT4" s="106"/>
      <c r="NTU4" s="106"/>
      <c r="NTV4" s="106"/>
      <c r="NTW4" s="106"/>
      <c r="NTX4" s="106"/>
      <c r="NTY4" s="106"/>
      <c r="NTZ4" s="106"/>
      <c r="NUA4" s="106"/>
      <c r="NUB4" s="106"/>
      <c r="NUC4" s="106"/>
      <c r="NUD4" s="106"/>
      <c r="NUE4" s="106"/>
      <c r="NUF4" s="106"/>
      <c r="NUG4" s="106"/>
      <c r="NUH4" s="106"/>
      <c r="NUI4" s="106"/>
      <c r="NUJ4" s="106"/>
      <c r="NUK4" s="106"/>
      <c r="NUL4" s="106"/>
      <c r="NUM4" s="106"/>
      <c r="NUN4" s="106"/>
      <c r="NUO4" s="106"/>
      <c r="NUP4" s="106"/>
      <c r="NUQ4" s="106"/>
      <c r="NUR4" s="106"/>
      <c r="NUS4" s="106"/>
      <c r="NUT4" s="106"/>
      <c r="NUU4" s="106"/>
      <c r="NUV4" s="106"/>
      <c r="NUW4" s="106"/>
      <c r="NUX4" s="106"/>
      <c r="NUY4" s="106"/>
      <c r="NUZ4" s="106"/>
      <c r="NVA4" s="106"/>
      <c r="NVB4" s="106"/>
      <c r="NVC4" s="106"/>
      <c r="NVD4" s="106"/>
      <c r="NVE4" s="106"/>
      <c r="NVF4" s="106"/>
      <c r="NVG4" s="106"/>
      <c r="NVH4" s="106"/>
      <c r="NVI4" s="106"/>
      <c r="NVJ4" s="106"/>
      <c r="NVK4" s="106"/>
      <c r="NVL4" s="106"/>
      <c r="NVM4" s="106"/>
      <c r="NVN4" s="106"/>
      <c r="NVO4" s="106"/>
      <c r="NVP4" s="106"/>
      <c r="NVQ4" s="106"/>
      <c r="NVR4" s="106"/>
      <c r="NVS4" s="106"/>
      <c r="NVT4" s="106"/>
      <c r="NVU4" s="106"/>
      <c r="NVV4" s="106"/>
      <c r="NVW4" s="106"/>
      <c r="NVX4" s="106"/>
      <c r="NVY4" s="106"/>
      <c r="NVZ4" s="106"/>
      <c r="NWA4" s="106"/>
      <c r="NWB4" s="106"/>
      <c r="NWC4" s="106"/>
      <c r="NWD4" s="106"/>
      <c r="NWE4" s="106"/>
      <c r="NWF4" s="106"/>
      <c r="NWG4" s="106"/>
      <c r="NWH4" s="106"/>
      <c r="NWI4" s="106"/>
      <c r="NWJ4" s="106"/>
      <c r="NWK4" s="106"/>
      <c r="NWL4" s="106"/>
      <c r="NWM4" s="106"/>
      <c r="NWN4" s="106"/>
      <c r="NWO4" s="106"/>
      <c r="NWP4" s="106"/>
      <c r="NWQ4" s="106"/>
      <c r="NWR4" s="106"/>
      <c r="NWS4" s="106"/>
      <c r="NWT4" s="106"/>
      <c r="NWU4" s="106"/>
      <c r="NWV4" s="106"/>
      <c r="NWW4" s="106"/>
      <c r="NWX4" s="106"/>
      <c r="NWY4" s="106"/>
      <c r="NWZ4" s="106"/>
      <c r="NXA4" s="106"/>
      <c r="NXB4" s="106"/>
      <c r="NXC4" s="106"/>
      <c r="NXD4" s="106"/>
      <c r="NXE4" s="106"/>
      <c r="NXF4" s="106"/>
      <c r="NXG4" s="106"/>
      <c r="NXH4" s="106"/>
      <c r="NXI4" s="106"/>
      <c r="NXJ4" s="106"/>
      <c r="NXK4" s="106"/>
      <c r="NXL4" s="106"/>
      <c r="NXM4" s="106"/>
      <c r="NXN4" s="106"/>
      <c r="NXO4" s="106"/>
      <c r="NXP4" s="106"/>
      <c r="NXQ4" s="106"/>
      <c r="NXR4" s="106"/>
      <c r="NXS4" s="106"/>
      <c r="NXT4" s="106"/>
      <c r="NXU4" s="106"/>
      <c r="NXV4" s="106"/>
      <c r="NXW4" s="106"/>
      <c r="NXX4" s="106"/>
      <c r="NXY4" s="106"/>
      <c r="NXZ4" s="106"/>
      <c r="NYA4" s="106"/>
      <c r="NYB4" s="106"/>
      <c r="NYC4" s="106"/>
      <c r="NYD4" s="106"/>
      <c r="NYE4" s="106"/>
      <c r="NYF4" s="106"/>
      <c r="NYG4" s="106"/>
      <c r="NYH4" s="106"/>
      <c r="NYI4" s="106"/>
      <c r="NYJ4" s="106"/>
      <c r="NYK4" s="106"/>
      <c r="NYL4" s="106"/>
      <c r="NYM4" s="106"/>
      <c r="NYN4" s="106"/>
      <c r="NYO4" s="106"/>
      <c r="NYP4" s="106"/>
      <c r="NYQ4" s="106"/>
      <c r="NYR4" s="106"/>
      <c r="NYS4" s="106"/>
      <c r="NYT4" s="106"/>
      <c r="NYU4" s="106"/>
      <c r="NYV4" s="106"/>
      <c r="NYW4" s="106"/>
      <c r="NYX4" s="106"/>
      <c r="NYY4" s="106"/>
      <c r="NYZ4" s="106"/>
      <c r="NZA4" s="106"/>
      <c r="NZB4" s="106"/>
      <c r="NZC4" s="106"/>
      <c r="NZD4" s="106"/>
      <c r="NZE4" s="106"/>
      <c r="NZF4" s="106"/>
      <c r="NZG4" s="106"/>
      <c r="NZH4" s="106"/>
      <c r="NZI4" s="106"/>
      <c r="NZJ4" s="106"/>
      <c r="NZK4" s="106"/>
      <c r="NZL4" s="106"/>
      <c r="NZM4" s="106"/>
      <c r="NZN4" s="106"/>
      <c r="NZO4" s="106"/>
      <c r="NZP4" s="106"/>
      <c r="NZQ4" s="106"/>
      <c r="NZR4" s="106"/>
      <c r="NZS4" s="106"/>
      <c r="NZT4" s="106"/>
      <c r="NZU4" s="106"/>
      <c r="NZV4" s="106"/>
      <c r="NZW4" s="106"/>
      <c r="NZX4" s="106"/>
      <c r="NZY4" s="106"/>
      <c r="NZZ4" s="106"/>
      <c r="OAA4" s="106"/>
      <c r="OAB4" s="106"/>
      <c r="OAC4" s="106"/>
      <c r="OAD4" s="106"/>
      <c r="OAE4" s="106"/>
      <c r="OAF4" s="106"/>
      <c r="OAG4" s="106"/>
      <c r="OAH4" s="106"/>
      <c r="OAI4" s="106"/>
      <c r="OAJ4" s="106"/>
      <c r="OAK4" s="106"/>
      <c r="OAL4" s="106"/>
      <c r="OAM4" s="106"/>
      <c r="OAN4" s="106"/>
      <c r="OAO4" s="106"/>
      <c r="OAP4" s="106"/>
      <c r="OAQ4" s="106"/>
      <c r="OAR4" s="106"/>
      <c r="OAS4" s="106"/>
      <c r="OAT4" s="106"/>
      <c r="OAU4" s="106"/>
      <c r="OAV4" s="106"/>
      <c r="OAW4" s="106"/>
      <c r="OAX4" s="106"/>
      <c r="OAY4" s="106"/>
      <c r="OAZ4" s="106"/>
      <c r="OBA4" s="106"/>
      <c r="OBB4" s="106"/>
      <c r="OBC4" s="106"/>
      <c r="OBD4" s="106"/>
      <c r="OBE4" s="106"/>
      <c r="OBF4" s="106"/>
      <c r="OBG4" s="106"/>
      <c r="OBH4" s="106"/>
      <c r="OBI4" s="106"/>
      <c r="OBJ4" s="106"/>
      <c r="OBK4" s="106"/>
      <c r="OBL4" s="106"/>
      <c r="OBM4" s="106"/>
      <c r="OBN4" s="106"/>
      <c r="OBO4" s="106"/>
      <c r="OBP4" s="106"/>
      <c r="OBQ4" s="106"/>
      <c r="OBR4" s="106"/>
      <c r="OBS4" s="106"/>
      <c r="OBT4" s="106"/>
      <c r="OBU4" s="106"/>
      <c r="OBV4" s="106"/>
      <c r="OBW4" s="106"/>
      <c r="OBX4" s="106"/>
      <c r="OBY4" s="106"/>
      <c r="OBZ4" s="106"/>
      <c r="OCA4" s="106"/>
      <c r="OCB4" s="106"/>
      <c r="OCC4" s="106"/>
      <c r="OCD4" s="106"/>
      <c r="OCE4" s="106"/>
      <c r="OCF4" s="106"/>
      <c r="OCG4" s="106"/>
      <c r="OCH4" s="106"/>
      <c r="OCI4" s="106"/>
      <c r="OCJ4" s="106"/>
      <c r="OCK4" s="106"/>
      <c r="OCL4" s="106"/>
      <c r="OCM4" s="106"/>
      <c r="OCN4" s="106"/>
      <c r="OCO4" s="106"/>
      <c r="OCP4" s="106"/>
      <c r="OCQ4" s="106"/>
      <c r="OCR4" s="106"/>
      <c r="OCS4" s="106"/>
      <c r="OCT4" s="106"/>
      <c r="OCU4" s="106"/>
      <c r="OCV4" s="106"/>
      <c r="OCW4" s="106"/>
      <c r="OCX4" s="106"/>
      <c r="OCY4" s="106"/>
      <c r="OCZ4" s="106"/>
      <c r="ODA4" s="106"/>
      <c r="ODB4" s="106"/>
      <c r="ODC4" s="106"/>
      <c r="ODD4" s="106"/>
      <c r="ODE4" s="106"/>
      <c r="ODF4" s="106"/>
      <c r="ODG4" s="106"/>
      <c r="ODH4" s="106"/>
      <c r="ODI4" s="106"/>
      <c r="ODJ4" s="106"/>
      <c r="ODK4" s="106"/>
      <c r="ODL4" s="106"/>
      <c r="ODM4" s="106"/>
      <c r="ODN4" s="106"/>
      <c r="ODO4" s="106"/>
      <c r="ODP4" s="106"/>
      <c r="ODQ4" s="106"/>
      <c r="ODR4" s="106"/>
      <c r="ODS4" s="106"/>
      <c r="ODT4" s="106"/>
      <c r="ODU4" s="106"/>
      <c r="ODV4" s="106"/>
      <c r="ODW4" s="106"/>
      <c r="ODX4" s="106"/>
      <c r="ODY4" s="106"/>
      <c r="ODZ4" s="106"/>
      <c r="OEA4" s="106"/>
      <c r="OEB4" s="106"/>
      <c r="OEC4" s="106"/>
      <c r="OED4" s="106"/>
      <c r="OEE4" s="106"/>
      <c r="OEF4" s="106"/>
      <c r="OEG4" s="106"/>
      <c r="OEH4" s="106"/>
      <c r="OEI4" s="106"/>
      <c r="OEJ4" s="106"/>
      <c r="OEK4" s="106"/>
      <c r="OEL4" s="106"/>
      <c r="OEM4" s="106"/>
      <c r="OEN4" s="106"/>
      <c r="OEO4" s="106"/>
      <c r="OEP4" s="106"/>
      <c r="OEQ4" s="106"/>
      <c r="OER4" s="106"/>
      <c r="OES4" s="106"/>
      <c r="OET4" s="106"/>
      <c r="OEU4" s="106"/>
      <c r="OEV4" s="106"/>
      <c r="OEW4" s="106"/>
      <c r="OEX4" s="106"/>
      <c r="OEY4" s="106"/>
      <c r="OEZ4" s="106"/>
      <c r="OFA4" s="106"/>
      <c r="OFB4" s="106"/>
      <c r="OFC4" s="106"/>
      <c r="OFD4" s="106"/>
      <c r="OFE4" s="106"/>
      <c r="OFF4" s="106"/>
      <c r="OFG4" s="106"/>
      <c r="OFH4" s="106"/>
      <c r="OFI4" s="106"/>
      <c r="OFJ4" s="106"/>
      <c r="OFK4" s="106"/>
      <c r="OFL4" s="106"/>
      <c r="OFM4" s="106"/>
      <c r="OFN4" s="106"/>
      <c r="OFO4" s="106"/>
      <c r="OFP4" s="106"/>
      <c r="OFQ4" s="106"/>
      <c r="OFR4" s="106"/>
      <c r="OFS4" s="106"/>
      <c r="OFT4" s="106"/>
      <c r="OFU4" s="106"/>
      <c r="OFV4" s="106"/>
      <c r="OFW4" s="106"/>
      <c r="OFX4" s="106"/>
      <c r="OFY4" s="106"/>
      <c r="OFZ4" s="106"/>
      <c r="OGA4" s="106"/>
      <c r="OGB4" s="106"/>
      <c r="OGC4" s="106"/>
      <c r="OGD4" s="106"/>
      <c r="OGE4" s="106"/>
      <c r="OGF4" s="106"/>
      <c r="OGG4" s="106"/>
      <c r="OGH4" s="106"/>
      <c r="OGI4" s="106"/>
      <c r="OGJ4" s="106"/>
      <c r="OGK4" s="106"/>
      <c r="OGL4" s="106"/>
      <c r="OGM4" s="106"/>
      <c r="OGN4" s="106"/>
      <c r="OGO4" s="106"/>
      <c r="OGP4" s="106"/>
      <c r="OGQ4" s="106"/>
      <c r="OGR4" s="106"/>
      <c r="OGS4" s="106"/>
      <c r="OGT4" s="106"/>
      <c r="OGU4" s="106"/>
      <c r="OGV4" s="106"/>
      <c r="OGW4" s="106"/>
      <c r="OGX4" s="106"/>
      <c r="OGY4" s="106"/>
      <c r="OGZ4" s="106"/>
      <c r="OHA4" s="106"/>
      <c r="OHB4" s="106"/>
      <c r="OHC4" s="106"/>
      <c r="OHD4" s="106"/>
      <c r="OHE4" s="106"/>
      <c r="OHF4" s="106"/>
      <c r="OHG4" s="106"/>
      <c r="OHH4" s="106"/>
      <c r="OHI4" s="106"/>
      <c r="OHJ4" s="106"/>
      <c r="OHK4" s="106"/>
      <c r="OHL4" s="106"/>
      <c r="OHM4" s="106"/>
      <c r="OHN4" s="106"/>
      <c r="OHO4" s="106"/>
      <c r="OHP4" s="106"/>
      <c r="OHQ4" s="106"/>
      <c r="OHR4" s="106"/>
      <c r="OHS4" s="106"/>
      <c r="OHT4" s="106"/>
      <c r="OHU4" s="106"/>
      <c r="OHV4" s="106"/>
      <c r="OHW4" s="106"/>
      <c r="OHX4" s="106"/>
      <c r="OHY4" s="106"/>
      <c r="OHZ4" s="106"/>
      <c r="OIA4" s="106"/>
      <c r="OIB4" s="106"/>
      <c r="OIC4" s="106"/>
      <c r="OID4" s="106"/>
      <c r="OIE4" s="106"/>
      <c r="OIF4" s="106"/>
      <c r="OIG4" s="106"/>
      <c r="OIH4" s="106"/>
      <c r="OII4" s="106"/>
      <c r="OIJ4" s="106"/>
      <c r="OIK4" s="106"/>
      <c r="OIL4" s="106"/>
      <c r="OIM4" s="106"/>
      <c r="OIN4" s="106"/>
      <c r="OIO4" s="106"/>
      <c r="OIP4" s="106"/>
      <c r="OIQ4" s="106"/>
      <c r="OIR4" s="106"/>
      <c r="OIS4" s="106"/>
      <c r="OIT4" s="106"/>
      <c r="OIU4" s="106"/>
      <c r="OIV4" s="106"/>
      <c r="OIW4" s="106"/>
      <c r="OIX4" s="106"/>
      <c r="OIY4" s="106"/>
      <c r="OIZ4" s="106"/>
      <c r="OJA4" s="106"/>
      <c r="OJB4" s="106"/>
      <c r="OJC4" s="106"/>
      <c r="OJD4" s="106"/>
      <c r="OJE4" s="106"/>
      <c r="OJF4" s="106"/>
      <c r="OJG4" s="106"/>
      <c r="OJH4" s="106"/>
      <c r="OJI4" s="106"/>
      <c r="OJJ4" s="106"/>
      <c r="OJK4" s="106"/>
      <c r="OJL4" s="106"/>
      <c r="OJM4" s="106"/>
      <c r="OJN4" s="106"/>
      <c r="OJO4" s="106"/>
      <c r="OJP4" s="106"/>
      <c r="OJQ4" s="106"/>
      <c r="OJR4" s="106"/>
      <c r="OJS4" s="106"/>
      <c r="OJT4" s="106"/>
      <c r="OJU4" s="106"/>
      <c r="OJV4" s="106"/>
      <c r="OJW4" s="106"/>
      <c r="OJX4" s="106"/>
      <c r="OJY4" s="106"/>
      <c r="OJZ4" s="106"/>
      <c r="OKA4" s="106"/>
      <c r="OKB4" s="106"/>
      <c r="OKC4" s="106"/>
      <c r="OKD4" s="106"/>
      <c r="OKE4" s="106"/>
      <c r="OKF4" s="106"/>
      <c r="OKG4" s="106"/>
      <c r="OKH4" s="106"/>
      <c r="OKI4" s="106"/>
      <c r="OKJ4" s="106"/>
      <c r="OKK4" s="106"/>
      <c r="OKL4" s="106"/>
      <c r="OKM4" s="106"/>
      <c r="OKN4" s="106"/>
      <c r="OKO4" s="106"/>
      <c r="OKP4" s="106"/>
      <c r="OKQ4" s="106"/>
      <c r="OKR4" s="106"/>
      <c r="OKS4" s="106"/>
      <c r="OKT4" s="106"/>
      <c r="OKU4" s="106"/>
      <c r="OKV4" s="106"/>
      <c r="OKW4" s="106"/>
      <c r="OKX4" s="106"/>
      <c r="OKY4" s="106"/>
      <c r="OKZ4" s="106"/>
      <c r="OLA4" s="106"/>
      <c r="OLB4" s="106"/>
      <c r="OLC4" s="106"/>
      <c r="OLD4" s="106"/>
      <c r="OLE4" s="106"/>
      <c r="OLF4" s="106"/>
      <c r="OLG4" s="106"/>
      <c r="OLH4" s="106"/>
      <c r="OLI4" s="106"/>
      <c r="OLJ4" s="106"/>
      <c r="OLK4" s="106"/>
      <c r="OLL4" s="106"/>
      <c r="OLM4" s="106"/>
      <c r="OLN4" s="106"/>
      <c r="OLO4" s="106"/>
      <c r="OLP4" s="106"/>
      <c r="OLQ4" s="106"/>
      <c r="OLR4" s="106"/>
      <c r="OLS4" s="106"/>
      <c r="OLT4" s="106"/>
      <c r="OLU4" s="106"/>
      <c r="OLV4" s="106"/>
      <c r="OLW4" s="106"/>
      <c r="OLX4" s="106"/>
      <c r="OLY4" s="106"/>
      <c r="OLZ4" s="106"/>
      <c r="OMA4" s="106"/>
      <c r="OMB4" s="106"/>
      <c r="OMC4" s="106"/>
      <c r="OMD4" s="106"/>
      <c r="OME4" s="106"/>
      <c r="OMF4" s="106"/>
      <c r="OMG4" s="106"/>
      <c r="OMH4" s="106"/>
      <c r="OMI4" s="106"/>
      <c r="OMJ4" s="106"/>
      <c r="OMK4" s="106"/>
      <c r="OML4" s="106"/>
      <c r="OMM4" s="106"/>
      <c r="OMN4" s="106"/>
      <c r="OMO4" s="106"/>
      <c r="OMP4" s="106"/>
      <c r="OMQ4" s="106"/>
      <c r="OMR4" s="106"/>
      <c r="OMS4" s="106"/>
      <c r="OMT4" s="106"/>
      <c r="OMU4" s="106"/>
      <c r="OMV4" s="106"/>
      <c r="OMW4" s="106"/>
      <c r="OMX4" s="106"/>
      <c r="OMY4" s="106"/>
      <c r="OMZ4" s="106"/>
      <c r="ONA4" s="106"/>
      <c r="ONB4" s="106"/>
      <c r="ONC4" s="106"/>
      <c r="OND4" s="106"/>
      <c r="ONE4" s="106"/>
      <c r="ONF4" s="106"/>
      <c r="ONG4" s="106"/>
      <c r="ONH4" s="106"/>
      <c r="ONI4" s="106"/>
      <c r="ONJ4" s="106"/>
      <c r="ONK4" s="106"/>
      <c r="ONL4" s="106"/>
      <c r="ONM4" s="106"/>
      <c r="ONN4" s="106"/>
      <c r="ONO4" s="106"/>
      <c r="ONP4" s="106"/>
      <c r="ONQ4" s="106"/>
      <c r="ONR4" s="106"/>
      <c r="ONS4" s="106"/>
      <c r="ONT4" s="106"/>
      <c r="ONU4" s="106"/>
      <c r="ONV4" s="106"/>
      <c r="ONW4" s="106"/>
      <c r="ONX4" s="106"/>
      <c r="ONY4" s="106"/>
      <c r="ONZ4" s="106"/>
      <c r="OOA4" s="106"/>
      <c r="OOB4" s="106"/>
      <c r="OOC4" s="106"/>
      <c r="OOD4" s="106"/>
      <c r="OOE4" s="106"/>
      <c r="OOF4" s="106"/>
      <c r="OOG4" s="106"/>
      <c r="OOH4" s="106"/>
      <c r="OOI4" s="106"/>
      <c r="OOJ4" s="106"/>
      <c r="OOK4" s="106"/>
      <c r="OOL4" s="106"/>
      <c r="OOM4" s="106"/>
      <c r="OON4" s="106"/>
      <c r="OOO4" s="106"/>
      <c r="OOP4" s="106"/>
      <c r="OOQ4" s="106"/>
      <c r="OOR4" s="106"/>
      <c r="OOS4" s="106"/>
      <c r="OOT4" s="106"/>
      <c r="OOU4" s="106"/>
      <c r="OOV4" s="106"/>
      <c r="OOW4" s="106"/>
      <c r="OOX4" s="106"/>
      <c r="OOY4" s="106"/>
      <c r="OOZ4" s="106"/>
      <c r="OPA4" s="106"/>
      <c r="OPB4" s="106"/>
      <c r="OPC4" s="106"/>
      <c r="OPD4" s="106"/>
      <c r="OPE4" s="106"/>
      <c r="OPF4" s="106"/>
      <c r="OPG4" s="106"/>
      <c r="OPH4" s="106"/>
      <c r="OPI4" s="106"/>
      <c r="OPJ4" s="106"/>
      <c r="OPK4" s="106"/>
      <c r="OPL4" s="106"/>
      <c r="OPM4" s="106"/>
      <c r="OPN4" s="106"/>
      <c r="OPO4" s="106"/>
      <c r="OPP4" s="106"/>
      <c r="OPQ4" s="106"/>
      <c r="OPR4" s="106"/>
      <c r="OPS4" s="106"/>
      <c r="OPT4" s="106"/>
      <c r="OPU4" s="106"/>
      <c r="OPV4" s="106"/>
      <c r="OPW4" s="106"/>
      <c r="OPX4" s="106"/>
      <c r="OPY4" s="106"/>
      <c r="OPZ4" s="106"/>
      <c r="OQA4" s="106"/>
      <c r="OQB4" s="106"/>
      <c r="OQC4" s="106"/>
      <c r="OQD4" s="106"/>
      <c r="OQE4" s="106"/>
      <c r="OQF4" s="106"/>
      <c r="OQG4" s="106"/>
      <c r="OQH4" s="106"/>
      <c r="OQI4" s="106"/>
      <c r="OQJ4" s="106"/>
      <c r="OQK4" s="106"/>
      <c r="OQL4" s="106"/>
      <c r="OQM4" s="106"/>
      <c r="OQN4" s="106"/>
      <c r="OQO4" s="106"/>
      <c r="OQP4" s="106"/>
      <c r="OQQ4" s="106"/>
      <c r="OQR4" s="106"/>
      <c r="OQS4" s="106"/>
      <c r="OQT4" s="106"/>
      <c r="OQU4" s="106"/>
      <c r="OQV4" s="106"/>
      <c r="OQW4" s="106"/>
      <c r="OQX4" s="106"/>
      <c r="OQY4" s="106"/>
      <c r="OQZ4" s="106"/>
      <c r="ORA4" s="106"/>
      <c r="ORB4" s="106"/>
      <c r="ORC4" s="106"/>
      <c r="ORD4" s="106"/>
      <c r="ORE4" s="106"/>
      <c r="ORF4" s="106"/>
      <c r="ORG4" s="106"/>
      <c r="ORH4" s="106"/>
      <c r="ORI4" s="106"/>
      <c r="ORJ4" s="106"/>
      <c r="ORK4" s="106"/>
      <c r="ORL4" s="106"/>
      <c r="ORM4" s="106"/>
      <c r="ORN4" s="106"/>
      <c r="ORO4" s="106"/>
      <c r="ORP4" s="106"/>
      <c r="ORQ4" s="106"/>
      <c r="ORR4" s="106"/>
      <c r="ORS4" s="106"/>
      <c r="ORT4" s="106"/>
      <c r="ORU4" s="106"/>
      <c r="ORV4" s="106"/>
      <c r="ORW4" s="106"/>
      <c r="ORX4" s="106"/>
      <c r="ORY4" s="106"/>
      <c r="ORZ4" s="106"/>
      <c r="OSA4" s="106"/>
      <c r="OSB4" s="106"/>
      <c r="OSC4" s="106"/>
      <c r="OSD4" s="106"/>
      <c r="OSE4" s="106"/>
      <c r="OSF4" s="106"/>
      <c r="OSG4" s="106"/>
      <c r="OSH4" s="106"/>
      <c r="OSI4" s="106"/>
      <c r="OSJ4" s="106"/>
      <c r="OSK4" s="106"/>
      <c r="OSL4" s="106"/>
      <c r="OSM4" s="106"/>
      <c r="OSN4" s="106"/>
      <c r="OSO4" s="106"/>
      <c r="OSP4" s="106"/>
      <c r="OSQ4" s="106"/>
      <c r="OSR4" s="106"/>
      <c r="OSS4" s="106"/>
      <c r="OST4" s="106"/>
      <c r="OSU4" s="106"/>
      <c r="OSV4" s="106"/>
      <c r="OSW4" s="106"/>
      <c r="OSX4" s="106"/>
      <c r="OSY4" s="106"/>
      <c r="OSZ4" s="106"/>
      <c r="OTA4" s="106"/>
      <c r="OTB4" s="106"/>
      <c r="OTC4" s="106"/>
      <c r="OTD4" s="106"/>
      <c r="OTE4" s="106"/>
      <c r="OTF4" s="106"/>
      <c r="OTG4" s="106"/>
      <c r="OTH4" s="106"/>
      <c r="OTI4" s="106"/>
      <c r="OTJ4" s="106"/>
      <c r="OTK4" s="106"/>
      <c r="OTL4" s="106"/>
      <c r="OTM4" s="106"/>
      <c r="OTN4" s="106"/>
      <c r="OTO4" s="106"/>
      <c r="OTP4" s="106"/>
      <c r="OTQ4" s="106"/>
      <c r="OTR4" s="106"/>
      <c r="OTS4" s="106"/>
      <c r="OTT4" s="106"/>
      <c r="OTU4" s="106"/>
      <c r="OTV4" s="106"/>
      <c r="OTW4" s="106"/>
      <c r="OTX4" s="106"/>
      <c r="OTY4" s="106"/>
      <c r="OTZ4" s="106"/>
      <c r="OUA4" s="106"/>
      <c r="OUB4" s="106"/>
      <c r="OUC4" s="106"/>
      <c r="OUD4" s="106"/>
      <c r="OUE4" s="106"/>
      <c r="OUF4" s="106"/>
      <c r="OUG4" s="106"/>
      <c r="OUH4" s="106"/>
      <c r="OUI4" s="106"/>
      <c r="OUJ4" s="106"/>
      <c r="OUK4" s="106"/>
      <c r="OUL4" s="106"/>
      <c r="OUM4" s="106"/>
      <c r="OUN4" s="106"/>
      <c r="OUO4" s="106"/>
      <c r="OUP4" s="106"/>
      <c r="OUQ4" s="106"/>
      <c r="OUR4" s="106"/>
      <c r="OUS4" s="106"/>
      <c r="OUT4" s="106"/>
      <c r="OUU4" s="106"/>
      <c r="OUV4" s="106"/>
      <c r="OUW4" s="106"/>
      <c r="OUX4" s="106"/>
      <c r="OUY4" s="106"/>
      <c r="OUZ4" s="106"/>
      <c r="OVA4" s="106"/>
      <c r="OVB4" s="106"/>
      <c r="OVC4" s="106"/>
      <c r="OVD4" s="106"/>
      <c r="OVE4" s="106"/>
      <c r="OVF4" s="106"/>
      <c r="OVG4" s="106"/>
      <c r="OVH4" s="106"/>
      <c r="OVI4" s="106"/>
      <c r="OVJ4" s="106"/>
      <c r="OVK4" s="106"/>
      <c r="OVL4" s="106"/>
      <c r="OVM4" s="106"/>
      <c r="OVN4" s="106"/>
      <c r="OVO4" s="106"/>
      <c r="OVP4" s="106"/>
      <c r="OVQ4" s="106"/>
      <c r="OVR4" s="106"/>
      <c r="OVS4" s="106"/>
      <c r="OVT4" s="106"/>
      <c r="OVU4" s="106"/>
      <c r="OVV4" s="106"/>
      <c r="OVW4" s="106"/>
      <c r="OVX4" s="106"/>
      <c r="OVY4" s="106"/>
      <c r="OVZ4" s="106"/>
      <c r="OWA4" s="106"/>
      <c r="OWB4" s="106"/>
      <c r="OWC4" s="106"/>
      <c r="OWD4" s="106"/>
      <c r="OWE4" s="106"/>
      <c r="OWF4" s="106"/>
      <c r="OWG4" s="106"/>
      <c r="OWH4" s="106"/>
      <c r="OWI4" s="106"/>
      <c r="OWJ4" s="106"/>
      <c r="OWK4" s="106"/>
      <c r="OWL4" s="106"/>
      <c r="OWM4" s="106"/>
      <c r="OWN4" s="106"/>
      <c r="OWO4" s="106"/>
      <c r="OWP4" s="106"/>
      <c r="OWQ4" s="106"/>
      <c r="OWR4" s="106"/>
      <c r="OWS4" s="106"/>
      <c r="OWT4" s="106"/>
      <c r="OWU4" s="106"/>
      <c r="OWV4" s="106"/>
      <c r="OWW4" s="106"/>
      <c r="OWX4" s="106"/>
      <c r="OWY4" s="106"/>
      <c r="OWZ4" s="106"/>
      <c r="OXA4" s="106"/>
      <c r="OXB4" s="106"/>
      <c r="OXC4" s="106"/>
      <c r="OXD4" s="106"/>
      <c r="OXE4" s="106"/>
      <c r="OXF4" s="106"/>
      <c r="OXG4" s="106"/>
      <c r="OXH4" s="106"/>
      <c r="OXI4" s="106"/>
      <c r="OXJ4" s="106"/>
      <c r="OXK4" s="106"/>
      <c r="OXL4" s="106"/>
      <c r="OXM4" s="106"/>
      <c r="OXN4" s="106"/>
      <c r="OXO4" s="106"/>
      <c r="OXP4" s="106"/>
      <c r="OXQ4" s="106"/>
      <c r="OXR4" s="106"/>
      <c r="OXS4" s="106"/>
      <c r="OXT4" s="106"/>
      <c r="OXU4" s="106"/>
      <c r="OXV4" s="106"/>
      <c r="OXW4" s="106"/>
      <c r="OXX4" s="106"/>
      <c r="OXY4" s="106"/>
      <c r="OXZ4" s="106"/>
      <c r="OYA4" s="106"/>
      <c r="OYB4" s="106"/>
      <c r="OYC4" s="106"/>
      <c r="OYD4" s="106"/>
      <c r="OYE4" s="106"/>
      <c r="OYF4" s="106"/>
      <c r="OYG4" s="106"/>
      <c r="OYH4" s="106"/>
      <c r="OYI4" s="106"/>
      <c r="OYJ4" s="106"/>
      <c r="OYK4" s="106"/>
      <c r="OYL4" s="106"/>
      <c r="OYM4" s="106"/>
      <c r="OYN4" s="106"/>
      <c r="OYO4" s="106"/>
      <c r="OYP4" s="106"/>
      <c r="OYQ4" s="106"/>
      <c r="OYR4" s="106"/>
      <c r="OYS4" s="106"/>
      <c r="OYT4" s="106"/>
      <c r="OYU4" s="106"/>
      <c r="OYV4" s="106"/>
      <c r="OYW4" s="106"/>
      <c r="OYX4" s="106"/>
      <c r="OYY4" s="106"/>
      <c r="OYZ4" s="106"/>
      <c r="OZA4" s="106"/>
      <c r="OZB4" s="106"/>
      <c r="OZC4" s="106"/>
      <c r="OZD4" s="106"/>
      <c r="OZE4" s="106"/>
      <c r="OZF4" s="106"/>
      <c r="OZG4" s="106"/>
      <c r="OZH4" s="106"/>
      <c r="OZI4" s="106"/>
      <c r="OZJ4" s="106"/>
      <c r="OZK4" s="106"/>
      <c r="OZL4" s="106"/>
      <c r="OZM4" s="106"/>
      <c r="OZN4" s="106"/>
      <c r="OZO4" s="106"/>
      <c r="OZP4" s="106"/>
      <c r="OZQ4" s="106"/>
      <c r="OZR4" s="106"/>
      <c r="OZS4" s="106"/>
      <c r="OZT4" s="106"/>
      <c r="OZU4" s="106"/>
      <c r="OZV4" s="106"/>
      <c r="OZW4" s="106"/>
      <c r="OZX4" s="106"/>
      <c r="OZY4" s="106"/>
      <c r="OZZ4" s="106"/>
      <c r="PAA4" s="106"/>
      <c r="PAB4" s="106"/>
      <c r="PAC4" s="106"/>
      <c r="PAD4" s="106"/>
      <c r="PAE4" s="106"/>
      <c r="PAF4" s="106"/>
      <c r="PAG4" s="106"/>
      <c r="PAH4" s="106"/>
      <c r="PAI4" s="106"/>
      <c r="PAJ4" s="106"/>
      <c r="PAK4" s="106"/>
      <c r="PAL4" s="106"/>
      <c r="PAM4" s="106"/>
      <c r="PAN4" s="106"/>
      <c r="PAO4" s="106"/>
      <c r="PAP4" s="106"/>
      <c r="PAQ4" s="106"/>
      <c r="PAR4" s="106"/>
      <c r="PAS4" s="106"/>
      <c r="PAT4" s="106"/>
      <c r="PAU4" s="106"/>
      <c r="PAV4" s="106"/>
      <c r="PAW4" s="106"/>
      <c r="PAX4" s="106"/>
      <c r="PAY4" s="106"/>
      <c r="PAZ4" s="106"/>
      <c r="PBA4" s="106"/>
      <c r="PBB4" s="106"/>
      <c r="PBC4" s="106"/>
      <c r="PBD4" s="106"/>
      <c r="PBE4" s="106"/>
      <c r="PBF4" s="106"/>
      <c r="PBG4" s="106"/>
      <c r="PBH4" s="106"/>
      <c r="PBI4" s="106"/>
      <c r="PBJ4" s="106"/>
      <c r="PBK4" s="106"/>
      <c r="PBL4" s="106"/>
      <c r="PBM4" s="106"/>
      <c r="PBN4" s="106"/>
      <c r="PBO4" s="106"/>
      <c r="PBP4" s="106"/>
      <c r="PBQ4" s="106"/>
      <c r="PBR4" s="106"/>
      <c r="PBS4" s="106"/>
      <c r="PBT4" s="106"/>
      <c r="PBU4" s="106"/>
      <c r="PBV4" s="106"/>
      <c r="PBW4" s="106"/>
      <c r="PBX4" s="106"/>
      <c r="PBY4" s="106"/>
      <c r="PBZ4" s="106"/>
      <c r="PCA4" s="106"/>
      <c r="PCB4" s="106"/>
      <c r="PCC4" s="106"/>
      <c r="PCD4" s="106"/>
      <c r="PCE4" s="106"/>
      <c r="PCF4" s="106"/>
      <c r="PCG4" s="106"/>
      <c r="PCH4" s="106"/>
      <c r="PCI4" s="106"/>
      <c r="PCJ4" s="106"/>
      <c r="PCK4" s="106"/>
      <c r="PCL4" s="106"/>
      <c r="PCM4" s="106"/>
      <c r="PCN4" s="106"/>
      <c r="PCO4" s="106"/>
      <c r="PCP4" s="106"/>
      <c r="PCQ4" s="106"/>
      <c r="PCR4" s="106"/>
      <c r="PCS4" s="106"/>
      <c r="PCT4" s="106"/>
      <c r="PCU4" s="106"/>
      <c r="PCV4" s="106"/>
      <c r="PCW4" s="106"/>
      <c r="PCX4" s="106"/>
      <c r="PCY4" s="106"/>
      <c r="PCZ4" s="106"/>
      <c r="PDA4" s="106"/>
      <c r="PDB4" s="106"/>
      <c r="PDC4" s="106"/>
      <c r="PDD4" s="106"/>
      <c r="PDE4" s="106"/>
      <c r="PDF4" s="106"/>
      <c r="PDG4" s="106"/>
      <c r="PDH4" s="106"/>
      <c r="PDI4" s="106"/>
      <c r="PDJ4" s="106"/>
      <c r="PDK4" s="106"/>
      <c r="PDL4" s="106"/>
      <c r="PDM4" s="106"/>
      <c r="PDN4" s="106"/>
      <c r="PDO4" s="106"/>
      <c r="PDP4" s="106"/>
      <c r="PDQ4" s="106"/>
      <c r="PDR4" s="106"/>
      <c r="PDS4" s="106"/>
      <c r="PDT4" s="106"/>
      <c r="PDU4" s="106"/>
      <c r="PDV4" s="106"/>
      <c r="PDW4" s="106"/>
      <c r="PDX4" s="106"/>
      <c r="PDY4" s="106"/>
      <c r="PDZ4" s="106"/>
      <c r="PEA4" s="106"/>
      <c r="PEB4" s="106"/>
      <c r="PEC4" s="106"/>
      <c r="PED4" s="106"/>
      <c r="PEE4" s="106"/>
      <c r="PEF4" s="106"/>
      <c r="PEG4" s="106"/>
      <c r="PEH4" s="106"/>
      <c r="PEI4" s="106"/>
      <c r="PEJ4" s="106"/>
      <c r="PEK4" s="106"/>
      <c r="PEL4" s="106"/>
      <c r="PEM4" s="106"/>
      <c r="PEN4" s="106"/>
      <c r="PEO4" s="106"/>
      <c r="PEP4" s="106"/>
      <c r="PEQ4" s="106"/>
      <c r="PER4" s="106"/>
      <c r="PES4" s="106"/>
      <c r="PET4" s="106"/>
      <c r="PEU4" s="106"/>
      <c r="PEV4" s="106"/>
      <c r="PEW4" s="106"/>
      <c r="PEX4" s="106"/>
      <c r="PEY4" s="106"/>
      <c r="PEZ4" s="106"/>
      <c r="PFA4" s="106"/>
      <c r="PFB4" s="106"/>
      <c r="PFC4" s="106"/>
      <c r="PFD4" s="106"/>
      <c r="PFE4" s="106"/>
      <c r="PFF4" s="106"/>
      <c r="PFG4" s="106"/>
      <c r="PFH4" s="106"/>
      <c r="PFI4" s="106"/>
      <c r="PFJ4" s="106"/>
      <c r="PFK4" s="106"/>
      <c r="PFL4" s="106"/>
      <c r="PFM4" s="106"/>
      <c r="PFN4" s="106"/>
      <c r="PFO4" s="106"/>
      <c r="PFP4" s="106"/>
      <c r="PFQ4" s="106"/>
      <c r="PFR4" s="106"/>
      <c r="PFS4" s="106"/>
      <c r="PFT4" s="106"/>
      <c r="PFU4" s="106"/>
      <c r="PFV4" s="106"/>
      <c r="PFW4" s="106"/>
      <c r="PFX4" s="106"/>
      <c r="PFY4" s="106"/>
      <c r="PFZ4" s="106"/>
      <c r="PGA4" s="106"/>
      <c r="PGB4" s="106"/>
      <c r="PGC4" s="106"/>
      <c r="PGD4" s="106"/>
      <c r="PGE4" s="106"/>
      <c r="PGF4" s="106"/>
      <c r="PGG4" s="106"/>
      <c r="PGH4" s="106"/>
      <c r="PGI4" s="106"/>
      <c r="PGJ4" s="106"/>
      <c r="PGK4" s="106"/>
      <c r="PGL4" s="106"/>
      <c r="PGM4" s="106"/>
      <c r="PGN4" s="106"/>
      <c r="PGO4" s="106"/>
      <c r="PGP4" s="106"/>
      <c r="PGQ4" s="106"/>
      <c r="PGR4" s="106"/>
      <c r="PGS4" s="106"/>
      <c r="PGT4" s="106"/>
      <c r="PGU4" s="106"/>
      <c r="PGV4" s="106"/>
      <c r="PGW4" s="106"/>
      <c r="PGX4" s="106"/>
      <c r="PGY4" s="106"/>
      <c r="PGZ4" s="106"/>
      <c r="PHA4" s="106"/>
      <c r="PHB4" s="106"/>
      <c r="PHC4" s="106"/>
      <c r="PHD4" s="106"/>
      <c r="PHE4" s="106"/>
      <c r="PHF4" s="106"/>
      <c r="PHG4" s="106"/>
      <c r="PHH4" s="106"/>
      <c r="PHI4" s="106"/>
      <c r="PHJ4" s="106"/>
      <c r="PHK4" s="106"/>
      <c r="PHL4" s="106"/>
      <c r="PHM4" s="106"/>
      <c r="PHN4" s="106"/>
      <c r="PHO4" s="106"/>
      <c r="PHP4" s="106"/>
      <c r="PHQ4" s="106"/>
      <c r="PHR4" s="106"/>
      <c r="PHS4" s="106"/>
      <c r="PHT4" s="106"/>
      <c r="PHU4" s="106"/>
      <c r="PHV4" s="106"/>
      <c r="PHW4" s="106"/>
      <c r="PHX4" s="106"/>
      <c r="PHY4" s="106"/>
      <c r="PHZ4" s="106"/>
      <c r="PIA4" s="106"/>
      <c r="PIB4" s="106"/>
      <c r="PIC4" s="106"/>
      <c r="PID4" s="106"/>
      <c r="PIE4" s="106"/>
      <c r="PIF4" s="106"/>
      <c r="PIG4" s="106"/>
      <c r="PIH4" s="106"/>
      <c r="PII4" s="106"/>
      <c r="PIJ4" s="106"/>
      <c r="PIK4" s="106"/>
      <c r="PIL4" s="106"/>
      <c r="PIM4" s="106"/>
      <c r="PIN4" s="106"/>
      <c r="PIO4" s="106"/>
      <c r="PIP4" s="106"/>
      <c r="PIQ4" s="106"/>
      <c r="PIR4" s="106"/>
      <c r="PIS4" s="106"/>
      <c r="PIT4" s="106"/>
      <c r="PIU4" s="106"/>
      <c r="PIV4" s="106"/>
      <c r="PIW4" s="106"/>
      <c r="PIX4" s="106"/>
      <c r="PIY4" s="106"/>
      <c r="PIZ4" s="106"/>
      <c r="PJA4" s="106"/>
      <c r="PJB4" s="106"/>
      <c r="PJC4" s="106"/>
      <c r="PJD4" s="106"/>
      <c r="PJE4" s="106"/>
      <c r="PJF4" s="106"/>
      <c r="PJG4" s="106"/>
      <c r="PJH4" s="106"/>
      <c r="PJI4" s="106"/>
      <c r="PJJ4" s="106"/>
      <c r="PJK4" s="106"/>
      <c r="PJL4" s="106"/>
      <c r="PJM4" s="106"/>
      <c r="PJN4" s="106"/>
      <c r="PJO4" s="106"/>
      <c r="PJP4" s="106"/>
      <c r="PJQ4" s="106"/>
      <c r="PJR4" s="106"/>
      <c r="PJS4" s="106"/>
      <c r="PJT4" s="106"/>
      <c r="PJU4" s="106"/>
      <c r="PJV4" s="106"/>
      <c r="PJW4" s="106"/>
      <c r="PJX4" s="106"/>
      <c r="PJY4" s="106"/>
      <c r="PJZ4" s="106"/>
      <c r="PKA4" s="106"/>
      <c r="PKB4" s="106"/>
      <c r="PKC4" s="106"/>
      <c r="PKD4" s="106"/>
      <c r="PKE4" s="106"/>
      <c r="PKF4" s="106"/>
      <c r="PKG4" s="106"/>
      <c r="PKH4" s="106"/>
      <c r="PKI4" s="106"/>
      <c r="PKJ4" s="106"/>
      <c r="PKK4" s="106"/>
      <c r="PKL4" s="106"/>
      <c r="PKM4" s="106"/>
      <c r="PKN4" s="106"/>
      <c r="PKO4" s="106"/>
      <c r="PKP4" s="106"/>
      <c r="PKQ4" s="106"/>
      <c r="PKR4" s="106"/>
      <c r="PKS4" s="106"/>
      <c r="PKT4" s="106"/>
      <c r="PKU4" s="106"/>
      <c r="PKV4" s="106"/>
      <c r="PKW4" s="106"/>
      <c r="PKX4" s="106"/>
      <c r="PKY4" s="106"/>
      <c r="PKZ4" s="106"/>
      <c r="PLA4" s="106"/>
      <c r="PLB4" s="106"/>
      <c r="PLC4" s="106"/>
      <c r="PLD4" s="106"/>
      <c r="PLE4" s="106"/>
      <c r="PLF4" s="106"/>
      <c r="PLG4" s="106"/>
      <c r="PLH4" s="106"/>
      <c r="PLI4" s="106"/>
      <c r="PLJ4" s="106"/>
      <c r="PLK4" s="106"/>
      <c r="PLL4" s="106"/>
      <c r="PLM4" s="106"/>
      <c r="PLN4" s="106"/>
      <c r="PLO4" s="106"/>
      <c r="PLP4" s="106"/>
      <c r="PLQ4" s="106"/>
      <c r="PLR4" s="106"/>
      <c r="PLS4" s="106"/>
      <c r="PLT4" s="106"/>
      <c r="PLU4" s="106"/>
      <c r="PLV4" s="106"/>
      <c r="PLW4" s="106"/>
      <c r="PLX4" s="106"/>
      <c r="PLY4" s="106"/>
      <c r="PLZ4" s="106"/>
      <c r="PMA4" s="106"/>
      <c r="PMB4" s="106"/>
      <c r="PMC4" s="106"/>
      <c r="PMD4" s="106"/>
      <c r="PME4" s="106"/>
      <c r="PMF4" s="106"/>
      <c r="PMG4" s="106"/>
      <c r="PMH4" s="106"/>
      <c r="PMI4" s="106"/>
      <c r="PMJ4" s="106"/>
      <c r="PMK4" s="106"/>
      <c r="PML4" s="106"/>
      <c r="PMM4" s="106"/>
      <c r="PMN4" s="106"/>
      <c r="PMO4" s="106"/>
      <c r="PMP4" s="106"/>
      <c r="PMQ4" s="106"/>
      <c r="PMR4" s="106"/>
      <c r="PMS4" s="106"/>
      <c r="PMT4" s="106"/>
      <c r="PMU4" s="106"/>
      <c r="PMV4" s="106"/>
      <c r="PMW4" s="106"/>
      <c r="PMX4" s="106"/>
      <c r="PMY4" s="106"/>
      <c r="PMZ4" s="106"/>
      <c r="PNA4" s="106"/>
      <c r="PNB4" s="106"/>
      <c r="PNC4" s="106"/>
      <c r="PND4" s="106"/>
      <c r="PNE4" s="106"/>
      <c r="PNF4" s="106"/>
      <c r="PNG4" s="106"/>
      <c r="PNH4" s="106"/>
      <c r="PNI4" s="106"/>
      <c r="PNJ4" s="106"/>
      <c r="PNK4" s="106"/>
      <c r="PNL4" s="106"/>
      <c r="PNM4" s="106"/>
      <c r="PNN4" s="106"/>
      <c r="PNO4" s="106"/>
      <c r="PNP4" s="106"/>
      <c r="PNQ4" s="106"/>
      <c r="PNR4" s="106"/>
      <c r="PNS4" s="106"/>
      <c r="PNT4" s="106"/>
      <c r="PNU4" s="106"/>
      <c r="PNV4" s="106"/>
      <c r="PNW4" s="106"/>
      <c r="PNX4" s="106"/>
      <c r="PNY4" s="106"/>
      <c r="PNZ4" s="106"/>
      <c r="POA4" s="106"/>
      <c r="POB4" s="106"/>
      <c r="POC4" s="106"/>
      <c r="POD4" s="106"/>
      <c r="POE4" s="106"/>
      <c r="POF4" s="106"/>
      <c r="POG4" s="106"/>
      <c r="POH4" s="106"/>
      <c r="POI4" s="106"/>
      <c r="POJ4" s="106"/>
      <c r="POK4" s="106"/>
      <c r="POL4" s="106"/>
      <c r="POM4" s="106"/>
      <c r="PON4" s="106"/>
      <c r="POO4" s="106"/>
      <c r="POP4" s="106"/>
      <c r="POQ4" s="106"/>
      <c r="POR4" s="106"/>
      <c r="POS4" s="106"/>
      <c r="POT4" s="106"/>
      <c r="POU4" s="106"/>
      <c r="POV4" s="106"/>
      <c r="POW4" s="106"/>
      <c r="POX4" s="106"/>
      <c r="POY4" s="106"/>
      <c r="POZ4" s="106"/>
      <c r="PPA4" s="106"/>
      <c r="PPB4" s="106"/>
      <c r="PPC4" s="106"/>
      <c r="PPD4" s="106"/>
      <c r="PPE4" s="106"/>
      <c r="PPF4" s="106"/>
      <c r="PPG4" s="106"/>
      <c r="PPH4" s="106"/>
      <c r="PPI4" s="106"/>
      <c r="PPJ4" s="106"/>
      <c r="PPK4" s="106"/>
      <c r="PPL4" s="106"/>
      <c r="PPM4" s="106"/>
      <c r="PPN4" s="106"/>
      <c r="PPO4" s="106"/>
      <c r="PPP4" s="106"/>
      <c r="PPQ4" s="106"/>
      <c r="PPR4" s="106"/>
      <c r="PPS4" s="106"/>
      <c r="PPT4" s="106"/>
      <c r="PPU4" s="106"/>
      <c r="PPV4" s="106"/>
      <c r="PPW4" s="106"/>
      <c r="PPX4" s="106"/>
      <c r="PPY4" s="106"/>
      <c r="PPZ4" s="106"/>
      <c r="PQA4" s="106"/>
      <c r="PQB4" s="106"/>
      <c r="PQC4" s="106"/>
      <c r="PQD4" s="106"/>
      <c r="PQE4" s="106"/>
      <c r="PQF4" s="106"/>
      <c r="PQG4" s="106"/>
      <c r="PQH4" s="106"/>
      <c r="PQI4" s="106"/>
      <c r="PQJ4" s="106"/>
      <c r="PQK4" s="106"/>
      <c r="PQL4" s="106"/>
      <c r="PQM4" s="106"/>
      <c r="PQN4" s="106"/>
      <c r="PQO4" s="106"/>
      <c r="PQP4" s="106"/>
      <c r="PQQ4" s="106"/>
      <c r="PQR4" s="106"/>
      <c r="PQS4" s="106"/>
      <c r="PQT4" s="106"/>
      <c r="PQU4" s="106"/>
      <c r="PQV4" s="106"/>
      <c r="PQW4" s="106"/>
      <c r="PQX4" s="106"/>
      <c r="PQY4" s="106"/>
      <c r="PQZ4" s="106"/>
      <c r="PRA4" s="106"/>
      <c r="PRB4" s="106"/>
      <c r="PRC4" s="106"/>
      <c r="PRD4" s="106"/>
      <c r="PRE4" s="106"/>
      <c r="PRF4" s="106"/>
      <c r="PRG4" s="106"/>
      <c r="PRH4" s="106"/>
      <c r="PRI4" s="106"/>
      <c r="PRJ4" s="106"/>
      <c r="PRK4" s="106"/>
      <c r="PRL4" s="106"/>
      <c r="PRM4" s="106"/>
      <c r="PRN4" s="106"/>
      <c r="PRO4" s="106"/>
      <c r="PRP4" s="106"/>
      <c r="PRQ4" s="106"/>
      <c r="PRR4" s="106"/>
      <c r="PRS4" s="106"/>
      <c r="PRT4" s="106"/>
      <c r="PRU4" s="106"/>
      <c r="PRV4" s="106"/>
      <c r="PRW4" s="106"/>
      <c r="PRX4" s="106"/>
      <c r="PRY4" s="106"/>
      <c r="PRZ4" s="106"/>
      <c r="PSA4" s="106"/>
      <c r="PSB4" s="106"/>
      <c r="PSC4" s="106"/>
      <c r="PSD4" s="106"/>
      <c r="PSE4" s="106"/>
      <c r="PSF4" s="106"/>
      <c r="PSG4" s="106"/>
      <c r="PSH4" s="106"/>
      <c r="PSI4" s="106"/>
      <c r="PSJ4" s="106"/>
      <c r="PSK4" s="106"/>
      <c r="PSL4" s="106"/>
      <c r="PSM4" s="106"/>
      <c r="PSN4" s="106"/>
      <c r="PSO4" s="106"/>
      <c r="PSP4" s="106"/>
      <c r="PSQ4" s="106"/>
      <c r="PSR4" s="106"/>
      <c r="PSS4" s="106"/>
      <c r="PST4" s="106"/>
      <c r="PSU4" s="106"/>
      <c r="PSV4" s="106"/>
      <c r="PSW4" s="106"/>
      <c r="PSX4" s="106"/>
      <c r="PSY4" s="106"/>
      <c r="PSZ4" s="106"/>
      <c r="PTA4" s="106"/>
      <c r="PTB4" s="106"/>
      <c r="PTC4" s="106"/>
      <c r="PTD4" s="106"/>
      <c r="PTE4" s="106"/>
      <c r="PTF4" s="106"/>
      <c r="PTG4" s="106"/>
      <c r="PTH4" s="106"/>
      <c r="PTI4" s="106"/>
      <c r="PTJ4" s="106"/>
      <c r="PTK4" s="106"/>
      <c r="PTL4" s="106"/>
      <c r="PTM4" s="106"/>
      <c r="PTN4" s="106"/>
      <c r="PTO4" s="106"/>
      <c r="PTP4" s="106"/>
      <c r="PTQ4" s="106"/>
      <c r="PTR4" s="106"/>
      <c r="PTS4" s="106"/>
      <c r="PTT4" s="106"/>
      <c r="PTU4" s="106"/>
      <c r="PTV4" s="106"/>
      <c r="PTW4" s="106"/>
      <c r="PTX4" s="106"/>
      <c r="PTY4" s="106"/>
      <c r="PTZ4" s="106"/>
      <c r="PUA4" s="106"/>
      <c r="PUB4" s="106"/>
      <c r="PUC4" s="106"/>
      <c r="PUD4" s="106"/>
      <c r="PUE4" s="106"/>
      <c r="PUF4" s="106"/>
      <c r="PUG4" s="106"/>
      <c r="PUH4" s="106"/>
      <c r="PUI4" s="106"/>
      <c r="PUJ4" s="106"/>
      <c r="PUK4" s="106"/>
      <c r="PUL4" s="106"/>
      <c r="PUM4" s="106"/>
      <c r="PUN4" s="106"/>
      <c r="PUO4" s="106"/>
      <c r="PUP4" s="106"/>
      <c r="PUQ4" s="106"/>
      <c r="PUR4" s="106"/>
      <c r="PUS4" s="106"/>
      <c r="PUT4" s="106"/>
      <c r="PUU4" s="106"/>
      <c r="PUV4" s="106"/>
      <c r="PUW4" s="106"/>
      <c r="PUX4" s="106"/>
      <c r="PUY4" s="106"/>
      <c r="PUZ4" s="106"/>
      <c r="PVA4" s="106"/>
      <c r="PVB4" s="106"/>
      <c r="PVC4" s="106"/>
      <c r="PVD4" s="106"/>
      <c r="PVE4" s="106"/>
      <c r="PVF4" s="106"/>
      <c r="PVG4" s="106"/>
      <c r="PVH4" s="106"/>
      <c r="PVI4" s="106"/>
      <c r="PVJ4" s="106"/>
      <c r="PVK4" s="106"/>
      <c r="PVL4" s="106"/>
      <c r="PVM4" s="106"/>
      <c r="PVN4" s="106"/>
      <c r="PVO4" s="106"/>
      <c r="PVP4" s="106"/>
      <c r="PVQ4" s="106"/>
      <c r="PVR4" s="106"/>
      <c r="PVS4" s="106"/>
      <c r="PVT4" s="106"/>
      <c r="PVU4" s="106"/>
      <c r="PVV4" s="106"/>
      <c r="PVW4" s="106"/>
      <c r="PVX4" s="106"/>
      <c r="PVY4" s="106"/>
      <c r="PVZ4" s="106"/>
      <c r="PWA4" s="106"/>
      <c r="PWB4" s="106"/>
      <c r="PWC4" s="106"/>
      <c r="PWD4" s="106"/>
      <c r="PWE4" s="106"/>
      <c r="PWF4" s="106"/>
      <c r="PWG4" s="106"/>
      <c r="PWH4" s="106"/>
      <c r="PWI4" s="106"/>
      <c r="PWJ4" s="106"/>
      <c r="PWK4" s="106"/>
      <c r="PWL4" s="106"/>
      <c r="PWM4" s="106"/>
      <c r="PWN4" s="106"/>
      <c r="PWO4" s="106"/>
      <c r="PWP4" s="106"/>
      <c r="PWQ4" s="106"/>
      <c r="PWR4" s="106"/>
      <c r="PWS4" s="106"/>
      <c r="PWT4" s="106"/>
      <c r="PWU4" s="106"/>
      <c r="PWV4" s="106"/>
      <c r="PWW4" s="106"/>
      <c r="PWX4" s="106"/>
      <c r="PWY4" s="106"/>
      <c r="PWZ4" s="106"/>
      <c r="PXA4" s="106"/>
      <c r="PXB4" s="106"/>
      <c r="PXC4" s="106"/>
      <c r="PXD4" s="106"/>
      <c r="PXE4" s="106"/>
      <c r="PXF4" s="106"/>
      <c r="PXG4" s="106"/>
      <c r="PXH4" s="106"/>
      <c r="PXI4" s="106"/>
      <c r="PXJ4" s="106"/>
      <c r="PXK4" s="106"/>
      <c r="PXL4" s="106"/>
      <c r="PXM4" s="106"/>
      <c r="PXN4" s="106"/>
      <c r="PXO4" s="106"/>
      <c r="PXP4" s="106"/>
      <c r="PXQ4" s="106"/>
      <c r="PXR4" s="106"/>
      <c r="PXS4" s="106"/>
      <c r="PXT4" s="106"/>
      <c r="PXU4" s="106"/>
      <c r="PXV4" s="106"/>
      <c r="PXW4" s="106"/>
      <c r="PXX4" s="106"/>
      <c r="PXY4" s="106"/>
      <c r="PXZ4" s="106"/>
      <c r="PYA4" s="106"/>
      <c r="PYB4" s="106"/>
      <c r="PYC4" s="106"/>
      <c r="PYD4" s="106"/>
      <c r="PYE4" s="106"/>
      <c r="PYF4" s="106"/>
      <c r="PYG4" s="106"/>
      <c r="PYH4" s="106"/>
      <c r="PYI4" s="106"/>
      <c r="PYJ4" s="106"/>
      <c r="PYK4" s="106"/>
      <c r="PYL4" s="106"/>
      <c r="PYM4" s="106"/>
      <c r="PYN4" s="106"/>
      <c r="PYO4" s="106"/>
      <c r="PYP4" s="106"/>
      <c r="PYQ4" s="106"/>
      <c r="PYR4" s="106"/>
      <c r="PYS4" s="106"/>
      <c r="PYT4" s="106"/>
      <c r="PYU4" s="106"/>
      <c r="PYV4" s="106"/>
      <c r="PYW4" s="106"/>
      <c r="PYX4" s="106"/>
      <c r="PYY4" s="106"/>
      <c r="PYZ4" s="106"/>
      <c r="PZA4" s="106"/>
      <c r="PZB4" s="106"/>
      <c r="PZC4" s="106"/>
      <c r="PZD4" s="106"/>
      <c r="PZE4" s="106"/>
      <c r="PZF4" s="106"/>
      <c r="PZG4" s="106"/>
      <c r="PZH4" s="106"/>
      <c r="PZI4" s="106"/>
      <c r="PZJ4" s="106"/>
      <c r="PZK4" s="106"/>
      <c r="PZL4" s="106"/>
      <c r="PZM4" s="106"/>
      <c r="PZN4" s="106"/>
      <c r="PZO4" s="106"/>
      <c r="PZP4" s="106"/>
      <c r="PZQ4" s="106"/>
      <c r="PZR4" s="106"/>
      <c r="PZS4" s="106"/>
      <c r="PZT4" s="106"/>
      <c r="PZU4" s="106"/>
      <c r="PZV4" s="106"/>
      <c r="PZW4" s="106"/>
      <c r="PZX4" s="106"/>
      <c r="PZY4" s="106"/>
      <c r="PZZ4" s="106"/>
      <c r="QAA4" s="106"/>
      <c r="QAB4" s="106"/>
      <c r="QAC4" s="106"/>
      <c r="QAD4" s="106"/>
      <c r="QAE4" s="106"/>
      <c r="QAF4" s="106"/>
      <c r="QAG4" s="106"/>
      <c r="QAH4" s="106"/>
      <c r="QAI4" s="106"/>
      <c r="QAJ4" s="106"/>
      <c r="QAK4" s="106"/>
      <c r="QAL4" s="106"/>
      <c r="QAM4" s="106"/>
      <c r="QAN4" s="106"/>
      <c r="QAO4" s="106"/>
      <c r="QAP4" s="106"/>
      <c r="QAQ4" s="106"/>
      <c r="QAR4" s="106"/>
      <c r="QAS4" s="106"/>
      <c r="QAT4" s="106"/>
      <c r="QAU4" s="106"/>
      <c r="QAV4" s="106"/>
      <c r="QAW4" s="106"/>
      <c r="QAX4" s="106"/>
      <c r="QAY4" s="106"/>
      <c r="QAZ4" s="106"/>
      <c r="QBA4" s="106"/>
      <c r="QBB4" s="106"/>
      <c r="QBC4" s="106"/>
      <c r="QBD4" s="106"/>
      <c r="QBE4" s="106"/>
      <c r="QBF4" s="106"/>
      <c r="QBG4" s="106"/>
      <c r="QBH4" s="106"/>
      <c r="QBI4" s="106"/>
      <c r="QBJ4" s="106"/>
      <c r="QBK4" s="106"/>
      <c r="QBL4" s="106"/>
      <c r="QBM4" s="106"/>
      <c r="QBN4" s="106"/>
      <c r="QBO4" s="106"/>
      <c r="QBP4" s="106"/>
      <c r="QBQ4" s="106"/>
      <c r="QBR4" s="106"/>
      <c r="QBS4" s="106"/>
      <c r="QBT4" s="106"/>
      <c r="QBU4" s="106"/>
      <c r="QBV4" s="106"/>
      <c r="QBW4" s="106"/>
      <c r="QBX4" s="106"/>
      <c r="QBY4" s="106"/>
      <c r="QBZ4" s="106"/>
      <c r="QCA4" s="106"/>
      <c r="QCB4" s="106"/>
      <c r="QCC4" s="106"/>
      <c r="QCD4" s="106"/>
      <c r="QCE4" s="106"/>
      <c r="QCF4" s="106"/>
      <c r="QCG4" s="106"/>
      <c r="QCH4" s="106"/>
      <c r="QCI4" s="106"/>
      <c r="QCJ4" s="106"/>
      <c r="QCK4" s="106"/>
      <c r="QCL4" s="106"/>
      <c r="QCM4" s="106"/>
      <c r="QCN4" s="106"/>
      <c r="QCO4" s="106"/>
      <c r="QCP4" s="106"/>
      <c r="QCQ4" s="106"/>
      <c r="QCR4" s="106"/>
      <c r="QCS4" s="106"/>
      <c r="QCT4" s="106"/>
      <c r="QCU4" s="106"/>
      <c r="QCV4" s="106"/>
      <c r="QCW4" s="106"/>
      <c r="QCX4" s="106"/>
      <c r="QCY4" s="106"/>
      <c r="QCZ4" s="106"/>
      <c r="QDA4" s="106"/>
      <c r="QDB4" s="106"/>
      <c r="QDC4" s="106"/>
      <c r="QDD4" s="106"/>
      <c r="QDE4" s="106"/>
      <c r="QDF4" s="106"/>
      <c r="QDG4" s="106"/>
      <c r="QDH4" s="106"/>
      <c r="QDI4" s="106"/>
      <c r="QDJ4" s="106"/>
      <c r="QDK4" s="106"/>
      <c r="QDL4" s="106"/>
      <c r="QDM4" s="106"/>
      <c r="QDN4" s="106"/>
      <c r="QDO4" s="106"/>
      <c r="QDP4" s="106"/>
      <c r="QDQ4" s="106"/>
      <c r="QDR4" s="106"/>
      <c r="QDS4" s="106"/>
      <c r="QDT4" s="106"/>
      <c r="QDU4" s="106"/>
      <c r="QDV4" s="106"/>
      <c r="QDW4" s="106"/>
      <c r="QDX4" s="106"/>
      <c r="QDY4" s="106"/>
      <c r="QDZ4" s="106"/>
      <c r="QEA4" s="106"/>
      <c r="QEB4" s="106"/>
      <c r="QEC4" s="106"/>
      <c r="QED4" s="106"/>
      <c r="QEE4" s="106"/>
      <c r="QEF4" s="106"/>
      <c r="QEG4" s="106"/>
      <c r="QEH4" s="106"/>
      <c r="QEI4" s="106"/>
      <c r="QEJ4" s="106"/>
      <c r="QEK4" s="106"/>
      <c r="QEL4" s="106"/>
      <c r="QEM4" s="106"/>
      <c r="QEN4" s="106"/>
      <c r="QEO4" s="106"/>
      <c r="QEP4" s="106"/>
      <c r="QEQ4" s="106"/>
      <c r="QER4" s="106"/>
      <c r="QES4" s="106"/>
      <c r="QET4" s="106"/>
      <c r="QEU4" s="106"/>
      <c r="QEV4" s="106"/>
      <c r="QEW4" s="106"/>
      <c r="QEX4" s="106"/>
      <c r="QEY4" s="106"/>
      <c r="QEZ4" s="106"/>
      <c r="QFA4" s="106"/>
      <c r="QFB4" s="106"/>
      <c r="QFC4" s="106"/>
      <c r="QFD4" s="106"/>
      <c r="QFE4" s="106"/>
      <c r="QFF4" s="106"/>
      <c r="QFG4" s="106"/>
      <c r="QFH4" s="106"/>
      <c r="QFI4" s="106"/>
      <c r="QFJ4" s="106"/>
      <c r="QFK4" s="106"/>
      <c r="QFL4" s="106"/>
      <c r="QFM4" s="106"/>
      <c r="QFN4" s="106"/>
      <c r="QFO4" s="106"/>
      <c r="QFP4" s="106"/>
      <c r="QFQ4" s="106"/>
      <c r="QFR4" s="106"/>
      <c r="QFS4" s="106"/>
      <c r="QFT4" s="106"/>
      <c r="QFU4" s="106"/>
      <c r="QFV4" s="106"/>
      <c r="QFW4" s="106"/>
      <c r="QFX4" s="106"/>
      <c r="QFY4" s="106"/>
      <c r="QFZ4" s="106"/>
      <c r="QGA4" s="106"/>
      <c r="QGB4" s="106"/>
      <c r="QGC4" s="106"/>
      <c r="QGD4" s="106"/>
      <c r="QGE4" s="106"/>
      <c r="QGF4" s="106"/>
      <c r="QGG4" s="106"/>
      <c r="QGH4" s="106"/>
      <c r="QGI4" s="106"/>
      <c r="QGJ4" s="106"/>
      <c r="QGK4" s="106"/>
      <c r="QGL4" s="106"/>
      <c r="QGM4" s="106"/>
      <c r="QGN4" s="106"/>
      <c r="QGO4" s="106"/>
      <c r="QGP4" s="106"/>
      <c r="QGQ4" s="106"/>
      <c r="QGR4" s="106"/>
      <c r="QGS4" s="106"/>
      <c r="QGT4" s="106"/>
      <c r="QGU4" s="106"/>
      <c r="QGV4" s="106"/>
      <c r="QGW4" s="106"/>
      <c r="QGX4" s="106"/>
      <c r="QGY4" s="106"/>
      <c r="QGZ4" s="106"/>
      <c r="QHA4" s="106"/>
      <c r="QHB4" s="106"/>
      <c r="QHC4" s="106"/>
      <c r="QHD4" s="106"/>
      <c r="QHE4" s="106"/>
      <c r="QHF4" s="106"/>
      <c r="QHG4" s="106"/>
      <c r="QHH4" s="106"/>
      <c r="QHI4" s="106"/>
      <c r="QHJ4" s="106"/>
      <c r="QHK4" s="106"/>
      <c r="QHL4" s="106"/>
      <c r="QHM4" s="106"/>
      <c r="QHN4" s="106"/>
      <c r="QHO4" s="106"/>
      <c r="QHP4" s="106"/>
      <c r="QHQ4" s="106"/>
      <c r="QHR4" s="106"/>
      <c r="QHS4" s="106"/>
      <c r="QHT4" s="106"/>
      <c r="QHU4" s="106"/>
      <c r="QHV4" s="106"/>
      <c r="QHW4" s="106"/>
      <c r="QHX4" s="106"/>
      <c r="QHY4" s="106"/>
      <c r="QHZ4" s="106"/>
      <c r="QIA4" s="106"/>
      <c r="QIB4" s="106"/>
      <c r="QIC4" s="106"/>
      <c r="QID4" s="106"/>
      <c r="QIE4" s="106"/>
      <c r="QIF4" s="106"/>
      <c r="QIG4" s="106"/>
      <c r="QIH4" s="106"/>
      <c r="QII4" s="106"/>
      <c r="QIJ4" s="106"/>
      <c r="QIK4" s="106"/>
      <c r="QIL4" s="106"/>
      <c r="QIM4" s="106"/>
      <c r="QIN4" s="106"/>
      <c r="QIO4" s="106"/>
      <c r="QIP4" s="106"/>
      <c r="QIQ4" s="106"/>
      <c r="QIR4" s="106"/>
      <c r="QIS4" s="106"/>
      <c r="QIT4" s="106"/>
      <c r="QIU4" s="106"/>
      <c r="QIV4" s="106"/>
      <c r="QIW4" s="106"/>
      <c r="QIX4" s="106"/>
      <c r="QIY4" s="106"/>
      <c r="QIZ4" s="106"/>
      <c r="QJA4" s="106"/>
      <c r="QJB4" s="106"/>
      <c r="QJC4" s="106"/>
      <c r="QJD4" s="106"/>
      <c r="QJE4" s="106"/>
      <c r="QJF4" s="106"/>
      <c r="QJG4" s="106"/>
      <c r="QJH4" s="106"/>
      <c r="QJI4" s="106"/>
      <c r="QJJ4" s="106"/>
      <c r="QJK4" s="106"/>
      <c r="QJL4" s="106"/>
      <c r="QJM4" s="106"/>
      <c r="QJN4" s="106"/>
      <c r="QJO4" s="106"/>
      <c r="QJP4" s="106"/>
      <c r="QJQ4" s="106"/>
      <c r="QJR4" s="106"/>
      <c r="QJS4" s="106"/>
      <c r="QJT4" s="106"/>
      <c r="QJU4" s="106"/>
      <c r="QJV4" s="106"/>
      <c r="QJW4" s="106"/>
      <c r="QJX4" s="106"/>
      <c r="QJY4" s="106"/>
      <c r="QJZ4" s="106"/>
      <c r="QKA4" s="106"/>
      <c r="QKB4" s="106"/>
      <c r="QKC4" s="106"/>
      <c r="QKD4" s="106"/>
      <c r="QKE4" s="106"/>
      <c r="QKF4" s="106"/>
      <c r="QKG4" s="106"/>
      <c r="QKH4" s="106"/>
      <c r="QKI4" s="106"/>
      <c r="QKJ4" s="106"/>
      <c r="QKK4" s="106"/>
      <c r="QKL4" s="106"/>
      <c r="QKM4" s="106"/>
      <c r="QKN4" s="106"/>
      <c r="QKO4" s="106"/>
      <c r="QKP4" s="106"/>
      <c r="QKQ4" s="106"/>
      <c r="QKR4" s="106"/>
      <c r="QKS4" s="106"/>
      <c r="QKT4" s="106"/>
      <c r="QKU4" s="106"/>
      <c r="QKV4" s="106"/>
      <c r="QKW4" s="106"/>
      <c r="QKX4" s="106"/>
      <c r="QKY4" s="106"/>
      <c r="QKZ4" s="106"/>
      <c r="QLA4" s="106"/>
      <c r="QLB4" s="106"/>
      <c r="QLC4" s="106"/>
      <c r="QLD4" s="106"/>
      <c r="QLE4" s="106"/>
      <c r="QLF4" s="106"/>
      <c r="QLG4" s="106"/>
      <c r="QLH4" s="106"/>
      <c r="QLI4" s="106"/>
      <c r="QLJ4" s="106"/>
      <c r="QLK4" s="106"/>
      <c r="QLL4" s="106"/>
      <c r="QLM4" s="106"/>
      <c r="QLN4" s="106"/>
      <c r="QLO4" s="106"/>
      <c r="QLP4" s="106"/>
      <c r="QLQ4" s="106"/>
      <c r="QLR4" s="106"/>
      <c r="QLS4" s="106"/>
      <c r="QLT4" s="106"/>
      <c r="QLU4" s="106"/>
      <c r="QLV4" s="106"/>
      <c r="QLW4" s="106"/>
      <c r="QLX4" s="106"/>
      <c r="QLY4" s="106"/>
      <c r="QLZ4" s="106"/>
      <c r="QMA4" s="106"/>
      <c r="QMB4" s="106"/>
      <c r="QMC4" s="106"/>
      <c r="QMD4" s="106"/>
      <c r="QME4" s="106"/>
      <c r="QMF4" s="106"/>
      <c r="QMG4" s="106"/>
      <c r="QMH4" s="106"/>
      <c r="QMI4" s="106"/>
      <c r="QMJ4" s="106"/>
      <c r="QMK4" s="106"/>
      <c r="QML4" s="106"/>
      <c r="QMM4" s="106"/>
      <c r="QMN4" s="106"/>
      <c r="QMO4" s="106"/>
      <c r="QMP4" s="106"/>
      <c r="QMQ4" s="106"/>
      <c r="QMR4" s="106"/>
      <c r="QMS4" s="106"/>
      <c r="QMT4" s="106"/>
      <c r="QMU4" s="106"/>
      <c r="QMV4" s="106"/>
      <c r="QMW4" s="106"/>
      <c r="QMX4" s="106"/>
      <c r="QMY4" s="106"/>
      <c r="QMZ4" s="106"/>
      <c r="QNA4" s="106"/>
      <c r="QNB4" s="106"/>
      <c r="QNC4" s="106"/>
      <c r="QND4" s="106"/>
      <c r="QNE4" s="106"/>
      <c r="QNF4" s="106"/>
      <c r="QNG4" s="106"/>
      <c r="QNH4" s="106"/>
      <c r="QNI4" s="106"/>
      <c r="QNJ4" s="106"/>
      <c r="QNK4" s="106"/>
      <c r="QNL4" s="106"/>
      <c r="QNM4" s="106"/>
      <c r="QNN4" s="106"/>
      <c r="QNO4" s="106"/>
      <c r="QNP4" s="106"/>
      <c r="QNQ4" s="106"/>
      <c r="QNR4" s="106"/>
      <c r="QNS4" s="106"/>
      <c r="QNT4" s="106"/>
      <c r="QNU4" s="106"/>
      <c r="QNV4" s="106"/>
      <c r="QNW4" s="106"/>
      <c r="QNX4" s="106"/>
      <c r="QNY4" s="106"/>
      <c r="QNZ4" s="106"/>
      <c r="QOA4" s="106"/>
      <c r="QOB4" s="106"/>
      <c r="QOC4" s="106"/>
      <c r="QOD4" s="106"/>
      <c r="QOE4" s="106"/>
      <c r="QOF4" s="106"/>
      <c r="QOG4" s="106"/>
      <c r="QOH4" s="106"/>
      <c r="QOI4" s="106"/>
      <c r="QOJ4" s="106"/>
      <c r="QOK4" s="106"/>
      <c r="QOL4" s="106"/>
      <c r="QOM4" s="106"/>
      <c r="QON4" s="106"/>
      <c r="QOO4" s="106"/>
      <c r="QOP4" s="106"/>
      <c r="QOQ4" s="106"/>
      <c r="QOR4" s="106"/>
      <c r="QOS4" s="106"/>
      <c r="QOT4" s="106"/>
      <c r="QOU4" s="106"/>
      <c r="QOV4" s="106"/>
      <c r="QOW4" s="106"/>
      <c r="QOX4" s="106"/>
      <c r="QOY4" s="106"/>
      <c r="QOZ4" s="106"/>
      <c r="QPA4" s="106"/>
      <c r="QPB4" s="106"/>
      <c r="QPC4" s="106"/>
      <c r="QPD4" s="106"/>
      <c r="QPE4" s="106"/>
      <c r="QPF4" s="106"/>
      <c r="QPG4" s="106"/>
      <c r="QPH4" s="106"/>
      <c r="QPI4" s="106"/>
      <c r="QPJ4" s="106"/>
      <c r="QPK4" s="106"/>
      <c r="QPL4" s="106"/>
      <c r="QPM4" s="106"/>
      <c r="QPN4" s="106"/>
      <c r="QPO4" s="106"/>
      <c r="QPP4" s="106"/>
      <c r="QPQ4" s="106"/>
      <c r="QPR4" s="106"/>
      <c r="QPS4" s="106"/>
      <c r="QPT4" s="106"/>
      <c r="QPU4" s="106"/>
      <c r="QPV4" s="106"/>
      <c r="QPW4" s="106"/>
      <c r="QPX4" s="106"/>
      <c r="QPY4" s="106"/>
      <c r="QPZ4" s="106"/>
      <c r="QQA4" s="106"/>
      <c r="QQB4" s="106"/>
      <c r="QQC4" s="106"/>
      <c r="QQD4" s="106"/>
      <c r="QQE4" s="106"/>
      <c r="QQF4" s="106"/>
      <c r="QQG4" s="106"/>
      <c r="QQH4" s="106"/>
      <c r="QQI4" s="106"/>
      <c r="QQJ4" s="106"/>
      <c r="QQK4" s="106"/>
      <c r="QQL4" s="106"/>
      <c r="QQM4" s="106"/>
      <c r="QQN4" s="106"/>
      <c r="QQO4" s="106"/>
      <c r="QQP4" s="106"/>
      <c r="QQQ4" s="106"/>
      <c r="QQR4" s="106"/>
      <c r="QQS4" s="106"/>
      <c r="QQT4" s="106"/>
      <c r="QQU4" s="106"/>
      <c r="QQV4" s="106"/>
      <c r="QQW4" s="106"/>
      <c r="QQX4" s="106"/>
      <c r="QQY4" s="106"/>
      <c r="QQZ4" s="106"/>
      <c r="QRA4" s="106"/>
      <c r="QRB4" s="106"/>
      <c r="QRC4" s="106"/>
      <c r="QRD4" s="106"/>
      <c r="QRE4" s="106"/>
      <c r="QRF4" s="106"/>
      <c r="QRG4" s="106"/>
      <c r="QRH4" s="106"/>
      <c r="QRI4" s="106"/>
      <c r="QRJ4" s="106"/>
      <c r="QRK4" s="106"/>
      <c r="QRL4" s="106"/>
      <c r="QRM4" s="106"/>
      <c r="QRN4" s="106"/>
      <c r="QRO4" s="106"/>
      <c r="QRP4" s="106"/>
      <c r="QRQ4" s="106"/>
      <c r="QRR4" s="106"/>
      <c r="QRS4" s="106"/>
      <c r="QRT4" s="106"/>
      <c r="QRU4" s="106"/>
      <c r="QRV4" s="106"/>
      <c r="QRW4" s="106"/>
      <c r="QRX4" s="106"/>
      <c r="QRY4" s="106"/>
      <c r="QRZ4" s="106"/>
      <c r="QSA4" s="106"/>
      <c r="QSB4" s="106"/>
      <c r="QSC4" s="106"/>
      <c r="QSD4" s="106"/>
      <c r="QSE4" s="106"/>
      <c r="QSF4" s="106"/>
      <c r="QSG4" s="106"/>
      <c r="QSH4" s="106"/>
      <c r="QSI4" s="106"/>
      <c r="QSJ4" s="106"/>
      <c r="QSK4" s="106"/>
      <c r="QSL4" s="106"/>
      <c r="QSM4" s="106"/>
      <c r="QSN4" s="106"/>
      <c r="QSO4" s="106"/>
      <c r="QSP4" s="106"/>
      <c r="QSQ4" s="106"/>
      <c r="QSR4" s="106"/>
      <c r="QSS4" s="106"/>
      <c r="QST4" s="106"/>
      <c r="QSU4" s="106"/>
      <c r="QSV4" s="106"/>
      <c r="QSW4" s="106"/>
      <c r="QSX4" s="106"/>
      <c r="QSY4" s="106"/>
      <c r="QSZ4" s="106"/>
      <c r="QTA4" s="106"/>
      <c r="QTB4" s="106"/>
      <c r="QTC4" s="106"/>
      <c r="QTD4" s="106"/>
      <c r="QTE4" s="106"/>
      <c r="QTF4" s="106"/>
      <c r="QTG4" s="106"/>
      <c r="QTH4" s="106"/>
      <c r="QTI4" s="106"/>
      <c r="QTJ4" s="106"/>
      <c r="QTK4" s="106"/>
      <c r="QTL4" s="106"/>
      <c r="QTM4" s="106"/>
      <c r="QTN4" s="106"/>
      <c r="QTO4" s="106"/>
      <c r="QTP4" s="106"/>
      <c r="QTQ4" s="106"/>
      <c r="QTR4" s="106"/>
      <c r="QTS4" s="106"/>
      <c r="QTT4" s="106"/>
      <c r="QTU4" s="106"/>
      <c r="QTV4" s="106"/>
      <c r="QTW4" s="106"/>
      <c r="QTX4" s="106"/>
      <c r="QTY4" s="106"/>
      <c r="QTZ4" s="106"/>
      <c r="QUA4" s="106"/>
      <c r="QUB4" s="106"/>
      <c r="QUC4" s="106"/>
      <c r="QUD4" s="106"/>
      <c r="QUE4" s="106"/>
      <c r="QUF4" s="106"/>
      <c r="QUG4" s="106"/>
      <c r="QUH4" s="106"/>
      <c r="QUI4" s="106"/>
      <c r="QUJ4" s="106"/>
      <c r="QUK4" s="106"/>
      <c r="QUL4" s="106"/>
      <c r="QUM4" s="106"/>
      <c r="QUN4" s="106"/>
      <c r="QUO4" s="106"/>
      <c r="QUP4" s="106"/>
      <c r="QUQ4" s="106"/>
      <c r="QUR4" s="106"/>
      <c r="QUS4" s="106"/>
      <c r="QUT4" s="106"/>
      <c r="QUU4" s="106"/>
      <c r="QUV4" s="106"/>
      <c r="QUW4" s="106"/>
      <c r="QUX4" s="106"/>
      <c r="QUY4" s="106"/>
      <c r="QUZ4" s="106"/>
      <c r="QVA4" s="106"/>
      <c r="QVB4" s="106"/>
      <c r="QVC4" s="106"/>
      <c r="QVD4" s="106"/>
      <c r="QVE4" s="106"/>
      <c r="QVF4" s="106"/>
      <c r="QVG4" s="106"/>
      <c r="QVH4" s="106"/>
      <c r="QVI4" s="106"/>
      <c r="QVJ4" s="106"/>
      <c r="QVK4" s="106"/>
      <c r="QVL4" s="106"/>
      <c r="QVM4" s="106"/>
      <c r="QVN4" s="106"/>
      <c r="QVO4" s="106"/>
      <c r="QVP4" s="106"/>
      <c r="QVQ4" s="106"/>
      <c r="QVR4" s="106"/>
      <c r="QVS4" s="106"/>
      <c r="QVT4" s="106"/>
      <c r="QVU4" s="106"/>
      <c r="QVV4" s="106"/>
      <c r="QVW4" s="106"/>
      <c r="QVX4" s="106"/>
      <c r="QVY4" s="106"/>
      <c r="QVZ4" s="106"/>
      <c r="QWA4" s="106"/>
      <c r="QWB4" s="106"/>
      <c r="QWC4" s="106"/>
      <c r="QWD4" s="106"/>
      <c r="QWE4" s="106"/>
      <c r="QWF4" s="106"/>
      <c r="QWG4" s="106"/>
      <c r="QWH4" s="106"/>
      <c r="QWI4" s="106"/>
      <c r="QWJ4" s="106"/>
      <c r="QWK4" s="106"/>
      <c r="QWL4" s="106"/>
      <c r="QWM4" s="106"/>
      <c r="QWN4" s="106"/>
      <c r="QWO4" s="106"/>
      <c r="QWP4" s="106"/>
      <c r="QWQ4" s="106"/>
      <c r="QWR4" s="106"/>
      <c r="QWS4" s="106"/>
      <c r="QWT4" s="106"/>
      <c r="QWU4" s="106"/>
      <c r="QWV4" s="106"/>
      <c r="QWW4" s="106"/>
      <c r="QWX4" s="106"/>
      <c r="QWY4" s="106"/>
      <c r="QWZ4" s="106"/>
      <c r="QXA4" s="106"/>
      <c r="QXB4" s="106"/>
      <c r="QXC4" s="106"/>
      <c r="QXD4" s="106"/>
      <c r="QXE4" s="106"/>
      <c r="QXF4" s="106"/>
      <c r="QXG4" s="106"/>
      <c r="QXH4" s="106"/>
      <c r="QXI4" s="106"/>
      <c r="QXJ4" s="106"/>
      <c r="QXK4" s="106"/>
      <c r="QXL4" s="106"/>
      <c r="QXM4" s="106"/>
      <c r="QXN4" s="106"/>
      <c r="QXO4" s="106"/>
      <c r="QXP4" s="106"/>
      <c r="QXQ4" s="106"/>
      <c r="QXR4" s="106"/>
      <c r="QXS4" s="106"/>
      <c r="QXT4" s="106"/>
      <c r="QXU4" s="106"/>
      <c r="QXV4" s="106"/>
      <c r="QXW4" s="106"/>
      <c r="QXX4" s="106"/>
      <c r="QXY4" s="106"/>
      <c r="QXZ4" s="106"/>
      <c r="QYA4" s="106"/>
      <c r="QYB4" s="106"/>
      <c r="QYC4" s="106"/>
      <c r="QYD4" s="106"/>
      <c r="QYE4" s="106"/>
      <c r="QYF4" s="106"/>
      <c r="QYG4" s="106"/>
      <c r="QYH4" s="106"/>
      <c r="QYI4" s="106"/>
      <c r="QYJ4" s="106"/>
      <c r="QYK4" s="106"/>
      <c r="QYL4" s="106"/>
      <c r="QYM4" s="106"/>
      <c r="QYN4" s="106"/>
      <c r="QYO4" s="106"/>
      <c r="QYP4" s="106"/>
      <c r="QYQ4" s="106"/>
      <c r="QYR4" s="106"/>
      <c r="QYS4" s="106"/>
      <c r="QYT4" s="106"/>
      <c r="QYU4" s="106"/>
      <c r="QYV4" s="106"/>
      <c r="QYW4" s="106"/>
      <c r="QYX4" s="106"/>
      <c r="QYY4" s="106"/>
      <c r="QYZ4" s="106"/>
      <c r="QZA4" s="106"/>
      <c r="QZB4" s="106"/>
      <c r="QZC4" s="106"/>
      <c r="QZD4" s="106"/>
      <c r="QZE4" s="106"/>
      <c r="QZF4" s="106"/>
      <c r="QZG4" s="106"/>
      <c r="QZH4" s="106"/>
      <c r="QZI4" s="106"/>
      <c r="QZJ4" s="106"/>
      <c r="QZK4" s="106"/>
      <c r="QZL4" s="106"/>
      <c r="QZM4" s="106"/>
      <c r="QZN4" s="106"/>
      <c r="QZO4" s="106"/>
      <c r="QZP4" s="106"/>
      <c r="QZQ4" s="106"/>
      <c r="QZR4" s="106"/>
      <c r="QZS4" s="106"/>
      <c r="QZT4" s="106"/>
      <c r="QZU4" s="106"/>
      <c r="QZV4" s="106"/>
      <c r="QZW4" s="106"/>
      <c r="QZX4" s="106"/>
      <c r="QZY4" s="106"/>
      <c r="QZZ4" s="106"/>
      <c r="RAA4" s="106"/>
      <c r="RAB4" s="106"/>
      <c r="RAC4" s="106"/>
      <c r="RAD4" s="106"/>
      <c r="RAE4" s="106"/>
      <c r="RAF4" s="106"/>
      <c r="RAG4" s="106"/>
      <c r="RAH4" s="106"/>
      <c r="RAI4" s="106"/>
      <c r="RAJ4" s="106"/>
      <c r="RAK4" s="106"/>
      <c r="RAL4" s="106"/>
      <c r="RAM4" s="106"/>
      <c r="RAN4" s="106"/>
      <c r="RAO4" s="106"/>
      <c r="RAP4" s="106"/>
      <c r="RAQ4" s="106"/>
      <c r="RAR4" s="106"/>
      <c r="RAS4" s="106"/>
      <c r="RAT4" s="106"/>
      <c r="RAU4" s="106"/>
      <c r="RAV4" s="106"/>
      <c r="RAW4" s="106"/>
      <c r="RAX4" s="106"/>
      <c r="RAY4" s="106"/>
      <c r="RAZ4" s="106"/>
      <c r="RBA4" s="106"/>
      <c r="RBB4" s="106"/>
      <c r="RBC4" s="106"/>
      <c r="RBD4" s="106"/>
      <c r="RBE4" s="106"/>
      <c r="RBF4" s="106"/>
      <c r="RBG4" s="106"/>
      <c r="RBH4" s="106"/>
      <c r="RBI4" s="106"/>
      <c r="RBJ4" s="106"/>
      <c r="RBK4" s="106"/>
      <c r="RBL4" s="106"/>
      <c r="RBM4" s="106"/>
      <c r="RBN4" s="106"/>
      <c r="RBO4" s="106"/>
      <c r="RBP4" s="106"/>
      <c r="RBQ4" s="106"/>
      <c r="RBR4" s="106"/>
      <c r="RBS4" s="106"/>
      <c r="RBT4" s="106"/>
      <c r="RBU4" s="106"/>
      <c r="RBV4" s="106"/>
      <c r="RBW4" s="106"/>
      <c r="RBX4" s="106"/>
      <c r="RBY4" s="106"/>
      <c r="RBZ4" s="106"/>
      <c r="RCA4" s="106"/>
      <c r="RCB4" s="106"/>
      <c r="RCC4" s="106"/>
      <c r="RCD4" s="106"/>
      <c r="RCE4" s="106"/>
      <c r="RCF4" s="106"/>
      <c r="RCG4" s="106"/>
      <c r="RCH4" s="106"/>
      <c r="RCI4" s="106"/>
      <c r="RCJ4" s="106"/>
      <c r="RCK4" s="106"/>
      <c r="RCL4" s="106"/>
      <c r="RCM4" s="106"/>
      <c r="RCN4" s="106"/>
      <c r="RCO4" s="106"/>
      <c r="RCP4" s="106"/>
      <c r="RCQ4" s="106"/>
      <c r="RCR4" s="106"/>
      <c r="RCS4" s="106"/>
      <c r="RCT4" s="106"/>
      <c r="RCU4" s="106"/>
      <c r="RCV4" s="106"/>
      <c r="RCW4" s="106"/>
      <c r="RCX4" s="106"/>
      <c r="RCY4" s="106"/>
      <c r="RCZ4" s="106"/>
      <c r="RDA4" s="106"/>
      <c r="RDB4" s="106"/>
      <c r="RDC4" s="106"/>
      <c r="RDD4" s="106"/>
      <c r="RDE4" s="106"/>
      <c r="RDF4" s="106"/>
      <c r="RDG4" s="106"/>
      <c r="RDH4" s="106"/>
      <c r="RDI4" s="106"/>
      <c r="RDJ4" s="106"/>
      <c r="RDK4" s="106"/>
      <c r="RDL4" s="106"/>
      <c r="RDM4" s="106"/>
      <c r="RDN4" s="106"/>
      <c r="RDO4" s="106"/>
      <c r="RDP4" s="106"/>
      <c r="RDQ4" s="106"/>
      <c r="RDR4" s="106"/>
      <c r="RDS4" s="106"/>
      <c r="RDT4" s="106"/>
      <c r="RDU4" s="106"/>
      <c r="RDV4" s="106"/>
      <c r="RDW4" s="106"/>
      <c r="RDX4" s="106"/>
      <c r="RDY4" s="106"/>
      <c r="RDZ4" s="106"/>
      <c r="REA4" s="106"/>
      <c r="REB4" s="106"/>
      <c r="REC4" s="106"/>
      <c r="RED4" s="106"/>
      <c r="REE4" s="106"/>
      <c r="REF4" s="106"/>
      <c r="REG4" s="106"/>
      <c r="REH4" s="106"/>
      <c r="REI4" s="106"/>
      <c r="REJ4" s="106"/>
      <c r="REK4" s="106"/>
      <c r="REL4" s="106"/>
      <c r="REM4" s="106"/>
      <c r="REN4" s="106"/>
      <c r="REO4" s="106"/>
      <c r="REP4" s="106"/>
      <c r="REQ4" s="106"/>
      <c r="RER4" s="106"/>
      <c r="RES4" s="106"/>
      <c r="RET4" s="106"/>
      <c r="REU4" s="106"/>
      <c r="REV4" s="106"/>
      <c r="REW4" s="106"/>
      <c r="REX4" s="106"/>
      <c r="REY4" s="106"/>
      <c r="REZ4" s="106"/>
      <c r="RFA4" s="106"/>
      <c r="RFB4" s="106"/>
      <c r="RFC4" s="106"/>
      <c r="RFD4" s="106"/>
      <c r="RFE4" s="106"/>
      <c r="RFF4" s="106"/>
      <c r="RFG4" s="106"/>
      <c r="RFH4" s="106"/>
      <c r="RFI4" s="106"/>
      <c r="RFJ4" s="106"/>
      <c r="RFK4" s="106"/>
      <c r="RFL4" s="106"/>
      <c r="RFM4" s="106"/>
      <c r="RFN4" s="106"/>
      <c r="RFO4" s="106"/>
      <c r="RFP4" s="106"/>
      <c r="RFQ4" s="106"/>
      <c r="RFR4" s="106"/>
      <c r="RFS4" s="106"/>
      <c r="RFT4" s="106"/>
      <c r="RFU4" s="106"/>
      <c r="RFV4" s="106"/>
      <c r="RFW4" s="106"/>
      <c r="RFX4" s="106"/>
      <c r="RFY4" s="106"/>
      <c r="RFZ4" s="106"/>
      <c r="RGA4" s="106"/>
      <c r="RGB4" s="106"/>
      <c r="RGC4" s="106"/>
      <c r="RGD4" s="106"/>
      <c r="RGE4" s="106"/>
      <c r="RGF4" s="106"/>
      <c r="RGG4" s="106"/>
      <c r="RGH4" s="106"/>
      <c r="RGI4" s="106"/>
      <c r="RGJ4" s="106"/>
      <c r="RGK4" s="106"/>
      <c r="RGL4" s="106"/>
      <c r="RGM4" s="106"/>
      <c r="RGN4" s="106"/>
      <c r="RGO4" s="106"/>
      <c r="RGP4" s="106"/>
      <c r="RGQ4" s="106"/>
      <c r="RGR4" s="106"/>
      <c r="RGS4" s="106"/>
      <c r="RGT4" s="106"/>
      <c r="RGU4" s="106"/>
      <c r="RGV4" s="106"/>
      <c r="RGW4" s="106"/>
      <c r="RGX4" s="106"/>
      <c r="RGY4" s="106"/>
      <c r="RGZ4" s="106"/>
      <c r="RHA4" s="106"/>
      <c r="RHB4" s="106"/>
      <c r="RHC4" s="106"/>
      <c r="RHD4" s="106"/>
      <c r="RHE4" s="106"/>
      <c r="RHF4" s="106"/>
      <c r="RHG4" s="106"/>
      <c r="RHH4" s="106"/>
      <c r="RHI4" s="106"/>
      <c r="RHJ4" s="106"/>
      <c r="RHK4" s="106"/>
      <c r="RHL4" s="106"/>
      <c r="RHM4" s="106"/>
      <c r="RHN4" s="106"/>
      <c r="RHO4" s="106"/>
      <c r="RHP4" s="106"/>
      <c r="RHQ4" s="106"/>
      <c r="RHR4" s="106"/>
      <c r="RHS4" s="106"/>
      <c r="RHT4" s="106"/>
      <c r="RHU4" s="106"/>
      <c r="RHV4" s="106"/>
      <c r="RHW4" s="106"/>
      <c r="RHX4" s="106"/>
      <c r="RHY4" s="106"/>
      <c r="RHZ4" s="106"/>
      <c r="RIA4" s="106"/>
      <c r="RIB4" s="106"/>
      <c r="RIC4" s="106"/>
      <c r="RID4" s="106"/>
      <c r="RIE4" s="106"/>
      <c r="RIF4" s="106"/>
      <c r="RIG4" s="106"/>
      <c r="RIH4" s="106"/>
      <c r="RII4" s="106"/>
      <c r="RIJ4" s="106"/>
      <c r="RIK4" s="106"/>
      <c r="RIL4" s="106"/>
      <c r="RIM4" s="106"/>
      <c r="RIN4" s="106"/>
      <c r="RIO4" s="106"/>
      <c r="RIP4" s="106"/>
      <c r="RIQ4" s="106"/>
      <c r="RIR4" s="106"/>
      <c r="RIS4" s="106"/>
      <c r="RIT4" s="106"/>
      <c r="RIU4" s="106"/>
      <c r="RIV4" s="106"/>
      <c r="RIW4" s="106"/>
      <c r="RIX4" s="106"/>
      <c r="RIY4" s="106"/>
      <c r="RIZ4" s="106"/>
      <c r="RJA4" s="106"/>
      <c r="RJB4" s="106"/>
      <c r="RJC4" s="106"/>
      <c r="RJD4" s="106"/>
      <c r="RJE4" s="106"/>
      <c r="RJF4" s="106"/>
      <c r="RJG4" s="106"/>
      <c r="RJH4" s="106"/>
      <c r="RJI4" s="106"/>
      <c r="RJJ4" s="106"/>
      <c r="RJK4" s="106"/>
      <c r="RJL4" s="106"/>
      <c r="RJM4" s="106"/>
      <c r="RJN4" s="106"/>
      <c r="RJO4" s="106"/>
      <c r="RJP4" s="106"/>
      <c r="RJQ4" s="106"/>
      <c r="RJR4" s="106"/>
      <c r="RJS4" s="106"/>
      <c r="RJT4" s="106"/>
      <c r="RJU4" s="106"/>
      <c r="RJV4" s="106"/>
      <c r="RJW4" s="106"/>
      <c r="RJX4" s="106"/>
      <c r="RJY4" s="106"/>
      <c r="RJZ4" s="106"/>
      <c r="RKA4" s="106"/>
      <c r="RKB4" s="106"/>
      <c r="RKC4" s="106"/>
      <c r="RKD4" s="106"/>
      <c r="RKE4" s="106"/>
      <c r="RKF4" s="106"/>
      <c r="RKG4" s="106"/>
      <c r="RKH4" s="106"/>
      <c r="RKI4" s="106"/>
      <c r="RKJ4" s="106"/>
      <c r="RKK4" s="106"/>
      <c r="RKL4" s="106"/>
      <c r="RKM4" s="106"/>
      <c r="RKN4" s="106"/>
      <c r="RKO4" s="106"/>
      <c r="RKP4" s="106"/>
      <c r="RKQ4" s="106"/>
      <c r="RKR4" s="106"/>
      <c r="RKS4" s="106"/>
      <c r="RKT4" s="106"/>
      <c r="RKU4" s="106"/>
      <c r="RKV4" s="106"/>
      <c r="RKW4" s="106"/>
      <c r="RKX4" s="106"/>
      <c r="RKY4" s="106"/>
      <c r="RKZ4" s="106"/>
      <c r="RLA4" s="106"/>
      <c r="RLB4" s="106"/>
      <c r="RLC4" s="106"/>
      <c r="RLD4" s="106"/>
      <c r="RLE4" s="106"/>
      <c r="RLF4" s="106"/>
      <c r="RLG4" s="106"/>
      <c r="RLH4" s="106"/>
      <c r="RLI4" s="106"/>
      <c r="RLJ4" s="106"/>
      <c r="RLK4" s="106"/>
      <c r="RLL4" s="106"/>
      <c r="RLM4" s="106"/>
      <c r="RLN4" s="106"/>
      <c r="RLO4" s="106"/>
      <c r="RLP4" s="106"/>
      <c r="RLQ4" s="106"/>
      <c r="RLR4" s="106"/>
      <c r="RLS4" s="106"/>
      <c r="RLT4" s="106"/>
      <c r="RLU4" s="106"/>
      <c r="RLV4" s="106"/>
      <c r="RLW4" s="106"/>
      <c r="RLX4" s="106"/>
      <c r="RLY4" s="106"/>
      <c r="RLZ4" s="106"/>
      <c r="RMA4" s="106"/>
      <c r="RMB4" s="106"/>
      <c r="RMC4" s="106"/>
      <c r="RMD4" s="106"/>
      <c r="RME4" s="106"/>
      <c r="RMF4" s="106"/>
      <c r="RMG4" s="106"/>
      <c r="RMH4" s="106"/>
      <c r="RMI4" s="106"/>
      <c r="RMJ4" s="106"/>
      <c r="RMK4" s="106"/>
      <c r="RML4" s="106"/>
      <c r="RMM4" s="106"/>
      <c r="RMN4" s="106"/>
      <c r="RMO4" s="106"/>
      <c r="RMP4" s="106"/>
      <c r="RMQ4" s="106"/>
      <c r="RMR4" s="106"/>
      <c r="RMS4" s="106"/>
      <c r="RMT4" s="106"/>
      <c r="RMU4" s="106"/>
      <c r="RMV4" s="106"/>
      <c r="RMW4" s="106"/>
      <c r="RMX4" s="106"/>
      <c r="RMY4" s="106"/>
      <c r="RMZ4" s="106"/>
      <c r="RNA4" s="106"/>
      <c r="RNB4" s="106"/>
      <c r="RNC4" s="106"/>
      <c r="RND4" s="106"/>
      <c r="RNE4" s="106"/>
      <c r="RNF4" s="106"/>
      <c r="RNG4" s="106"/>
      <c r="RNH4" s="106"/>
      <c r="RNI4" s="106"/>
      <c r="RNJ4" s="106"/>
      <c r="RNK4" s="106"/>
      <c r="RNL4" s="106"/>
      <c r="RNM4" s="106"/>
      <c r="RNN4" s="106"/>
      <c r="RNO4" s="106"/>
      <c r="RNP4" s="106"/>
      <c r="RNQ4" s="106"/>
      <c r="RNR4" s="106"/>
      <c r="RNS4" s="106"/>
      <c r="RNT4" s="106"/>
      <c r="RNU4" s="106"/>
      <c r="RNV4" s="106"/>
      <c r="RNW4" s="106"/>
      <c r="RNX4" s="106"/>
      <c r="RNY4" s="106"/>
      <c r="RNZ4" s="106"/>
      <c r="ROA4" s="106"/>
      <c r="ROB4" s="106"/>
      <c r="ROC4" s="106"/>
      <c r="ROD4" s="106"/>
      <c r="ROE4" s="106"/>
      <c r="ROF4" s="106"/>
      <c r="ROG4" s="106"/>
      <c r="ROH4" s="106"/>
      <c r="ROI4" s="106"/>
      <c r="ROJ4" s="106"/>
      <c r="ROK4" s="106"/>
      <c r="ROL4" s="106"/>
      <c r="ROM4" s="106"/>
      <c r="RON4" s="106"/>
      <c r="ROO4" s="106"/>
      <c r="ROP4" s="106"/>
      <c r="ROQ4" s="106"/>
      <c r="ROR4" s="106"/>
      <c r="ROS4" s="106"/>
      <c r="ROT4" s="106"/>
      <c r="ROU4" s="106"/>
      <c r="ROV4" s="106"/>
      <c r="ROW4" s="106"/>
      <c r="ROX4" s="106"/>
      <c r="ROY4" s="106"/>
      <c r="ROZ4" s="106"/>
      <c r="RPA4" s="106"/>
      <c r="RPB4" s="106"/>
      <c r="RPC4" s="106"/>
      <c r="RPD4" s="106"/>
      <c r="RPE4" s="106"/>
      <c r="RPF4" s="106"/>
      <c r="RPG4" s="106"/>
      <c r="RPH4" s="106"/>
      <c r="RPI4" s="106"/>
      <c r="RPJ4" s="106"/>
      <c r="RPK4" s="106"/>
      <c r="RPL4" s="106"/>
      <c r="RPM4" s="106"/>
      <c r="RPN4" s="106"/>
      <c r="RPO4" s="106"/>
      <c r="RPP4" s="106"/>
      <c r="RPQ4" s="106"/>
      <c r="RPR4" s="106"/>
      <c r="RPS4" s="106"/>
      <c r="RPT4" s="106"/>
      <c r="RPU4" s="106"/>
      <c r="RPV4" s="106"/>
      <c r="RPW4" s="106"/>
      <c r="RPX4" s="106"/>
      <c r="RPY4" s="106"/>
      <c r="RPZ4" s="106"/>
      <c r="RQA4" s="106"/>
      <c r="RQB4" s="106"/>
      <c r="RQC4" s="106"/>
      <c r="RQD4" s="106"/>
      <c r="RQE4" s="106"/>
      <c r="RQF4" s="106"/>
      <c r="RQG4" s="106"/>
      <c r="RQH4" s="106"/>
      <c r="RQI4" s="106"/>
      <c r="RQJ4" s="106"/>
      <c r="RQK4" s="106"/>
      <c r="RQL4" s="106"/>
      <c r="RQM4" s="106"/>
      <c r="RQN4" s="106"/>
      <c r="RQO4" s="106"/>
      <c r="RQP4" s="106"/>
      <c r="RQQ4" s="106"/>
      <c r="RQR4" s="106"/>
      <c r="RQS4" s="106"/>
      <c r="RQT4" s="106"/>
      <c r="RQU4" s="106"/>
      <c r="RQV4" s="106"/>
      <c r="RQW4" s="106"/>
      <c r="RQX4" s="106"/>
      <c r="RQY4" s="106"/>
      <c r="RQZ4" s="106"/>
      <c r="RRA4" s="106"/>
      <c r="RRB4" s="106"/>
      <c r="RRC4" s="106"/>
      <c r="RRD4" s="106"/>
      <c r="RRE4" s="106"/>
      <c r="RRF4" s="106"/>
      <c r="RRG4" s="106"/>
      <c r="RRH4" s="106"/>
      <c r="RRI4" s="106"/>
      <c r="RRJ4" s="106"/>
      <c r="RRK4" s="106"/>
      <c r="RRL4" s="106"/>
      <c r="RRM4" s="106"/>
      <c r="RRN4" s="106"/>
      <c r="RRO4" s="106"/>
      <c r="RRP4" s="106"/>
      <c r="RRQ4" s="106"/>
      <c r="RRR4" s="106"/>
      <c r="RRS4" s="106"/>
      <c r="RRT4" s="106"/>
      <c r="RRU4" s="106"/>
      <c r="RRV4" s="106"/>
      <c r="RRW4" s="106"/>
      <c r="RRX4" s="106"/>
      <c r="RRY4" s="106"/>
      <c r="RRZ4" s="106"/>
      <c r="RSA4" s="106"/>
      <c r="RSB4" s="106"/>
      <c r="RSC4" s="106"/>
      <c r="RSD4" s="106"/>
      <c r="RSE4" s="106"/>
      <c r="RSF4" s="106"/>
      <c r="RSG4" s="106"/>
      <c r="RSH4" s="106"/>
      <c r="RSI4" s="106"/>
      <c r="RSJ4" s="106"/>
      <c r="RSK4" s="106"/>
      <c r="RSL4" s="106"/>
      <c r="RSM4" s="106"/>
      <c r="RSN4" s="106"/>
      <c r="RSO4" s="106"/>
      <c r="RSP4" s="106"/>
      <c r="RSQ4" s="106"/>
      <c r="RSR4" s="106"/>
      <c r="RSS4" s="106"/>
      <c r="RST4" s="106"/>
      <c r="RSU4" s="106"/>
      <c r="RSV4" s="106"/>
      <c r="RSW4" s="106"/>
      <c r="RSX4" s="106"/>
      <c r="RSY4" s="106"/>
      <c r="RSZ4" s="106"/>
      <c r="RTA4" s="106"/>
      <c r="RTB4" s="106"/>
      <c r="RTC4" s="106"/>
      <c r="RTD4" s="106"/>
      <c r="RTE4" s="106"/>
      <c r="RTF4" s="106"/>
      <c r="RTG4" s="106"/>
      <c r="RTH4" s="106"/>
      <c r="RTI4" s="106"/>
      <c r="RTJ4" s="106"/>
      <c r="RTK4" s="106"/>
      <c r="RTL4" s="106"/>
      <c r="RTM4" s="106"/>
      <c r="RTN4" s="106"/>
      <c r="RTO4" s="106"/>
      <c r="RTP4" s="106"/>
      <c r="RTQ4" s="106"/>
      <c r="RTR4" s="106"/>
      <c r="RTS4" s="106"/>
      <c r="RTT4" s="106"/>
      <c r="RTU4" s="106"/>
      <c r="RTV4" s="106"/>
      <c r="RTW4" s="106"/>
      <c r="RTX4" s="106"/>
      <c r="RTY4" s="106"/>
      <c r="RTZ4" s="106"/>
      <c r="RUA4" s="106"/>
      <c r="RUB4" s="106"/>
      <c r="RUC4" s="106"/>
      <c r="RUD4" s="106"/>
      <c r="RUE4" s="106"/>
      <c r="RUF4" s="106"/>
      <c r="RUG4" s="106"/>
      <c r="RUH4" s="106"/>
      <c r="RUI4" s="106"/>
      <c r="RUJ4" s="106"/>
      <c r="RUK4" s="106"/>
      <c r="RUL4" s="106"/>
      <c r="RUM4" s="106"/>
      <c r="RUN4" s="106"/>
      <c r="RUO4" s="106"/>
      <c r="RUP4" s="106"/>
      <c r="RUQ4" s="106"/>
      <c r="RUR4" s="106"/>
      <c r="RUS4" s="106"/>
      <c r="RUT4" s="106"/>
      <c r="RUU4" s="106"/>
      <c r="RUV4" s="106"/>
      <c r="RUW4" s="106"/>
      <c r="RUX4" s="106"/>
      <c r="RUY4" s="106"/>
      <c r="RUZ4" s="106"/>
      <c r="RVA4" s="106"/>
      <c r="RVB4" s="106"/>
      <c r="RVC4" s="106"/>
      <c r="RVD4" s="106"/>
      <c r="RVE4" s="106"/>
      <c r="RVF4" s="106"/>
      <c r="RVG4" s="106"/>
      <c r="RVH4" s="106"/>
      <c r="RVI4" s="106"/>
      <c r="RVJ4" s="106"/>
      <c r="RVK4" s="106"/>
      <c r="RVL4" s="106"/>
      <c r="RVM4" s="106"/>
      <c r="RVN4" s="106"/>
      <c r="RVO4" s="106"/>
      <c r="RVP4" s="106"/>
      <c r="RVQ4" s="106"/>
      <c r="RVR4" s="106"/>
      <c r="RVS4" s="106"/>
      <c r="RVT4" s="106"/>
      <c r="RVU4" s="106"/>
      <c r="RVV4" s="106"/>
      <c r="RVW4" s="106"/>
      <c r="RVX4" s="106"/>
      <c r="RVY4" s="106"/>
      <c r="RVZ4" s="106"/>
      <c r="RWA4" s="106"/>
      <c r="RWB4" s="106"/>
      <c r="RWC4" s="106"/>
      <c r="RWD4" s="106"/>
      <c r="RWE4" s="106"/>
      <c r="RWF4" s="106"/>
      <c r="RWG4" s="106"/>
      <c r="RWH4" s="106"/>
      <c r="RWI4" s="106"/>
      <c r="RWJ4" s="106"/>
      <c r="RWK4" s="106"/>
      <c r="RWL4" s="106"/>
      <c r="RWM4" s="106"/>
      <c r="RWN4" s="106"/>
      <c r="RWO4" s="106"/>
      <c r="RWP4" s="106"/>
      <c r="RWQ4" s="106"/>
      <c r="RWR4" s="106"/>
      <c r="RWS4" s="106"/>
      <c r="RWT4" s="106"/>
      <c r="RWU4" s="106"/>
      <c r="RWV4" s="106"/>
      <c r="RWW4" s="106"/>
      <c r="RWX4" s="106"/>
      <c r="RWY4" s="106"/>
      <c r="RWZ4" s="106"/>
      <c r="RXA4" s="106"/>
      <c r="RXB4" s="106"/>
      <c r="RXC4" s="106"/>
      <c r="RXD4" s="106"/>
      <c r="RXE4" s="106"/>
      <c r="RXF4" s="106"/>
      <c r="RXG4" s="106"/>
      <c r="RXH4" s="106"/>
      <c r="RXI4" s="106"/>
      <c r="RXJ4" s="106"/>
      <c r="RXK4" s="106"/>
      <c r="RXL4" s="106"/>
      <c r="RXM4" s="106"/>
      <c r="RXN4" s="106"/>
      <c r="RXO4" s="106"/>
      <c r="RXP4" s="106"/>
      <c r="RXQ4" s="106"/>
      <c r="RXR4" s="106"/>
      <c r="RXS4" s="106"/>
      <c r="RXT4" s="106"/>
      <c r="RXU4" s="106"/>
      <c r="RXV4" s="106"/>
      <c r="RXW4" s="106"/>
      <c r="RXX4" s="106"/>
      <c r="RXY4" s="106"/>
      <c r="RXZ4" s="106"/>
      <c r="RYA4" s="106"/>
      <c r="RYB4" s="106"/>
      <c r="RYC4" s="106"/>
      <c r="RYD4" s="106"/>
      <c r="RYE4" s="106"/>
      <c r="RYF4" s="106"/>
      <c r="RYG4" s="106"/>
      <c r="RYH4" s="106"/>
      <c r="RYI4" s="106"/>
      <c r="RYJ4" s="106"/>
      <c r="RYK4" s="106"/>
      <c r="RYL4" s="106"/>
      <c r="RYM4" s="106"/>
      <c r="RYN4" s="106"/>
      <c r="RYO4" s="106"/>
      <c r="RYP4" s="106"/>
      <c r="RYQ4" s="106"/>
      <c r="RYR4" s="106"/>
      <c r="RYS4" s="106"/>
      <c r="RYT4" s="106"/>
      <c r="RYU4" s="106"/>
      <c r="RYV4" s="106"/>
      <c r="RYW4" s="106"/>
      <c r="RYX4" s="106"/>
      <c r="RYY4" s="106"/>
      <c r="RYZ4" s="106"/>
      <c r="RZA4" s="106"/>
      <c r="RZB4" s="106"/>
      <c r="RZC4" s="106"/>
      <c r="RZD4" s="106"/>
      <c r="RZE4" s="106"/>
      <c r="RZF4" s="106"/>
      <c r="RZG4" s="106"/>
      <c r="RZH4" s="106"/>
      <c r="RZI4" s="106"/>
      <c r="RZJ4" s="106"/>
      <c r="RZK4" s="106"/>
      <c r="RZL4" s="106"/>
      <c r="RZM4" s="106"/>
      <c r="RZN4" s="106"/>
      <c r="RZO4" s="106"/>
      <c r="RZP4" s="106"/>
      <c r="RZQ4" s="106"/>
      <c r="RZR4" s="106"/>
      <c r="RZS4" s="106"/>
      <c r="RZT4" s="106"/>
      <c r="RZU4" s="106"/>
      <c r="RZV4" s="106"/>
      <c r="RZW4" s="106"/>
      <c r="RZX4" s="106"/>
      <c r="RZY4" s="106"/>
      <c r="RZZ4" s="106"/>
      <c r="SAA4" s="106"/>
      <c r="SAB4" s="106"/>
      <c r="SAC4" s="106"/>
      <c r="SAD4" s="106"/>
      <c r="SAE4" s="106"/>
      <c r="SAF4" s="106"/>
      <c r="SAG4" s="106"/>
      <c r="SAH4" s="106"/>
      <c r="SAI4" s="106"/>
      <c r="SAJ4" s="106"/>
      <c r="SAK4" s="106"/>
      <c r="SAL4" s="106"/>
      <c r="SAM4" s="106"/>
      <c r="SAN4" s="106"/>
      <c r="SAO4" s="106"/>
      <c r="SAP4" s="106"/>
      <c r="SAQ4" s="106"/>
      <c r="SAR4" s="106"/>
      <c r="SAS4" s="106"/>
      <c r="SAT4" s="106"/>
      <c r="SAU4" s="106"/>
      <c r="SAV4" s="106"/>
      <c r="SAW4" s="106"/>
      <c r="SAX4" s="106"/>
      <c r="SAY4" s="106"/>
      <c r="SAZ4" s="106"/>
      <c r="SBA4" s="106"/>
      <c r="SBB4" s="106"/>
      <c r="SBC4" s="106"/>
      <c r="SBD4" s="106"/>
      <c r="SBE4" s="106"/>
      <c r="SBF4" s="106"/>
      <c r="SBG4" s="106"/>
      <c r="SBH4" s="106"/>
      <c r="SBI4" s="106"/>
      <c r="SBJ4" s="106"/>
      <c r="SBK4" s="106"/>
      <c r="SBL4" s="106"/>
      <c r="SBM4" s="106"/>
      <c r="SBN4" s="106"/>
      <c r="SBO4" s="106"/>
      <c r="SBP4" s="106"/>
      <c r="SBQ4" s="106"/>
      <c r="SBR4" s="106"/>
      <c r="SBS4" s="106"/>
      <c r="SBT4" s="106"/>
      <c r="SBU4" s="106"/>
      <c r="SBV4" s="106"/>
      <c r="SBW4" s="106"/>
      <c r="SBX4" s="106"/>
      <c r="SBY4" s="106"/>
      <c r="SBZ4" s="106"/>
      <c r="SCA4" s="106"/>
      <c r="SCB4" s="106"/>
      <c r="SCC4" s="106"/>
      <c r="SCD4" s="106"/>
      <c r="SCE4" s="106"/>
      <c r="SCF4" s="106"/>
      <c r="SCG4" s="106"/>
      <c r="SCH4" s="106"/>
      <c r="SCI4" s="106"/>
      <c r="SCJ4" s="106"/>
      <c r="SCK4" s="106"/>
      <c r="SCL4" s="106"/>
      <c r="SCM4" s="106"/>
      <c r="SCN4" s="106"/>
      <c r="SCO4" s="106"/>
      <c r="SCP4" s="106"/>
      <c r="SCQ4" s="106"/>
      <c r="SCR4" s="106"/>
      <c r="SCS4" s="106"/>
      <c r="SCT4" s="106"/>
      <c r="SCU4" s="106"/>
      <c r="SCV4" s="106"/>
      <c r="SCW4" s="106"/>
      <c r="SCX4" s="106"/>
      <c r="SCY4" s="106"/>
      <c r="SCZ4" s="106"/>
      <c r="SDA4" s="106"/>
      <c r="SDB4" s="106"/>
      <c r="SDC4" s="106"/>
      <c r="SDD4" s="106"/>
      <c r="SDE4" s="106"/>
      <c r="SDF4" s="106"/>
      <c r="SDG4" s="106"/>
      <c r="SDH4" s="106"/>
      <c r="SDI4" s="106"/>
      <c r="SDJ4" s="106"/>
      <c r="SDK4" s="106"/>
      <c r="SDL4" s="106"/>
      <c r="SDM4" s="106"/>
      <c r="SDN4" s="106"/>
      <c r="SDO4" s="106"/>
      <c r="SDP4" s="106"/>
      <c r="SDQ4" s="106"/>
      <c r="SDR4" s="106"/>
      <c r="SDS4" s="106"/>
      <c r="SDT4" s="106"/>
      <c r="SDU4" s="106"/>
      <c r="SDV4" s="106"/>
      <c r="SDW4" s="106"/>
      <c r="SDX4" s="106"/>
      <c r="SDY4" s="106"/>
      <c r="SDZ4" s="106"/>
      <c r="SEA4" s="106"/>
      <c r="SEB4" s="106"/>
      <c r="SEC4" s="106"/>
      <c r="SED4" s="106"/>
      <c r="SEE4" s="106"/>
      <c r="SEF4" s="106"/>
      <c r="SEG4" s="106"/>
      <c r="SEH4" s="106"/>
      <c r="SEI4" s="106"/>
      <c r="SEJ4" s="106"/>
      <c r="SEK4" s="106"/>
      <c r="SEL4" s="106"/>
      <c r="SEM4" s="106"/>
      <c r="SEN4" s="106"/>
      <c r="SEO4" s="106"/>
      <c r="SEP4" s="106"/>
      <c r="SEQ4" s="106"/>
      <c r="SER4" s="106"/>
      <c r="SES4" s="106"/>
      <c r="SET4" s="106"/>
      <c r="SEU4" s="106"/>
      <c r="SEV4" s="106"/>
      <c r="SEW4" s="106"/>
      <c r="SEX4" s="106"/>
      <c r="SEY4" s="106"/>
      <c r="SEZ4" s="106"/>
      <c r="SFA4" s="106"/>
      <c r="SFB4" s="106"/>
      <c r="SFC4" s="106"/>
      <c r="SFD4" s="106"/>
      <c r="SFE4" s="106"/>
      <c r="SFF4" s="106"/>
      <c r="SFG4" s="106"/>
      <c r="SFH4" s="106"/>
      <c r="SFI4" s="106"/>
      <c r="SFJ4" s="106"/>
      <c r="SFK4" s="106"/>
      <c r="SFL4" s="106"/>
      <c r="SFM4" s="106"/>
      <c r="SFN4" s="106"/>
      <c r="SFO4" s="106"/>
      <c r="SFP4" s="106"/>
      <c r="SFQ4" s="106"/>
      <c r="SFR4" s="106"/>
      <c r="SFS4" s="106"/>
      <c r="SFT4" s="106"/>
      <c r="SFU4" s="106"/>
      <c r="SFV4" s="106"/>
      <c r="SFW4" s="106"/>
      <c r="SFX4" s="106"/>
      <c r="SFY4" s="106"/>
      <c r="SFZ4" s="106"/>
      <c r="SGA4" s="106"/>
      <c r="SGB4" s="106"/>
      <c r="SGC4" s="106"/>
      <c r="SGD4" s="106"/>
      <c r="SGE4" s="106"/>
      <c r="SGF4" s="106"/>
      <c r="SGG4" s="106"/>
      <c r="SGH4" s="106"/>
      <c r="SGI4" s="106"/>
      <c r="SGJ4" s="106"/>
      <c r="SGK4" s="106"/>
      <c r="SGL4" s="106"/>
      <c r="SGM4" s="106"/>
      <c r="SGN4" s="106"/>
      <c r="SGO4" s="106"/>
      <c r="SGP4" s="106"/>
      <c r="SGQ4" s="106"/>
      <c r="SGR4" s="106"/>
      <c r="SGS4" s="106"/>
      <c r="SGT4" s="106"/>
      <c r="SGU4" s="106"/>
      <c r="SGV4" s="106"/>
      <c r="SGW4" s="106"/>
      <c r="SGX4" s="106"/>
      <c r="SGY4" s="106"/>
      <c r="SGZ4" s="106"/>
      <c r="SHA4" s="106"/>
      <c r="SHB4" s="106"/>
      <c r="SHC4" s="106"/>
      <c r="SHD4" s="106"/>
      <c r="SHE4" s="106"/>
      <c r="SHF4" s="106"/>
      <c r="SHG4" s="106"/>
      <c r="SHH4" s="106"/>
      <c r="SHI4" s="106"/>
      <c r="SHJ4" s="106"/>
      <c r="SHK4" s="106"/>
      <c r="SHL4" s="106"/>
      <c r="SHM4" s="106"/>
      <c r="SHN4" s="106"/>
      <c r="SHO4" s="106"/>
      <c r="SHP4" s="106"/>
      <c r="SHQ4" s="106"/>
      <c r="SHR4" s="106"/>
      <c r="SHS4" s="106"/>
      <c r="SHT4" s="106"/>
      <c r="SHU4" s="106"/>
      <c r="SHV4" s="106"/>
      <c r="SHW4" s="106"/>
      <c r="SHX4" s="106"/>
      <c r="SHY4" s="106"/>
      <c r="SHZ4" s="106"/>
      <c r="SIA4" s="106"/>
      <c r="SIB4" s="106"/>
      <c r="SIC4" s="106"/>
      <c r="SID4" s="106"/>
      <c r="SIE4" s="106"/>
      <c r="SIF4" s="106"/>
      <c r="SIG4" s="106"/>
      <c r="SIH4" s="106"/>
      <c r="SII4" s="106"/>
      <c r="SIJ4" s="106"/>
      <c r="SIK4" s="106"/>
      <c r="SIL4" s="106"/>
      <c r="SIM4" s="106"/>
      <c r="SIN4" s="106"/>
      <c r="SIO4" s="106"/>
      <c r="SIP4" s="106"/>
      <c r="SIQ4" s="106"/>
      <c r="SIR4" s="106"/>
      <c r="SIS4" s="106"/>
      <c r="SIT4" s="106"/>
      <c r="SIU4" s="106"/>
      <c r="SIV4" s="106"/>
      <c r="SIW4" s="106"/>
      <c r="SIX4" s="106"/>
      <c r="SIY4" s="106"/>
      <c r="SIZ4" s="106"/>
      <c r="SJA4" s="106"/>
      <c r="SJB4" s="106"/>
      <c r="SJC4" s="106"/>
      <c r="SJD4" s="106"/>
      <c r="SJE4" s="106"/>
      <c r="SJF4" s="106"/>
      <c r="SJG4" s="106"/>
      <c r="SJH4" s="106"/>
      <c r="SJI4" s="106"/>
      <c r="SJJ4" s="106"/>
      <c r="SJK4" s="106"/>
      <c r="SJL4" s="106"/>
      <c r="SJM4" s="106"/>
      <c r="SJN4" s="106"/>
      <c r="SJO4" s="106"/>
      <c r="SJP4" s="106"/>
      <c r="SJQ4" s="106"/>
      <c r="SJR4" s="106"/>
      <c r="SJS4" s="106"/>
      <c r="SJT4" s="106"/>
      <c r="SJU4" s="106"/>
      <c r="SJV4" s="106"/>
      <c r="SJW4" s="106"/>
      <c r="SJX4" s="106"/>
      <c r="SJY4" s="106"/>
      <c r="SJZ4" s="106"/>
      <c r="SKA4" s="106"/>
      <c r="SKB4" s="106"/>
      <c r="SKC4" s="106"/>
      <c r="SKD4" s="106"/>
      <c r="SKE4" s="106"/>
      <c r="SKF4" s="106"/>
      <c r="SKG4" s="106"/>
      <c r="SKH4" s="106"/>
      <c r="SKI4" s="106"/>
      <c r="SKJ4" s="106"/>
      <c r="SKK4" s="106"/>
      <c r="SKL4" s="106"/>
      <c r="SKM4" s="106"/>
      <c r="SKN4" s="106"/>
      <c r="SKO4" s="106"/>
      <c r="SKP4" s="106"/>
      <c r="SKQ4" s="106"/>
      <c r="SKR4" s="106"/>
      <c r="SKS4" s="106"/>
      <c r="SKT4" s="106"/>
      <c r="SKU4" s="106"/>
      <c r="SKV4" s="106"/>
      <c r="SKW4" s="106"/>
      <c r="SKX4" s="106"/>
      <c r="SKY4" s="106"/>
      <c r="SKZ4" s="106"/>
      <c r="SLA4" s="106"/>
      <c r="SLB4" s="106"/>
      <c r="SLC4" s="106"/>
      <c r="SLD4" s="106"/>
      <c r="SLE4" s="106"/>
      <c r="SLF4" s="106"/>
      <c r="SLG4" s="106"/>
      <c r="SLH4" s="106"/>
      <c r="SLI4" s="106"/>
      <c r="SLJ4" s="106"/>
      <c r="SLK4" s="106"/>
      <c r="SLL4" s="106"/>
      <c r="SLM4" s="106"/>
      <c r="SLN4" s="106"/>
      <c r="SLO4" s="106"/>
      <c r="SLP4" s="106"/>
      <c r="SLQ4" s="106"/>
      <c r="SLR4" s="106"/>
      <c r="SLS4" s="106"/>
      <c r="SLT4" s="106"/>
      <c r="SLU4" s="106"/>
      <c r="SLV4" s="106"/>
      <c r="SLW4" s="106"/>
      <c r="SLX4" s="106"/>
      <c r="SLY4" s="106"/>
      <c r="SLZ4" s="106"/>
      <c r="SMA4" s="106"/>
      <c r="SMB4" s="106"/>
      <c r="SMC4" s="106"/>
      <c r="SMD4" s="106"/>
      <c r="SME4" s="106"/>
      <c r="SMF4" s="106"/>
      <c r="SMG4" s="106"/>
      <c r="SMH4" s="106"/>
      <c r="SMI4" s="106"/>
      <c r="SMJ4" s="106"/>
      <c r="SMK4" s="106"/>
      <c r="SML4" s="106"/>
      <c r="SMM4" s="106"/>
      <c r="SMN4" s="106"/>
      <c r="SMO4" s="106"/>
      <c r="SMP4" s="106"/>
      <c r="SMQ4" s="106"/>
      <c r="SMR4" s="106"/>
      <c r="SMS4" s="106"/>
      <c r="SMT4" s="106"/>
      <c r="SMU4" s="106"/>
      <c r="SMV4" s="106"/>
      <c r="SMW4" s="106"/>
      <c r="SMX4" s="106"/>
      <c r="SMY4" s="106"/>
      <c r="SMZ4" s="106"/>
      <c r="SNA4" s="106"/>
      <c r="SNB4" s="106"/>
      <c r="SNC4" s="106"/>
      <c r="SND4" s="106"/>
      <c r="SNE4" s="106"/>
      <c r="SNF4" s="106"/>
      <c r="SNG4" s="106"/>
      <c r="SNH4" s="106"/>
      <c r="SNI4" s="106"/>
      <c r="SNJ4" s="106"/>
      <c r="SNK4" s="106"/>
      <c r="SNL4" s="106"/>
      <c r="SNM4" s="106"/>
      <c r="SNN4" s="106"/>
      <c r="SNO4" s="106"/>
      <c r="SNP4" s="106"/>
      <c r="SNQ4" s="106"/>
      <c r="SNR4" s="106"/>
      <c r="SNS4" s="106"/>
      <c r="SNT4" s="106"/>
      <c r="SNU4" s="106"/>
      <c r="SNV4" s="106"/>
      <c r="SNW4" s="106"/>
      <c r="SNX4" s="106"/>
      <c r="SNY4" s="106"/>
      <c r="SNZ4" s="106"/>
      <c r="SOA4" s="106"/>
      <c r="SOB4" s="106"/>
      <c r="SOC4" s="106"/>
      <c r="SOD4" s="106"/>
      <c r="SOE4" s="106"/>
      <c r="SOF4" s="106"/>
      <c r="SOG4" s="106"/>
      <c r="SOH4" s="106"/>
      <c r="SOI4" s="106"/>
      <c r="SOJ4" s="106"/>
      <c r="SOK4" s="106"/>
      <c r="SOL4" s="106"/>
      <c r="SOM4" s="106"/>
      <c r="SON4" s="106"/>
      <c r="SOO4" s="106"/>
      <c r="SOP4" s="106"/>
      <c r="SOQ4" s="106"/>
      <c r="SOR4" s="106"/>
      <c r="SOS4" s="106"/>
      <c r="SOT4" s="106"/>
      <c r="SOU4" s="106"/>
      <c r="SOV4" s="106"/>
      <c r="SOW4" s="106"/>
      <c r="SOX4" s="106"/>
      <c r="SOY4" s="106"/>
      <c r="SOZ4" s="106"/>
      <c r="SPA4" s="106"/>
      <c r="SPB4" s="106"/>
      <c r="SPC4" s="106"/>
      <c r="SPD4" s="106"/>
      <c r="SPE4" s="106"/>
      <c r="SPF4" s="106"/>
      <c r="SPG4" s="106"/>
      <c r="SPH4" s="106"/>
      <c r="SPI4" s="106"/>
      <c r="SPJ4" s="106"/>
      <c r="SPK4" s="106"/>
      <c r="SPL4" s="106"/>
      <c r="SPM4" s="106"/>
      <c r="SPN4" s="106"/>
      <c r="SPO4" s="106"/>
      <c r="SPP4" s="106"/>
      <c r="SPQ4" s="106"/>
      <c r="SPR4" s="106"/>
      <c r="SPS4" s="106"/>
      <c r="SPT4" s="106"/>
      <c r="SPU4" s="106"/>
      <c r="SPV4" s="106"/>
      <c r="SPW4" s="106"/>
      <c r="SPX4" s="106"/>
      <c r="SPY4" s="106"/>
      <c r="SPZ4" s="106"/>
      <c r="SQA4" s="106"/>
      <c r="SQB4" s="106"/>
      <c r="SQC4" s="106"/>
      <c r="SQD4" s="106"/>
      <c r="SQE4" s="106"/>
      <c r="SQF4" s="106"/>
      <c r="SQG4" s="106"/>
      <c r="SQH4" s="106"/>
      <c r="SQI4" s="106"/>
      <c r="SQJ4" s="106"/>
      <c r="SQK4" s="106"/>
      <c r="SQL4" s="106"/>
      <c r="SQM4" s="106"/>
      <c r="SQN4" s="106"/>
      <c r="SQO4" s="106"/>
      <c r="SQP4" s="106"/>
      <c r="SQQ4" s="106"/>
      <c r="SQR4" s="106"/>
      <c r="SQS4" s="106"/>
      <c r="SQT4" s="106"/>
      <c r="SQU4" s="106"/>
      <c r="SQV4" s="106"/>
      <c r="SQW4" s="106"/>
      <c r="SQX4" s="106"/>
      <c r="SQY4" s="106"/>
      <c r="SQZ4" s="106"/>
      <c r="SRA4" s="106"/>
      <c r="SRB4" s="106"/>
      <c r="SRC4" s="106"/>
      <c r="SRD4" s="106"/>
      <c r="SRE4" s="106"/>
      <c r="SRF4" s="106"/>
      <c r="SRG4" s="106"/>
      <c r="SRH4" s="106"/>
      <c r="SRI4" s="106"/>
      <c r="SRJ4" s="106"/>
      <c r="SRK4" s="106"/>
      <c r="SRL4" s="106"/>
      <c r="SRM4" s="106"/>
      <c r="SRN4" s="106"/>
      <c r="SRO4" s="106"/>
      <c r="SRP4" s="106"/>
      <c r="SRQ4" s="106"/>
      <c r="SRR4" s="106"/>
      <c r="SRS4" s="106"/>
      <c r="SRT4" s="106"/>
      <c r="SRU4" s="106"/>
      <c r="SRV4" s="106"/>
      <c r="SRW4" s="106"/>
      <c r="SRX4" s="106"/>
      <c r="SRY4" s="106"/>
      <c r="SRZ4" s="106"/>
      <c r="SSA4" s="106"/>
      <c r="SSB4" s="106"/>
      <c r="SSC4" s="106"/>
      <c r="SSD4" s="106"/>
      <c r="SSE4" s="106"/>
      <c r="SSF4" s="106"/>
      <c r="SSG4" s="106"/>
      <c r="SSH4" s="106"/>
      <c r="SSI4" s="106"/>
      <c r="SSJ4" s="106"/>
      <c r="SSK4" s="106"/>
      <c r="SSL4" s="106"/>
      <c r="SSM4" s="106"/>
      <c r="SSN4" s="106"/>
      <c r="SSO4" s="106"/>
      <c r="SSP4" s="106"/>
      <c r="SSQ4" s="106"/>
      <c r="SSR4" s="106"/>
      <c r="SSS4" s="106"/>
      <c r="SST4" s="106"/>
      <c r="SSU4" s="106"/>
      <c r="SSV4" s="106"/>
      <c r="SSW4" s="106"/>
      <c r="SSX4" s="106"/>
      <c r="SSY4" s="106"/>
      <c r="SSZ4" s="106"/>
      <c r="STA4" s="106"/>
      <c r="STB4" s="106"/>
      <c r="STC4" s="106"/>
      <c r="STD4" s="106"/>
      <c r="STE4" s="106"/>
      <c r="STF4" s="106"/>
      <c r="STG4" s="106"/>
      <c r="STH4" s="106"/>
      <c r="STI4" s="106"/>
      <c r="STJ4" s="106"/>
      <c r="STK4" s="106"/>
      <c r="STL4" s="106"/>
      <c r="STM4" s="106"/>
      <c r="STN4" s="106"/>
      <c r="STO4" s="106"/>
      <c r="STP4" s="106"/>
      <c r="STQ4" s="106"/>
      <c r="STR4" s="106"/>
      <c r="STS4" s="106"/>
      <c r="STT4" s="106"/>
      <c r="STU4" s="106"/>
      <c r="STV4" s="106"/>
      <c r="STW4" s="106"/>
      <c r="STX4" s="106"/>
      <c r="STY4" s="106"/>
      <c r="STZ4" s="106"/>
      <c r="SUA4" s="106"/>
      <c r="SUB4" s="106"/>
      <c r="SUC4" s="106"/>
      <c r="SUD4" s="106"/>
      <c r="SUE4" s="106"/>
      <c r="SUF4" s="106"/>
      <c r="SUG4" s="106"/>
      <c r="SUH4" s="106"/>
      <c r="SUI4" s="106"/>
      <c r="SUJ4" s="106"/>
      <c r="SUK4" s="106"/>
      <c r="SUL4" s="106"/>
      <c r="SUM4" s="106"/>
      <c r="SUN4" s="106"/>
      <c r="SUO4" s="106"/>
      <c r="SUP4" s="106"/>
      <c r="SUQ4" s="106"/>
      <c r="SUR4" s="106"/>
      <c r="SUS4" s="106"/>
      <c r="SUT4" s="106"/>
      <c r="SUU4" s="106"/>
      <c r="SUV4" s="106"/>
      <c r="SUW4" s="106"/>
      <c r="SUX4" s="106"/>
      <c r="SUY4" s="106"/>
      <c r="SUZ4" s="106"/>
      <c r="SVA4" s="106"/>
      <c r="SVB4" s="106"/>
      <c r="SVC4" s="106"/>
      <c r="SVD4" s="106"/>
      <c r="SVE4" s="106"/>
      <c r="SVF4" s="106"/>
      <c r="SVG4" s="106"/>
      <c r="SVH4" s="106"/>
      <c r="SVI4" s="106"/>
      <c r="SVJ4" s="106"/>
      <c r="SVK4" s="106"/>
      <c r="SVL4" s="106"/>
      <c r="SVM4" s="106"/>
      <c r="SVN4" s="106"/>
      <c r="SVO4" s="106"/>
      <c r="SVP4" s="106"/>
      <c r="SVQ4" s="106"/>
      <c r="SVR4" s="106"/>
      <c r="SVS4" s="106"/>
      <c r="SVT4" s="106"/>
      <c r="SVU4" s="106"/>
      <c r="SVV4" s="106"/>
      <c r="SVW4" s="106"/>
      <c r="SVX4" s="106"/>
      <c r="SVY4" s="106"/>
      <c r="SVZ4" s="106"/>
      <c r="SWA4" s="106"/>
      <c r="SWB4" s="106"/>
      <c r="SWC4" s="106"/>
      <c r="SWD4" s="106"/>
      <c r="SWE4" s="106"/>
      <c r="SWF4" s="106"/>
      <c r="SWG4" s="106"/>
      <c r="SWH4" s="106"/>
      <c r="SWI4" s="106"/>
      <c r="SWJ4" s="106"/>
      <c r="SWK4" s="106"/>
      <c r="SWL4" s="106"/>
      <c r="SWM4" s="106"/>
      <c r="SWN4" s="106"/>
      <c r="SWO4" s="106"/>
      <c r="SWP4" s="106"/>
      <c r="SWQ4" s="106"/>
      <c r="SWR4" s="106"/>
      <c r="SWS4" s="106"/>
      <c r="SWT4" s="106"/>
      <c r="SWU4" s="106"/>
      <c r="SWV4" s="106"/>
      <c r="SWW4" s="106"/>
      <c r="SWX4" s="106"/>
      <c r="SWY4" s="106"/>
      <c r="SWZ4" s="106"/>
      <c r="SXA4" s="106"/>
      <c r="SXB4" s="106"/>
      <c r="SXC4" s="106"/>
      <c r="SXD4" s="106"/>
      <c r="SXE4" s="106"/>
      <c r="SXF4" s="106"/>
      <c r="SXG4" s="106"/>
      <c r="SXH4" s="106"/>
      <c r="SXI4" s="106"/>
      <c r="SXJ4" s="106"/>
      <c r="SXK4" s="106"/>
      <c r="SXL4" s="106"/>
      <c r="SXM4" s="106"/>
      <c r="SXN4" s="106"/>
      <c r="SXO4" s="106"/>
      <c r="SXP4" s="106"/>
      <c r="SXQ4" s="106"/>
      <c r="SXR4" s="106"/>
      <c r="SXS4" s="106"/>
      <c r="SXT4" s="106"/>
      <c r="SXU4" s="106"/>
      <c r="SXV4" s="106"/>
      <c r="SXW4" s="106"/>
      <c r="SXX4" s="106"/>
      <c r="SXY4" s="106"/>
      <c r="SXZ4" s="106"/>
      <c r="SYA4" s="106"/>
      <c r="SYB4" s="106"/>
      <c r="SYC4" s="106"/>
      <c r="SYD4" s="106"/>
      <c r="SYE4" s="106"/>
      <c r="SYF4" s="106"/>
      <c r="SYG4" s="106"/>
      <c r="SYH4" s="106"/>
      <c r="SYI4" s="106"/>
      <c r="SYJ4" s="106"/>
      <c r="SYK4" s="106"/>
      <c r="SYL4" s="106"/>
      <c r="SYM4" s="106"/>
      <c r="SYN4" s="106"/>
      <c r="SYO4" s="106"/>
      <c r="SYP4" s="106"/>
      <c r="SYQ4" s="106"/>
      <c r="SYR4" s="106"/>
      <c r="SYS4" s="106"/>
      <c r="SYT4" s="106"/>
      <c r="SYU4" s="106"/>
      <c r="SYV4" s="106"/>
      <c r="SYW4" s="106"/>
      <c r="SYX4" s="106"/>
      <c r="SYY4" s="106"/>
      <c r="SYZ4" s="106"/>
      <c r="SZA4" s="106"/>
      <c r="SZB4" s="106"/>
      <c r="SZC4" s="106"/>
      <c r="SZD4" s="106"/>
      <c r="SZE4" s="106"/>
      <c r="SZF4" s="106"/>
      <c r="SZG4" s="106"/>
      <c r="SZH4" s="106"/>
      <c r="SZI4" s="106"/>
      <c r="SZJ4" s="106"/>
      <c r="SZK4" s="106"/>
      <c r="SZL4" s="106"/>
      <c r="SZM4" s="106"/>
      <c r="SZN4" s="106"/>
      <c r="SZO4" s="106"/>
      <c r="SZP4" s="106"/>
      <c r="SZQ4" s="106"/>
      <c r="SZR4" s="106"/>
      <c r="SZS4" s="106"/>
      <c r="SZT4" s="106"/>
      <c r="SZU4" s="106"/>
      <c r="SZV4" s="106"/>
      <c r="SZW4" s="106"/>
      <c r="SZX4" s="106"/>
      <c r="SZY4" s="106"/>
      <c r="SZZ4" s="106"/>
      <c r="TAA4" s="106"/>
      <c r="TAB4" s="106"/>
      <c r="TAC4" s="106"/>
      <c r="TAD4" s="106"/>
      <c r="TAE4" s="106"/>
      <c r="TAF4" s="106"/>
      <c r="TAG4" s="106"/>
      <c r="TAH4" s="106"/>
      <c r="TAI4" s="106"/>
      <c r="TAJ4" s="106"/>
      <c r="TAK4" s="106"/>
      <c r="TAL4" s="106"/>
      <c r="TAM4" s="106"/>
      <c r="TAN4" s="106"/>
      <c r="TAO4" s="106"/>
      <c r="TAP4" s="106"/>
      <c r="TAQ4" s="106"/>
      <c r="TAR4" s="106"/>
      <c r="TAS4" s="106"/>
      <c r="TAT4" s="106"/>
      <c r="TAU4" s="106"/>
      <c r="TAV4" s="106"/>
      <c r="TAW4" s="106"/>
      <c r="TAX4" s="106"/>
      <c r="TAY4" s="106"/>
      <c r="TAZ4" s="106"/>
      <c r="TBA4" s="106"/>
      <c r="TBB4" s="106"/>
      <c r="TBC4" s="106"/>
      <c r="TBD4" s="106"/>
      <c r="TBE4" s="106"/>
      <c r="TBF4" s="106"/>
      <c r="TBG4" s="106"/>
      <c r="TBH4" s="106"/>
      <c r="TBI4" s="106"/>
      <c r="TBJ4" s="106"/>
      <c r="TBK4" s="106"/>
      <c r="TBL4" s="106"/>
      <c r="TBM4" s="106"/>
      <c r="TBN4" s="106"/>
      <c r="TBO4" s="106"/>
      <c r="TBP4" s="106"/>
      <c r="TBQ4" s="106"/>
      <c r="TBR4" s="106"/>
      <c r="TBS4" s="106"/>
      <c r="TBT4" s="106"/>
      <c r="TBU4" s="106"/>
      <c r="TBV4" s="106"/>
      <c r="TBW4" s="106"/>
      <c r="TBX4" s="106"/>
      <c r="TBY4" s="106"/>
      <c r="TBZ4" s="106"/>
      <c r="TCA4" s="106"/>
      <c r="TCB4" s="106"/>
      <c r="TCC4" s="106"/>
      <c r="TCD4" s="106"/>
      <c r="TCE4" s="106"/>
      <c r="TCF4" s="106"/>
      <c r="TCG4" s="106"/>
      <c r="TCH4" s="106"/>
      <c r="TCI4" s="106"/>
      <c r="TCJ4" s="106"/>
      <c r="TCK4" s="106"/>
      <c r="TCL4" s="106"/>
      <c r="TCM4" s="106"/>
      <c r="TCN4" s="106"/>
      <c r="TCO4" s="106"/>
      <c r="TCP4" s="106"/>
      <c r="TCQ4" s="106"/>
      <c r="TCR4" s="106"/>
      <c r="TCS4" s="106"/>
      <c r="TCT4" s="106"/>
      <c r="TCU4" s="106"/>
      <c r="TCV4" s="106"/>
      <c r="TCW4" s="106"/>
      <c r="TCX4" s="106"/>
      <c r="TCY4" s="106"/>
      <c r="TCZ4" s="106"/>
      <c r="TDA4" s="106"/>
      <c r="TDB4" s="106"/>
      <c r="TDC4" s="106"/>
      <c r="TDD4" s="106"/>
      <c r="TDE4" s="106"/>
      <c r="TDF4" s="106"/>
      <c r="TDG4" s="106"/>
      <c r="TDH4" s="106"/>
      <c r="TDI4" s="106"/>
      <c r="TDJ4" s="106"/>
      <c r="TDK4" s="106"/>
      <c r="TDL4" s="106"/>
      <c r="TDM4" s="106"/>
      <c r="TDN4" s="106"/>
      <c r="TDO4" s="106"/>
      <c r="TDP4" s="106"/>
      <c r="TDQ4" s="106"/>
      <c r="TDR4" s="106"/>
      <c r="TDS4" s="106"/>
      <c r="TDT4" s="106"/>
      <c r="TDU4" s="106"/>
      <c r="TDV4" s="106"/>
      <c r="TDW4" s="106"/>
      <c r="TDX4" s="106"/>
      <c r="TDY4" s="106"/>
      <c r="TDZ4" s="106"/>
      <c r="TEA4" s="106"/>
      <c r="TEB4" s="106"/>
      <c r="TEC4" s="106"/>
      <c r="TED4" s="106"/>
      <c r="TEE4" s="106"/>
      <c r="TEF4" s="106"/>
      <c r="TEG4" s="106"/>
      <c r="TEH4" s="106"/>
      <c r="TEI4" s="106"/>
      <c r="TEJ4" s="106"/>
      <c r="TEK4" s="106"/>
      <c r="TEL4" s="106"/>
      <c r="TEM4" s="106"/>
      <c r="TEN4" s="106"/>
      <c r="TEO4" s="106"/>
      <c r="TEP4" s="106"/>
      <c r="TEQ4" s="106"/>
      <c r="TER4" s="106"/>
      <c r="TES4" s="106"/>
      <c r="TET4" s="106"/>
      <c r="TEU4" s="106"/>
      <c r="TEV4" s="106"/>
      <c r="TEW4" s="106"/>
      <c r="TEX4" s="106"/>
      <c r="TEY4" s="106"/>
      <c r="TEZ4" s="106"/>
      <c r="TFA4" s="106"/>
      <c r="TFB4" s="106"/>
      <c r="TFC4" s="106"/>
      <c r="TFD4" s="106"/>
      <c r="TFE4" s="106"/>
      <c r="TFF4" s="106"/>
      <c r="TFG4" s="106"/>
      <c r="TFH4" s="106"/>
      <c r="TFI4" s="106"/>
      <c r="TFJ4" s="106"/>
      <c r="TFK4" s="106"/>
      <c r="TFL4" s="106"/>
      <c r="TFM4" s="106"/>
      <c r="TFN4" s="106"/>
      <c r="TFO4" s="106"/>
      <c r="TFP4" s="106"/>
      <c r="TFQ4" s="106"/>
      <c r="TFR4" s="106"/>
      <c r="TFS4" s="106"/>
      <c r="TFT4" s="106"/>
      <c r="TFU4" s="106"/>
      <c r="TFV4" s="106"/>
      <c r="TFW4" s="106"/>
      <c r="TFX4" s="106"/>
      <c r="TFY4" s="106"/>
      <c r="TFZ4" s="106"/>
      <c r="TGA4" s="106"/>
      <c r="TGB4" s="106"/>
      <c r="TGC4" s="106"/>
      <c r="TGD4" s="106"/>
      <c r="TGE4" s="106"/>
      <c r="TGF4" s="106"/>
      <c r="TGG4" s="106"/>
      <c r="TGH4" s="106"/>
      <c r="TGI4" s="106"/>
      <c r="TGJ4" s="106"/>
      <c r="TGK4" s="106"/>
      <c r="TGL4" s="106"/>
      <c r="TGM4" s="106"/>
      <c r="TGN4" s="106"/>
      <c r="TGO4" s="106"/>
      <c r="TGP4" s="106"/>
      <c r="TGQ4" s="106"/>
      <c r="TGR4" s="106"/>
      <c r="TGS4" s="106"/>
      <c r="TGT4" s="106"/>
      <c r="TGU4" s="106"/>
      <c r="TGV4" s="106"/>
      <c r="TGW4" s="106"/>
      <c r="TGX4" s="106"/>
      <c r="TGY4" s="106"/>
      <c r="TGZ4" s="106"/>
      <c r="THA4" s="106"/>
      <c r="THB4" s="106"/>
      <c r="THC4" s="106"/>
      <c r="THD4" s="106"/>
      <c r="THE4" s="106"/>
      <c r="THF4" s="106"/>
      <c r="THG4" s="106"/>
      <c r="THH4" s="106"/>
      <c r="THI4" s="106"/>
      <c r="THJ4" s="106"/>
      <c r="THK4" s="106"/>
      <c r="THL4" s="106"/>
      <c r="THM4" s="106"/>
      <c r="THN4" s="106"/>
      <c r="THO4" s="106"/>
      <c r="THP4" s="106"/>
      <c r="THQ4" s="106"/>
      <c r="THR4" s="106"/>
      <c r="THS4" s="106"/>
      <c r="THT4" s="106"/>
      <c r="THU4" s="106"/>
      <c r="THV4" s="106"/>
      <c r="THW4" s="106"/>
      <c r="THX4" s="106"/>
      <c r="THY4" s="106"/>
      <c r="THZ4" s="106"/>
      <c r="TIA4" s="106"/>
      <c r="TIB4" s="106"/>
      <c r="TIC4" s="106"/>
      <c r="TID4" s="106"/>
      <c r="TIE4" s="106"/>
      <c r="TIF4" s="106"/>
      <c r="TIG4" s="106"/>
      <c r="TIH4" s="106"/>
      <c r="TII4" s="106"/>
      <c r="TIJ4" s="106"/>
      <c r="TIK4" s="106"/>
      <c r="TIL4" s="106"/>
      <c r="TIM4" s="106"/>
      <c r="TIN4" s="106"/>
      <c r="TIO4" s="106"/>
      <c r="TIP4" s="106"/>
      <c r="TIQ4" s="106"/>
      <c r="TIR4" s="106"/>
      <c r="TIS4" s="106"/>
      <c r="TIT4" s="106"/>
      <c r="TIU4" s="106"/>
      <c r="TIV4" s="106"/>
      <c r="TIW4" s="106"/>
      <c r="TIX4" s="106"/>
      <c r="TIY4" s="106"/>
      <c r="TIZ4" s="106"/>
      <c r="TJA4" s="106"/>
      <c r="TJB4" s="106"/>
      <c r="TJC4" s="106"/>
      <c r="TJD4" s="106"/>
      <c r="TJE4" s="106"/>
      <c r="TJF4" s="106"/>
      <c r="TJG4" s="106"/>
      <c r="TJH4" s="106"/>
      <c r="TJI4" s="106"/>
      <c r="TJJ4" s="106"/>
      <c r="TJK4" s="106"/>
      <c r="TJL4" s="106"/>
      <c r="TJM4" s="106"/>
      <c r="TJN4" s="106"/>
      <c r="TJO4" s="106"/>
      <c r="TJP4" s="106"/>
      <c r="TJQ4" s="106"/>
      <c r="TJR4" s="106"/>
      <c r="TJS4" s="106"/>
      <c r="TJT4" s="106"/>
      <c r="TJU4" s="106"/>
      <c r="TJV4" s="106"/>
      <c r="TJW4" s="106"/>
      <c r="TJX4" s="106"/>
      <c r="TJY4" s="106"/>
      <c r="TJZ4" s="106"/>
      <c r="TKA4" s="106"/>
      <c r="TKB4" s="106"/>
      <c r="TKC4" s="106"/>
      <c r="TKD4" s="106"/>
      <c r="TKE4" s="106"/>
      <c r="TKF4" s="106"/>
      <c r="TKG4" s="106"/>
      <c r="TKH4" s="106"/>
      <c r="TKI4" s="106"/>
      <c r="TKJ4" s="106"/>
      <c r="TKK4" s="106"/>
      <c r="TKL4" s="106"/>
      <c r="TKM4" s="106"/>
      <c r="TKN4" s="106"/>
      <c r="TKO4" s="106"/>
      <c r="TKP4" s="106"/>
      <c r="TKQ4" s="106"/>
      <c r="TKR4" s="106"/>
      <c r="TKS4" s="106"/>
      <c r="TKT4" s="106"/>
      <c r="TKU4" s="106"/>
      <c r="TKV4" s="106"/>
      <c r="TKW4" s="106"/>
      <c r="TKX4" s="106"/>
      <c r="TKY4" s="106"/>
      <c r="TKZ4" s="106"/>
      <c r="TLA4" s="106"/>
      <c r="TLB4" s="106"/>
      <c r="TLC4" s="106"/>
      <c r="TLD4" s="106"/>
      <c r="TLE4" s="106"/>
      <c r="TLF4" s="106"/>
      <c r="TLG4" s="106"/>
      <c r="TLH4" s="106"/>
      <c r="TLI4" s="106"/>
      <c r="TLJ4" s="106"/>
      <c r="TLK4" s="106"/>
      <c r="TLL4" s="106"/>
      <c r="TLM4" s="106"/>
      <c r="TLN4" s="106"/>
      <c r="TLO4" s="106"/>
      <c r="TLP4" s="106"/>
      <c r="TLQ4" s="106"/>
      <c r="TLR4" s="106"/>
      <c r="TLS4" s="106"/>
      <c r="TLT4" s="106"/>
      <c r="TLU4" s="106"/>
      <c r="TLV4" s="106"/>
      <c r="TLW4" s="106"/>
      <c r="TLX4" s="106"/>
      <c r="TLY4" s="106"/>
      <c r="TLZ4" s="106"/>
      <c r="TMA4" s="106"/>
      <c r="TMB4" s="106"/>
      <c r="TMC4" s="106"/>
      <c r="TMD4" s="106"/>
      <c r="TME4" s="106"/>
      <c r="TMF4" s="106"/>
      <c r="TMG4" s="106"/>
      <c r="TMH4" s="106"/>
      <c r="TMI4" s="106"/>
      <c r="TMJ4" s="106"/>
      <c r="TMK4" s="106"/>
      <c r="TML4" s="106"/>
      <c r="TMM4" s="106"/>
      <c r="TMN4" s="106"/>
      <c r="TMO4" s="106"/>
      <c r="TMP4" s="106"/>
      <c r="TMQ4" s="106"/>
      <c r="TMR4" s="106"/>
      <c r="TMS4" s="106"/>
      <c r="TMT4" s="106"/>
      <c r="TMU4" s="106"/>
      <c r="TMV4" s="106"/>
      <c r="TMW4" s="106"/>
      <c r="TMX4" s="106"/>
      <c r="TMY4" s="106"/>
      <c r="TMZ4" s="106"/>
      <c r="TNA4" s="106"/>
      <c r="TNB4" s="106"/>
      <c r="TNC4" s="106"/>
      <c r="TND4" s="106"/>
      <c r="TNE4" s="106"/>
      <c r="TNF4" s="106"/>
      <c r="TNG4" s="106"/>
      <c r="TNH4" s="106"/>
      <c r="TNI4" s="106"/>
      <c r="TNJ4" s="106"/>
      <c r="TNK4" s="106"/>
      <c r="TNL4" s="106"/>
      <c r="TNM4" s="106"/>
      <c r="TNN4" s="106"/>
      <c r="TNO4" s="106"/>
      <c r="TNP4" s="106"/>
      <c r="TNQ4" s="106"/>
      <c r="TNR4" s="106"/>
      <c r="TNS4" s="106"/>
      <c r="TNT4" s="106"/>
      <c r="TNU4" s="106"/>
      <c r="TNV4" s="106"/>
      <c r="TNW4" s="106"/>
      <c r="TNX4" s="106"/>
      <c r="TNY4" s="106"/>
      <c r="TNZ4" s="106"/>
      <c r="TOA4" s="106"/>
      <c r="TOB4" s="106"/>
      <c r="TOC4" s="106"/>
      <c r="TOD4" s="106"/>
      <c r="TOE4" s="106"/>
      <c r="TOF4" s="106"/>
      <c r="TOG4" s="106"/>
      <c r="TOH4" s="106"/>
      <c r="TOI4" s="106"/>
      <c r="TOJ4" s="106"/>
      <c r="TOK4" s="106"/>
      <c r="TOL4" s="106"/>
      <c r="TOM4" s="106"/>
      <c r="TON4" s="106"/>
      <c r="TOO4" s="106"/>
      <c r="TOP4" s="106"/>
      <c r="TOQ4" s="106"/>
      <c r="TOR4" s="106"/>
      <c r="TOS4" s="106"/>
      <c r="TOT4" s="106"/>
      <c r="TOU4" s="106"/>
      <c r="TOV4" s="106"/>
      <c r="TOW4" s="106"/>
      <c r="TOX4" s="106"/>
      <c r="TOY4" s="106"/>
      <c r="TOZ4" s="106"/>
      <c r="TPA4" s="106"/>
      <c r="TPB4" s="106"/>
      <c r="TPC4" s="106"/>
      <c r="TPD4" s="106"/>
      <c r="TPE4" s="106"/>
      <c r="TPF4" s="106"/>
      <c r="TPG4" s="106"/>
      <c r="TPH4" s="106"/>
      <c r="TPI4" s="106"/>
      <c r="TPJ4" s="106"/>
      <c r="TPK4" s="106"/>
      <c r="TPL4" s="106"/>
      <c r="TPM4" s="106"/>
      <c r="TPN4" s="106"/>
      <c r="TPO4" s="106"/>
      <c r="TPP4" s="106"/>
      <c r="TPQ4" s="106"/>
      <c r="TPR4" s="106"/>
      <c r="TPS4" s="106"/>
      <c r="TPT4" s="106"/>
      <c r="TPU4" s="106"/>
      <c r="TPV4" s="106"/>
      <c r="TPW4" s="106"/>
      <c r="TPX4" s="106"/>
      <c r="TPY4" s="106"/>
      <c r="TPZ4" s="106"/>
      <c r="TQA4" s="106"/>
      <c r="TQB4" s="106"/>
      <c r="TQC4" s="106"/>
      <c r="TQD4" s="106"/>
      <c r="TQE4" s="106"/>
      <c r="TQF4" s="106"/>
      <c r="TQG4" s="106"/>
      <c r="TQH4" s="106"/>
      <c r="TQI4" s="106"/>
      <c r="TQJ4" s="106"/>
      <c r="TQK4" s="106"/>
      <c r="TQL4" s="106"/>
      <c r="TQM4" s="106"/>
      <c r="TQN4" s="106"/>
      <c r="TQO4" s="106"/>
      <c r="TQP4" s="106"/>
      <c r="TQQ4" s="106"/>
      <c r="TQR4" s="106"/>
      <c r="TQS4" s="106"/>
      <c r="TQT4" s="106"/>
      <c r="TQU4" s="106"/>
      <c r="TQV4" s="106"/>
      <c r="TQW4" s="106"/>
      <c r="TQX4" s="106"/>
      <c r="TQY4" s="106"/>
      <c r="TQZ4" s="106"/>
      <c r="TRA4" s="106"/>
      <c r="TRB4" s="106"/>
      <c r="TRC4" s="106"/>
      <c r="TRD4" s="106"/>
      <c r="TRE4" s="106"/>
      <c r="TRF4" s="106"/>
      <c r="TRG4" s="106"/>
      <c r="TRH4" s="106"/>
      <c r="TRI4" s="106"/>
      <c r="TRJ4" s="106"/>
      <c r="TRK4" s="106"/>
      <c r="TRL4" s="106"/>
      <c r="TRM4" s="106"/>
      <c r="TRN4" s="106"/>
      <c r="TRO4" s="106"/>
      <c r="TRP4" s="106"/>
      <c r="TRQ4" s="106"/>
      <c r="TRR4" s="106"/>
      <c r="TRS4" s="106"/>
      <c r="TRT4" s="106"/>
      <c r="TRU4" s="106"/>
      <c r="TRV4" s="106"/>
      <c r="TRW4" s="106"/>
      <c r="TRX4" s="106"/>
      <c r="TRY4" s="106"/>
      <c r="TRZ4" s="106"/>
      <c r="TSA4" s="106"/>
      <c r="TSB4" s="106"/>
      <c r="TSC4" s="106"/>
      <c r="TSD4" s="106"/>
      <c r="TSE4" s="106"/>
      <c r="TSF4" s="106"/>
      <c r="TSG4" s="106"/>
      <c r="TSH4" s="106"/>
      <c r="TSI4" s="106"/>
      <c r="TSJ4" s="106"/>
      <c r="TSK4" s="106"/>
      <c r="TSL4" s="106"/>
      <c r="TSM4" s="106"/>
      <c r="TSN4" s="106"/>
      <c r="TSO4" s="106"/>
      <c r="TSP4" s="106"/>
      <c r="TSQ4" s="106"/>
      <c r="TSR4" s="106"/>
      <c r="TSS4" s="106"/>
      <c r="TST4" s="106"/>
      <c r="TSU4" s="106"/>
      <c r="TSV4" s="106"/>
      <c r="TSW4" s="106"/>
      <c r="TSX4" s="106"/>
      <c r="TSY4" s="106"/>
      <c r="TSZ4" s="106"/>
      <c r="TTA4" s="106"/>
      <c r="TTB4" s="106"/>
      <c r="TTC4" s="106"/>
      <c r="TTD4" s="106"/>
      <c r="TTE4" s="106"/>
      <c r="TTF4" s="106"/>
      <c r="TTG4" s="106"/>
      <c r="TTH4" s="106"/>
      <c r="TTI4" s="106"/>
      <c r="TTJ4" s="106"/>
      <c r="TTK4" s="106"/>
      <c r="TTL4" s="106"/>
      <c r="TTM4" s="106"/>
      <c r="TTN4" s="106"/>
      <c r="TTO4" s="106"/>
      <c r="TTP4" s="106"/>
      <c r="TTQ4" s="106"/>
      <c r="TTR4" s="106"/>
      <c r="TTS4" s="106"/>
      <c r="TTT4" s="106"/>
      <c r="TTU4" s="106"/>
      <c r="TTV4" s="106"/>
      <c r="TTW4" s="106"/>
      <c r="TTX4" s="106"/>
      <c r="TTY4" s="106"/>
      <c r="TTZ4" s="106"/>
      <c r="TUA4" s="106"/>
      <c r="TUB4" s="106"/>
      <c r="TUC4" s="106"/>
      <c r="TUD4" s="106"/>
      <c r="TUE4" s="106"/>
      <c r="TUF4" s="106"/>
      <c r="TUG4" s="106"/>
      <c r="TUH4" s="106"/>
      <c r="TUI4" s="106"/>
      <c r="TUJ4" s="106"/>
      <c r="TUK4" s="106"/>
      <c r="TUL4" s="106"/>
      <c r="TUM4" s="106"/>
      <c r="TUN4" s="106"/>
      <c r="TUO4" s="106"/>
      <c r="TUP4" s="106"/>
      <c r="TUQ4" s="106"/>
      <c r="TUR4" s="106"/>
      <c r="TUS4" s="106"/>
      <c r="TUT4" s="106"/>
      <c r="TUU4" s="106"/>
      <c r="TUV4" s="106"/>
      <c r="TUW4" s="106"/>
      <c r="TUX4" s="106"/>
      <c r="TUY4" s="106"/>
      <c r="TUZ4" s="106"/>
      <c r="TVA4" s="106"/>
      <c r="TVB4" s="106"/>
      <c r="TVC4" s="106"/>
      <c r="TVD4" s="106"/>
      <c r="TVE4" s="106"/>
      <c r="TVF4" s="106"/>
      <c r="TVG4" s="106"/>
      <c r="TVH4" s="106"/>
      <c r="TVI4" s="106"/>
      <c r="TVJ4" s="106"/>
      <c r="TVK4" s="106"/>
      <c r="TVL4" s="106"/>
      <c r="TVM4" s="106"/>
      <c r="TVN4" s="106"/>
      <c r="TVO4" s="106"/>
      <c r="TVP4" s="106"/>
      <c r="TVQ4" s="106"/>
      <c r="TVR4" s="106"/>
      <c r="TVS4" s="106"/>
      <c r="TVT4" s="106"/>
      <c r="TVU4" s="106"/>
      <c r="TVV4" s="106"/>
      <c r="TVW4" s="106"/>
      <c r="TVX4" s="106"/>
      <c r="TVY4" s="106"/>
      <c r="TVZ4" s="106"/>
      <c r="TWA4" s="106"/>
      <c r="TWB4" s="106"/>
      <c r="TWC4" s="106"/>
      <c r="TWD4" s="106"/>
      <c r="TWE4" s="106"/>
      <c r="TWF4" s="106"/>
      <c r="TWG4" s="106"/>
      <c r="TWH4" s="106"/>
      <c r="TWI4" s="106"/>
      <c r="TWJ4" s="106"/>
      <c r="TWK4" s="106"/>
      <c r="TWL4" s="106"/>
      <c r="TWM4" s="106"/>
      <c r="TWN4" s="106"/>
      <c r="TWO4" s="106"/>
      <c r="TWP4" s="106"/>
      <c r="TWQ4" s="106"/>
      <c r="TWR4" s="106"/>
      <c r="TWS4" s="106"/>
      <c r="TWT4" s="106"/>
      <c r="TWU4" s="106"/>
      <c r="TWV4" s="106"/>
      <c r="TWW4" s="106"/>
      <c r="TWX4" s="106"/>
      <c r="TWY4" s="106"/>
      <c r="TWZ4" s="106"/>
      <c r="TXA4" s="106"/>
      <c r="TXB4" s="106"/>
      <c r="TXC4" s="106"/>
      <c r="TXD4" s="106"/>
      <c r="TXE4" s="106"/>
      <c r="TXF4" s="106"/>
      <c r="TXG4" s="106"/>
      <c r="TXH4" s="106"/>
      <c r="TXI4" s="106"/>
      <c r="TXJ4" s="106"/>
      <c r="TXK4" s="106"/>
      <c r="TXL4" s="106"/>
      <c r="TXM4" s="106"/>
      <c r="TXN4" s="106"/>
      <c r="TXO4" s="106"/>
      <c r="TXP4" s="106"/>
      <c r="TXQ4" s="106"/>
      <c r="TXR4" s="106"/>
      <c r="TXS4" s="106"/>
      <c r="TXT4" s="106"/>
      <c r="TXU4" s="106"/>
      <c r="TXV4" s="106"/>
      <c r="TXW4" s="106"/>
      <c r="TXX4" s="106"/>
      <c r="TXY4" s="106"/>
      <c r="TXZ4" s="106"/>
      <c r="TYA4" s="106"/>
      <c r="TYB4" s="106"/>
      <c r="TYC4" s="106"/>
      <c r="TYD4" s="106"/>
      <c r="TYE4" s="106"/>
      <c r="TYF4" s="106"/>
      <c r="TYG4" s="106"/>
      <c r="TYH4" s="106"/>
      <c r="TYI4" s="106"/>
      <c r="TYJ4" s="106"/>
      <c r="TYK4" s="106"/>
      <c r="TYL4" s="106"/>
      <c r="TYM4" s="106"/>
      <c r="TYN4" s="106"/>
      <c r="TYO4" s="106"/>
      <c r="TYP4" s="106"/>
      <c r="TYQ4" s="106"/>
      <c r="TYR4" s="106"/>
      <c r="TYS4" s="106"/>
      <c r="TYT4" s="106"/>
      <c r="TYU4" s="106"/>
      <c r="TYV4" s="106"/>
      <c r="TYW4" s="106"/>
      <c r="TYX4" s="106"/>
      <c r="TYY4" s="106"/>
      <c r="TYZ4" s="106"/>
      <c r="TZA4" s="106"/>
      <c r="TZB4" s="106"/>
      <c r="TZC4" s="106"/>
      <c r="TZD4" s="106"/>
      <c r="TZE4" s="106"/>
      <c r="TZF4" s="106"/>
      <c r="TZG4" s="106"/>
      <c r="TZH4" s="106"/>
      <c r="TZI4" s="106"/>
      <c r="TZJ4" s="106"/>
      <c r="TZK4" s="106"/>
      <c r="TZL4" s="106"/>
      <c r="TZM4" s="106"/>
      <c r="TZN4" s="106"/>
      <c r="TZO4" s="106"/>
      <c r="TZP4" s="106"/>
      <c r="TZQ4" s="106"/>
      <c r="TZR4" s="106"/>
      <c r="TZS4" s="106"/>
      <c r="TZT4" s="106"/>
      <c r="TZU4" s="106"/>
      <c r="TZV4" s="106"/>
      <c r="TZW4" s="106"/>
      <c r="TZX4" s="106"/>
      <c r="TZY4" s="106"/>
      <c r="TZZ4" s="106"/>
      <c r="UAA4" s="106"/>
      <c r="UAB4" s="106"/>
      <c r="UAC4" s="106"/>
      <c r="UAD4" s="106"/>
      <c r="UAE4" s="106"/>
      <c r="UAF4" s="106"/>
      <c r="UAG4" s="106"/>
      <c r="UAH4" s="106"/>
      <c r="UAI4" s="106"/>
      <c r="UAJ4" s="106"/>
      <c r="UAK4" s="106"/>
      <c r="UAL4" s="106"/>
      <c r="UAM4" s="106"/>
      <c r="UAN4" s="106"/>
      <c r="UAO4" s="106"/>
      <c r="UAP4" s="106"/>
      <c r="UAQ4" s="106"/>
      <c r="UAR4" s="106"/>
      <c r="UAS4" s="106"/>
      <c r="UAT4" s="106"/>
      <c r="UAU4" s="106"/>
      <c r="UAV4" s="106"/>
      <c r="UAW4" s="106"/>
      <c r="UAX4" s="106"/>
      <c r="UAY4" s="106"/>
      <c r="UAZ4" s="106"/>
      <c r="UBA4" s="106"/>
      <c r="UBB4" s="106"/>
      <c r="UBC4" s="106"/>
      <c r="UBD4" s="106"/>
      <c r="UBE4" s="106"/>
      <c r="UBF4" s="106"/>
      <c r="UBG4" s="106"/>
      <c r="UBH4" s="106"/>
      <c r="UBI4" s="106"/>
      <c r="UBJ4" s="106"/>
      <c r="UBK4" s="106"/>
      <c r="UBL4" s="106"/>
      <c r="UBM4" s="106"/>
      <c r="UBN4" s="106"/>
      <c r="UBO4" s="106"/>
      <c r="UBP4" s="106"/>
      <c r="UBQ4" s="106"/>
      <c r="UBR4" s="106"/>
      <c r="UBS4" s="106"/>
      <c r="UBT4" s="106"/>
      <c r="UBU4" s="106"/>
      <c r="UBV4" s="106"/>
      <c r="UBW4" s="106"/>
      <c r="UBX4" s="106"/>
      <c r="UBY4" s="106"/>
      <c r="UBZ4" s="106"/>
      <c r="UCA4" s="106"/>
      <c r="UCB4" s="106"/>
      <c r="UCC4" s="106"/>
      <c r="UCD4" s="106"/>
      <c r="UCE4" s="106"/>
      <c r="UCF4" s="106"/>
      <c r="UCG4" s="106"/>
      <c r="UCH4" s="106"/>
      <c r="UCI4" s="106"/>
      <c r="UCJ4" s="106"/>
      <c r="UCK4" s="106"/>
      <c r="UCL4" s="106"/>
      <c r="UCM4" s="106"/>
      <c r="UCN4" s="106"/>
      <c r="UCO4" s="106"/>
      <c r="UCP4" s="106"/>
      <c r="UCQ4" s="106"/>
      <c r="UCR4" s="106"/>
      <c r="UCS4" s="106"/>
      <c r="UCT4" s="106"/>
      <c r="UCU4" s="106"/>
      <c r="UCV4" s="106"/>
      <c r="UCW4" s="106"/>
      <c r="UCX4" s="106"/>
      <c r="UCY4" s="106"/>
      <c r="UCZ4" s="106"/>
      <c r="UDA4" s="106"/>
      <c r="UDB4" s="106"/>
      <c r="UDC4" s="106"/>
      <c r="UDD4" s="106"/>
      <c r="UDE4" s="106"/>
      <c r="UDF4" s="106"/>
      <c r="UDG4" s="106"/>
      <c r="UDH4" s="106"/>
      <c r="UDI4" s="106"/>
      <c r="UDJ4" s="106"/>
      <c r="UDK4" s="106"/>
      <c r="UDL4" s="106"/>
      <c r="UDM4" s="106"/>
      <c r="UDN4" s="106"/>
      <c r="UDO4" s="106"/>
      <c r="UDP4" s="106"/>
      <c r="UDQ4" s="106"/>
      <c r="UDR4" s="106"/>
      <c r="UDS4" s="106"/>
      <c r="UDT4" s="106"/>
      <c r="UDU4" s="106"/>
      <c r="UDV4" s="106"/>
      <c r="UDW4" s="106"/>
      <c r="UDX4" s="106"/>
      <c r="UDY4" s="106"/>
      <c r="UDZ4" s="106"/>
      <c r="UEA4" s="106"/>
      <c r="UEB4" s="106"/>
      <c r="UEC4" s="106"/>
      <c r="UED4" s="106"/>
      <c r="UEE4" s="106"/>
      <c r="UEF4" s="106"/>
      <c r="UEG4" s="106"/>
      <c r="UEH4" s="106"/>
      <c r="UEI4" s="106"/>
      <c r="UEJ4" s="106"/>
      <c r="UEK4" s="106"/>
      <c r="UEL4" s="106"/>
      <c r="UEM4" s="106"/>
      <c r="UEN4" s="106"/>
      <c r="UEO4" s="106"/>
      <c r="UEP4" s="106"/>
      <c r="UEQ4" s="106"/>
      <c r="UER4" s="106"/>
      <c r="UES4" s="106"/>
      <c r="UET4" s="106"/>
      <c r="UEU4" s="106"/>
      <c r="UEV4" s="106"/>
      <c r="UEW4" s="106"/>
      <c r="UEX4" s="106"/>
      <c r="UEY4" s="106"/>
      <c r="UEZ4" s="106"/>
      <c r="UFA4" s="106"/>
      <c r="UFB4" s="106"/>
      <c r="UFC4" s="106"/>
      <c r="UFD4" s="106"/>
      <c r="UFE4" s="106"/>
      <c r="UFF4" s="106"/>
      <c r="UFG4" s="106"/>
      <c r="UFH4" s="106"/>
      <c r="UFI4" s="106"/>
      <c r="UFJ4" s="106"/>
      <c r="UFK4" s="106"/>
      <c r="UFL4" s="106"/>
      <c r="UFM4" s="106"/>
      <c r="UFN4" s="106"/>
      <c r="UFO4" s="106"/>
      <c r="UFP4" s="106"/>
      <c r="UFQ4" s="106"/>
      <c r="UFR4" s="106"/>
      <c r="UFS4" s="106"/>
      <c r="UFT4" s="106"/>
      <c r="UFU4" s="106"/>
      <c r="UFV4" s="106"/>
      <c r="UFW4" s="106"/>
      <c r="UFX4" s="106"/>
      <c r="UFY4" s="106"/>
      <c r="UFZ4" s="106"/>
      <c r="UGA4" s="106"/>
      <c r="UGB4" s="106"/>
      <c r="UGC4" s="106"/>
      <c r="UGD4" s="106"/>
      <c r="UGE4" s="106"/>
      <c r="UGF4" s="106"/>
      <c r="UGG4" s="106"/>
      <c r="UGH4" s="106"/>
      <c r="UGI4" s="106"/>
      <c r="UGJ4" s="106"/>
      <c r="UGK4" s="106"/>
      <c r="UGL4" s="106"/>
      <c r="UGM4" s="106"/>
      <c r="UGN4" s="106"/>
      <c r="UGO4" s="106"/>
      <c r="UGP4" s="106"/>
      <c r="UGQ4" s="106"/>
      <c r="UGR4" s="106"/>
      <c r="UGS4" s="106"/>
      <c r="UGT4" s="106"/>
      <c r="UGU4" s="106"/>
      <c r="UGV4" s="106"/>
      <c r="UGW4" s="106"/>
      <c r="UGX4" s="106"/>
      <c r="UGY4" s="106"/>
      <c r="UGZ4" s="106"/>
      <c r="UHA4" s="106"/>
      <c r="UHB4" s="106"/>
      <c r="UHC4" s="106"/>
      <c r="UHD4" s="106"/>
      <c r="UHE4" s="106"/>
      <c r="UHF4" s="106"/>
      <c r="UHG4" s="106"/>
      <c r="UHH4" s="106"/>
      <c r="UHI4" s="106"/>
      <c r="UHJ4" s="106"/>
      <c r="UHK4" s="106"/>
      <c r="UHL4" s="106"/>
      <c r="UHM4" s="106"/>
      <c r="UHN4" s="106"/>
      <c r="UHO4" s="106"/>
      <c r="UHP4" s="106"/>
      <c r="UHQ4" s="106"/>
      <c r="UHR4" s="106"/>
      <c r="UHS4" s="106"/>
      <c r="UHT4" s="106"/>
      <c r="UHU4" s="106"/>
      <c r="UHV4" s="106"/>
      <c r="UHW4" s="106"/>
      <c r="UHX4" s="106"/>
      <c r="UHY4" s="106"/>
      <c r="UHZ4" s="106"/>
      <c r="UIA4" s="106"/>
      <c r="UIB4" s="106"/>
      <c r="UIC4" s="106"/>
      <c r="UID4" s="106"/>
      <c r="UIE4" s="106"/>
      <c r="UIF4" s="106"/>
      <c r="UIG4" s="106"/>
      <c r="UIH4" s="106"/>
      <c r="UII4" s="106"/>
      <c r="UIJ4" s="106"/>
      <c r="UIK4" s="106"/>
      <c r="UIL4" s="106"/>
      <c r="UIM4" s="106"/>
      <c r="UIN4" s="106"/>
      <c r="UIO4" s="106"/>
      <c r="UIP4" s="106"/>
      <c r="UIQ4" s="106"/>
      <c r="UIR4" s="106"/>
      <c r="UIS4" s="106"/>
      <c r="UIT4" s="106"/>
      <c r="UIU4" s="106"/>
      <c r="UIV4" s="106"/>
      <c r="UIW4" s="106"/>
      <c r="UIX4" s="106"/>
      <c r="UIY4" s="106"/>
      <c r="UIZ4" s="106"/>
      <c r="UJA4" s="106"/>
      <c r="UJB4" s="106"/>
      <c r="UJC4" s="106"/>
      <c r="UJD4" s="106"/>
      <c r="UJE4" s="106"/>
      <c r="UJF4" s="106"/>
      <c r="UJG4" s="106"/>
      <c r="UJH4" s="106"/>
      <c r="UJI4" s="106"/>
      <c r="UJJ4" s="106"/>
      <c r="UJK4" s="106"/>
      <c r="UJL4" s="106"/>
      <c r="UJM4" s="106"/>
      <c r="UJN4" s="106"/>
      <c r="UJO4" s="106"/>
      <c r="UJP4" s="106"/>
      <c r="UJQ4" s="106"/>
      <c r="UJR4" s="106"/>
      <c r="UJS4" s="106"/>
      <c r="UJT4" s="106"/>
      <c r="UJU4" s="106"/>
      <c r="UJV4" s="106"/>
      <c r="UJW4" s="106"/>
      <c r="UJX4" s="106"/>
      <c r="UJY4" s="106"/>
      <c r="UJZ4" s="106"/>
      <c r="UKA4" s="106"/>
      <c r="UKB4" s="106"/>
      <c r="UKC4" s="106"/>
      <c r="UKD4" s="106"/>
      <c r="UKE4" s="106"/>
      <c r="UKF4" s="106"/>
      <c r="UKG4" s="106"/>
      <c r="UKH4" s="106"/>
      <c r="UKI4" s="106"/>
      <c r="UKJ4" s="106"/>
      <c r="UKK4" s="106"/>
      <c r="UKL4" s="106"/>
      <c r="UKM4" s="106"/>
      <c r="UKN4" s="106"/>
      <c r="UKO4" s="106"/>
      <c r="UKP4" s="106"/>
      <c r="UKQ4" s="106"/>
      <c r="UKR4" s="106"/>
      <c r="UKS4" s="106"/>
      <c r="UKT4" s="106"/>
      <c r="UKU4" s="106"/>
      <c r="UKV4" s="106"/>
      <c r="UKW4" s="106"/>
      <c r="UKX4" s="106"/>
      <c r="UKY4" s="106"/>
      <c r="UKZ4" s="106"/>
      <c r="ULA4" s="106"/>
      <c r="ULB4" s="106"/>
      <c r="ULC4" s="106"/>
      <c r="ULD4" s="106"/>
      <c r="ULE4" s="106"/>
      <c r="ULF4" s="106"/>
      <c r="ULG4" s="106"/>
      <c r="ULH4" s="106"/>
      <c r="ULI4" s="106"/>
      <c r="ULJ4" s="106"/>
      <c r="ULK4" s="106"/>
      <c r="ULL4" s="106"/>
      <c r="ULM4" s="106"/>
      <c r="ULN4" s="106"/>
      <c r="ULO4" s="106"/>
      <c r="ULP4" s="106"/>
      <c r="ULQ4" s="106"/>
      <c r="ULR4" s="106"/>
      <c r="ULS4" s="106"/>
      <c r="ULT4" s="106"/>
      <c r="ULU4" s="106"/>
      <c r="ULV4" s="106"/>
      <c r="ULW4" s="106"/>
      <c r="ULX4" s="106"/>
      <c r="ULY4" s="106"/>
      <c r="ULZ4" s="106"/>
      <c r="UMA4" s="106"/>
      <c r="UMB4" s="106"/>
      <c r="UMC4" s="106"/>
      <c r="UMD4" s="106"/>
      <c r="UME4" s="106"/>
      <c r="UMF4" s="106"/>
      <c r="UMG4" s="106"/>
      <c r="UMH4" s="106"/>
      <c r="UMI4" s="106"/>
      <c r="UMJ4" s="106"/>
      <c r="UMK4" s="106"/>
      <c r="UML4" s="106"/>
      <c r="UMM4" s="106"/>
      <c r="UMN4" s="106"/>
      <c r="UMO4" s="106"/>
      <c r="UMP4" s="106"/>
      <c r="UMQ4" s="106"/>
      <c r="UMR4" s="106"/>
      <c r="UMS4" s="106"/>
      <c r="UMT4" s="106"/>
      <c r="UMU4" s="106"/>
      <c r="UMV4" s="106"/>
      <c r="UMW4" s="106"/>
      <c r="UMX4" s="106"/>
      <c r="UMY4" s="106"/>
      <c r="UMZ4" s="106"/>
      <c r="UNA4" s="106"/>
      <c r="UNB4" s="106"/>
      <c r="UNC4" s="106"/>
      <c r="UND4" s="106"/>
      <c r="UNE4" s="106"/>
      <c r="UNF4" s="106"/>
      <c r="UNG4" s="106"/>
      <c r="UNH4" s="106"/>
      <c r="UNI4" s="106"/>
      <c r="UNJ4" s="106"/>
      <c r="UNK4" s="106"/>
      <c r="UNL4" s="106"/>
      <c r="UNM4" s="106"/>
      <c r="UNN4" s="106"/>
      <c r="UNO4" s="106"/>
      <c r="UNP4" s="106"/>
      <c r="UNQ4" s="106"/>
      <c r="UNR4" s="106"/>
      <c r="UNS4" s="106"/>
      <c r="UNT4" s="106"/>
      <c r="UNU4" s="106"/>
      <c r="UNV4" s="106"/>
      <c r="UNW4" s="106"/>
      <c r="UNX4" s="106"/>
      <c r="UNY4" s="106"/>
      <c r="UNZ4" s="106"/>
      <c r="UOA4" s="106"/>
      <c r="UOB4" s="106"/>
      <c r="UOC4" s="106"/>
      <c r="UOD4" s="106"/>
      <c r="UOE4" s="106"/>
      <c r="UOF4" s="106"/>
      <c r="UOG4" s="106"/>
      <c r="UOH4" s="106"/>
      <c r="UOI4" s="106"/>
      <c r="UOJ4" s="106"/>
      <c r="UOK4" s="106"/>
      <c r="UOL4" s="106"/>
      <c r="UOM4" s="106"/>
      <c r="UON4" s="106"/>
      <c r="UOO4" s="106"/>
      <c r="UOP4" s="106"/>
      <c r="UOQ4" s="106"/>
      <c r="UOR4" s="106"/>
      <c r="UOS4" s="106"/>
      <c r="UOT4" s="106"/>
      <c r="UOU4" s="106"/>
      <c r="UOV4" s="106"/>
      <c r="UOW4" s="106"/>
      <c r="UOX4" s="106"/>
      <c r="UOY4" s="106"/>
      <c r="UOZ4" s="106"/>
      <c r="UPA4" s="106"/>
      <c r="UPB4" s="106"/>
      <c r="UPC4" s="106"/>
      <c r="UPD4" s="106"/>
      <c r="UPE4" s="106"/>
      <c r="UPF4" s="106"/>
      <c r="UPG4" s="106"/>
      <c r="UPH4" s="106"/>
      <c r="UPI4" s="106"/>
      <c r="UPJ4" s="106"/>
      <c r="UPK4" s="106"/>
      <c r="UPL4" s="106"/>
      <c r="UPM4" s="106"/>
      <c r="UPN4" s="106"/>
      <c r="UPO4" s="106"/>
      <c r="UPP4" s="106"/>
      <c r="UPQ4" s="106"/>
      <c r="UPR4" s="106"/>
      <c r="UPS4" s="106"/>
      <c r="UPT4" s="106"/>
      <c r="UPU4" s="106"/>
      <c r="UPV4" s="106"/>
      <c r="UPW4" s="106"/>
      <c r="UPX4" s="106"/>
      <c r="UPY4" s="106"/>
      <c r="UPZ4" s="106"/>
      <c r="UQA4" s="106"/>
      <c r="UQB4" s="106"/>
      <c r="UQC4" s="106"/>
      <c r="UQD4" s="106"/>
      <c r="UQE4" s="106"/>
      <c r="UQF4" s="106"/>
      <c r="UQG4" s="106"/>
      <c r="UQH4" s="106"/>
      <c r="UQI4" s="106"/>
      <c r="UQJ4" s="106"/>
      <c r="UQK4" s="106"/>
      <c r="UQL4" s="106"/>
      <c r="UQM4" s="106"/>
      <c r="UQN4" s="106"/>
      <c r="UQO4" s="106"/>
      <c r="UQP4" s="106"/>
      <c r="UQQ4" s="106"/>
      <c r="UQR4" s="106"/>
      <c r="UQS4" s="106"/>
      <c r="UQT4" s="106"/>
      <c r="UQU4" s="106"/>
      <c r="UQV4" s="106"/>
      <c r="UQW4" s="106"/>
      <c r="UQX4" s="106"/>
      <c r="UQY4" s="106"/>
      <c r="UQZ4" s="106"/>
      <c r="URA4" s="106"/>
      <c r="URB4" s="106"/>
      <c r="URC4" s="106"/>
      <c r="URD4" s="106"/>
      <c r="URE4" s="106"/>
      <c r="URF4" s="106"/>
      <c r="URG4" s="106"/>
      <c r="URH4" s="106"/>
      <c r="URI4" s="106"/>
      <c r="URJ4" s="106"/>
      <c r="URK4" s="106"/>
      <c r="URL4" s="106"/>
      <c r="URM4" s="106"/>
      <c r="URN4" s="106"/>
      <c r="URO4" s="106"/>
      <c r="URP4" s="106"/>
      <c r="URQ4" s="106"/>
      <c r="URR4" s="106"/>
      <c r="URS4" s="106"/>
      <c r="URT4" s="106"/>
      <c r="URU4" s="106"/>
      <c r="URV4" s="106"/>
      <c r="URW4" s="106"/>
      <c r="URX4" s="106"/>
      <c r="URY4" s="106"/>
      <c r="URZ4" s="106"/>
      <c r="USA4" s="106"/>
      <c r="USB4" s="106"/>
      <c r="USC4" s="106"/>
      <c r="USD4" s="106"/>
      <c r="USE4" s="106"/>
      <c r="USF4" s="106"/>
      <c r="USG4" s="106"/>
      <c r="USH4" s="106"/>
      <c r="USI4" s="106"/>
      <c r="USJ4" s="106"/>
      <c r="USK4" s="106"/>
      <c r="USL4" s="106"/>
      <c r="USM4" s="106"/>
      <c r="USN4" s="106"/>
      <c r="USO4" s="106"/>
      <c r="USP4" s="106"/>
      <c r="USQ4" s="106"/>
      <c r="USR4" s="106"/>
      <c r="USS4" s="106"/>
      <c r="UST4" s="106"/>
      <c r="USU4" s="106"/>
      <c r="USV4" s="106"/>
      <c r="USW4" s="106"/>
      <c r="USX4" s="106"/>
      <c r="USY4" s="106"/>
      <c r="USZ4" s="106"/>
      <c r="UTA4" s="106"/>
      <c r="UTB4" s="106"/>
      <c r="UTC4" s="106"/>
      <c r="UTD4" s="106"/>
      <c r="UTE4" s="106"/>
      <c r="UTF4" s="106"/>
      <c r="UTG4" s="106"/>
      <c r="UTH4" s="106"/>
      <c r="UTI4" s="106"/>
      <c r="UTJ4" s="106"/>
      <c r="UTK4" s="106"/>
      <c r="UTL4" s="106"/>
      <c r="UTM4" s="106"/>
      <c r="UTN4" s="106"/>
      <c r="UTO4" s="106"/>
      <c r="UTP4" s="106"/>
      <c r="UTQ4" s="106"/>
      <c r="UTR4" s="106"/>
      <c r="UTS4" s="106"/>
      <c r="UTT4" s="106"/>
      <c r="UTU4" s="106"/>
      <c r="UTV4" s="106"/>
      <c r="UTW4" s="106"/>
      <c r="UTX4" s="106"/>
      <c r="UTY4" s="106"/>
      <c r="UTZ4" s="106"/>
      <c r="UUA4" s="106"/>
      <c r="UUB4" s="106"/>
      <c r="UUC4" s="106"/>
      <c r="UUD4" s="106"/>
      <c r="UUE4" s="106"/>
      <c r="UUF4" s="106"/>
      <c r="UUG4" s="106"/>
      <c r="UUH4" s="106"/>
      <c r="UUI4" s="106"/>
      <c r="UUJ4" s="106"/>
      <c r="UUK4" s="106"/>
      <c r="UUL4" s="106"/>
      <c r="UUM4" s="106"/>
      <c r="UUN4" s="106"/>
      <c r="UUO4" s="106"/>
      <c r="UUP4" s="106"/>
      <c r="UUQ4" s="106"/>
      <c r="UUR4" s="106"/>
      <c r="UUS4" s="106"/>
      <c r="UUT4" s="106"/>
      <c r="UUU4" s="106"/>
      <c r="UUV4" s="106"/>
      <c r="UUW4" s="106"/>
      <c r="UUX4" s="106"/>
      <c r="UUY4" s="106"/>
      <c r="UUZ4" s="106"/>
      <c r="UVA4" s="106"/>
      <c r="UVB4" s="106"/>
      <c r="UVC4" s="106"/>
      <c r="UVD4" s="106"/>
      <c r="UVE4" s="106"/>
      <c r="UVF4" s="106"/>
      <c r="UVG4" s="106"/>
      <c r="UVH4" s="106"/>
      <c r="UVI4" s="106"/>
      <c r="UVJ4" s="106"/>
      <c r="UVK4" s="106"/>
      <c r="UVL4" s="106"/>
      <c r="UVM4" s="106"/>
      <c r="UVN4" s="106"/>
      <c r="UVO4" s="106"/>
      <c r="UVP4" s="106"/>
      <c r="UVQ4" s="106"/>
      <c r="UVR4" s="106"/>
      <c r="UVS4" s="106"/>
      <c r="UVT4" s="106"/>
      <c r="UVU4" s="106"/>
      <c r="UVV4" s="106"/>
      <c r="UVW4" s="106"/>
      <c r="UVX4" s="106"/>
      <c r="UVY4" s="106"/>
      <c r="UVZ4" s="106"/>
      <c r="UWA4" s="106"/>
      <c r="UWB4" s="106"/>
      <c r="UWC4" s="106"/>
      <c r="UWD4" s="106"/>
      <c r="UWE4" s="106"/>
      <c r="UWF4" s="106"/>
      <c r="UWG4" s="106"/>
      <c r="UWH4" s="106"/>
      <c r="UWI4" s="106"/>
      <c r="UWJ4" s="106"/>
      <c r="UWK4" s="106"/>
      <c r="UWL4" s="106"/>
      <c r="UWM4" s="106"/>
      <c r="UWN4" s="106"/>
      <c r="UWO4" s="106"/>
      <c r="UWP4" s="106"/>
      <c r="UWQ4" s="106"/>
      <c r="UWR4" s="106"/>
      <c r="UWS4" s="106"/>
      <c r="UWT4" s="106"/>
      <c r="UWU4" s="106"/>
      <c r="UWV4" s="106"/>
      <c r="UWW4" s="106"/>
      <c r="UWX4" s="106"/>
      <c r="UWY4" s="106"/>
      <c r="UWZ4" s="106"/>
      <c r="UXA4" s="106"/>
      <c r="UXB4" s="106"/>
      <c r="UXC4" s="106"/>
      <c r="UXD4" s="106"/>
      <c r="UXE4" s="106"/>
      <c r="UXF4" s="106"/>
      <c r="UXG4" s="106"/>
      <c r="UXH4" s="106"/>
      <c r="UXI4" s="106"/>
      <c r="UXJ4" s="106"/>
      <c r="UXK4" s="106"/>
      <c r="UXL4" s="106"/>
      <c r="UXM4" s="106"/>
      <c r="UXN4" s="106"/>
      <c r="UXO4" s="106"/>
      <c r="UXP4" s="106"/>
      <c r="UXQ4" s="106"/>
      <c r="UXR4" s="106"/>
      <c r="UXS4" s="106"/>
      <c r="UXT4" s="106"/>
      <c r="UXU4" s="106"/>
      <c r="UXV4" s="106"/>
      <c r="UXW4" s="106"/>
      <c r="UXX4" s="106"/>
      <c r="UXY4" s="106"/>
      <c r="UXZ4" s="106"/>
      <c r="UYA4" s="106"/>
      <c r="UYB4" s="106"/>
      <c r="UYC4" s="106"/>
      <c r="UYD4" s="106"/>
      <c r="UYE4" s="106"/>
      <c r="UYF4" s="106"/>
      <c r="UYG4" s="106"/>
      <c r="UYH4" s="106"/>
      <c r="UYI4" s="106"/>
      <c r="UYJ4" s="106"/>
      <c r="UYK4" s="106"/>
      <c r="UYL4" s="106"/>
      <c r="UYM4" s="106"/>
      <c r="UYN4" s="106"/>
      <c r="UYO4" s="106"/>
      <c r="UYP4" s="106"/>
      <c r="UYQ4" s="106"/>
      <c r="UYR4" s="106"/>
      <c r="UYS4" s="106"/>
      <c r="UYT4" s="106"/>
      <c r="UYU4" s="106"/>
      <c r="UYV4" s="106"/>
      <c r="UYW4" s="106"/>
      <c r="UYX4" s="106"/>
      <c r="UYY4" s="106"/>
      <c r="UYZ4" s="106"/>
      <c r="UZA4" s="106"/>
      <c r="UZB4" s="106"/>
      <c r="UZC4" s="106"/>
      <c r="UZD4" s="106"/>
      <c r="UZE4" s="106"/>
      <c r="UZF4" s="106"/>
      <c r="UZG4" s="106"/>
      <c r="UZH4" s="106"/>
      <c r="UZI4" s="106"/>
      <c r="UZJ4" s="106"/>
      <c r="UZK4" s="106"/>
      <c r="UZL4" s="106"/>
      <c r="UZM4" s="106"/>
      <c r="UZN4" s="106"/>
      <c r="UZO4" s="106"/>
      <c r="UZP4" s="106"/>
      <c r="UZQ4" s="106"/>
      <c r="UZR4" s="106"/>
      <c r="UZS4" s="106"/>
      <c r="UZT4" s="106"/>
      <c r="UZU4" s="106"/>
      <c r="UZV4" s="106"/>
      <c r="UZW4" s="106"/>
      <c r="UZX4" s="106"/>
      <c r="UZY4" s="106"/>
      <c r="UZZ4" s="106"/>
      <c r="VAA4" s="106"/>
      <c r="VAB4" s="106"/>
      <c r="VAC4" s="106"/>
      <c r="VAD4" s="106"/>
      <c r="VAE4" s="106"/>
      <c r="VAF4" s="106"/>
      <c r="VAG4" s="106"/>
      <c r="VAH4" s="106"/>
      <c r="VAI4" s="106"/>
      <c r="VAJ4" s="106"/>
      <c r="VAK4" s="106"/>
      <c r="VAL4" s="106"/>
      <c r="VAM4" s="106"/>
      <c r="VAN4" s="106"/>
      <c r="VAO4" s="106"/>
      <c r="VAP4" s="106"/>
      <c r="VAQ4" s="106"/>
      <c r="VAR4" s="106"/>
      <c r="VAS4" s="106"/>
      <c r="VAT4" s="106"/>
      <c r="VAU4" s="106"/>
      <c r="VAV4" s="106"/>
      <c r="VAW4" s="106"/>
      <c r="VAX4" s="106"/>
      <c r="VAY4" s="106"/>
      <c r="VAZ4" s="106"/>
      <c r="VBA4" s="106"/>
      <c r="VBB4" s="106"/>
      <c r="VBC4" s="106"/>
      <c r="VBD4" s="106"/>
      <c r="VBE4" s="106"/>
      <c r="VBF4" s="106"/>
      <c r="VBG4" s="106"/>
      <c r="VBH4" s="106"/>
      <c r="VBI4" s="106"/>
      <c r="VBJ4" s="106"/>
      <c r="VBK4" s="106"/>
      <c r="VBL4" s="106"/>
      <c r="VBM4" s="106"/>
      <c r="VBN4" s="106"/>
      <c r="VBO4" s="106"/>
      <c r="VBP4" s="106"/>
      <c r="VBQ4" s="106"/>
      <c r="VBR4" s="106"/>
      <c r="VBS4" s="106"/>
      <c r="VBT4" s="106"/>
      <c r="VBU4" s="106"/>
      <c r="VBV4" s="106"/>
      <c r="VBW4" s="106"/>
      <c r="VBX4" s="106"/>
      <c r="VBY4" s="106"/>
      <c r="VBZ4" s="106"/>
      <c r="VCA4" s="106"/>
      <c r="VCB4" s="106"/>
      <c r="VCC4" s="106"/>
      <c r="VCD4" s="106"/>
      <c r="VCE4" s="106"/>
      <c r="VCF4" s="106"/>
      <c r="VCG4" s="106"/>
      <c r="VCH4" s="106"/>
      <c r="VCI4" s="106"/>
      <c r="VCJ4" s="106"/>
      <c r="VCK4" s="106"/>
      <c r="VCL4" s="106"/>
      <c r="VCM4" s="106"/>
      <c r="VCN4" s="106"/>
      <c r="VCO4" s="106"/>
      <c r="VCP4" s="106"/>
      <c r="VCQ4" s="106"/>
      <c r="VCR4" s="106"/>
      <c r="VCS4" s="106"/>
      <c r="VCT4" s="106"/>
      <c r="VCU4" s="106"/>
      <c r="VCV4" s="106"/>
      <c r="VCW4" s="106"/>
      <c r="VCX4" s="106"/>
      <c r="VCY4" s="106"/>
      <c r="VCZ4" s="106"/>
      <c r="VDA4" s="106"/>
      <c r="VDB4" s="106"/>
      <c r="VDC4" s="106"/>
      <c r="VDD4" s="106"/>
      <c r="VDE4" s="106"/>
      <c r="VDF4" s="106"/>
      <c r="VDG4" s="106"/>
      <c r="VDH4" s="106"/>
      <c r="VDI4" s="106"/>
      <c r="VDJ4" s="106"/>
      <c r="VDK4" s="106"/>
      <c r="VDL4" s="106"/>
      <c r="VDM4" s="106"/>
      <c r="VDN4" s="106"/>
      <c r="VDO4" s="106"/>
      <c r="VDP4" s="106"/>
      <c r="VDQ4" s="106"/>
      <c r="VDR4" s="106"/>
      <c r="VDS4" s="106"/>
      <c r="VDT4" s="106"/>
      <c r="VDU4" s="106"/>
      <c r="VDV4" s="106"/>
      <c r="VDW4" s="106"/>
      <c r="VDX4" s="106"/>
      <c r="VDY4" s="106"/>
      <c r="VDZ4" s="106"/>
      <c r="VEA4" s="106"/>
      <c r="VEB4" s="106"/>
      <c r="VEC4" s="106"/>
      <c r="VED4" s="106"/>
      <c r="VEE4" s="106"/>
      <c r="VEF4" s="106"/>
      <c r="VEG4" s="106"/>
      <c r="VEH4" s="106"/>
      <c r="VEI4" s="106"/>
      <c r="VEJ4" s="106"/>
      <c r="VEK4" s="106"/>
      <c r="VEL4" s="106"/>
      <c r="VEM4" s="106"/>
      <c r="VEN4" s="106"/>
      <c r="VEO4" s="106"/>
      <c r="VEP4" s="106"/>
      <c r="VEQ4" s="106"/>
      <c r="VER4" s="106"/>
      <c r="VES4" s="106"/>
      <c r="VET4" s="106"/>
      <c r="VEU4" s="106"/>
      <c r="VEV4" s="106"/>
      <c r="VEW4" s="106"/>
      <c r="VEX4" s="106"/>
      <c r="VEY4" s="106"/>
      <c r="VEZ4" s="106"/>
      <c r="VFA4" s="106"/>
      <c r="VFB4" s="106"/>
      <c r="VFC4" s="106"/>
      <c r="VFD4" s="106"/>
      <c r="VFE4" s="106"/>
      <c r="VFF4" s="106"/>
      <c r="VFG4" s="106"/>
      <c r="VFH4" s="106"/>
      <c r="VFI4" s="106"/>
      <c r="VFJ4" s="106"/>
      <c r="VFK4" s="106"/>
      <c r="VFL4" s="106"/>
      <c r="VFM4" s="106"/>
      <c r="VFN4" s="106"/>
      <c r="VFO4" s="106"/>
      <c r="VFP4" s="106"/>
      <c r="VFQ4" s="106"/>
      <c r="VFR4" s="106"/>
      <c r="VFS4" s="106"/>
      <c r="VFT4" s="106"/>
      <c r="VFU4" s="106"/>
      <c r="VFV4" s="106"/>
      <c r="VFW4" s="106"/>
      <c r="VFX4" s="106"/>
      <c r="VFY4" s="106"/>
      <c r="VFZ4" s="106"/>
      <c r="VGA4" s="106"/>
      <c r="VGB4" s="106"/>
      <c r="VGC4" s="106"/>
      <c r="VGD4" s="106"/>
      <c r="VGE4" s="106"/>
      <c r="VGF4" s="106"/>
      <c r="VGG4" s="106"/>
      <c r="VGH4" s="106"/>
      <c r="VGI4" s="106"/>
      <c r="VGJ4" s="106"/>
      <c r="VGK4" s="106"/>
      <c r="VGL4" s="106"/>
      <c r="VGM4" s="106"/>
      <c r="VGN4" s="106"/>
      <c r="VGO4" s="106"/>
      <c r="VGP4" s="106"/>
      <c r="VGQ4" s="106"/>
      <c r="VGR4" s="106"/>
      <c r="VGS4" s="106"/>
      <c r="VGT4" s="106"/>
      <c r="VGU4" s="106"/>
      <c r="VGV4" s="106"/>
      <c r="VGW4" s="106"/>
      <c r="VGX4" s="106"/>
      <c r="VGY4" s="106"/>
      <c r="VGZ4" s="106"/>
      <c r="VHA4" s="106"/>
      <c r="VHB4" s="106"/>
      <c r="VHC4" s="106"/>
      <c r="VHD4" s="106"/>
      <c r="VHE4" s="106"/>
      <c r="VHF4" s="106"/>
      <c r="VHG4" s="106"/>
      <c r="VHH4" s="106"/>
      <c r="VHI4" s="106"/>
      <c r="VHJ4" s="106"/>
      <c r="VHK4" s="106"/>
      <c r="VHL4" s="106"/>
      <c r="VHM4" s="106"/>
      <c r="VHN4" s="106"/>
      <c r="VHO4" s="106"/>
      <c r="VHP4" s="106"/>
      <c r="VHQ4" s="106"/>
      <c r="VHR4" s="106"/>
      <c r="VHS4" s="106"/>
      <c r="VHT4" s="106"/>
      <c r="VHU4" s="106"/>
      <c r="VHV4" s="106"/>
      <c r="VHW4" s="106"/>
      <c r="VHX4" s="106"/>
      <c r="VHY4" s="106"/>
      <c r="VHZ4" s="106"/>
      <c r="VIA4" s="106"/>
      <c r="VIB4" s="106"/>
      <c r="VIC4" s="106"/>
      <c r="VID4" s="106"/>
      <c r="VIE4" s="106"/>
      <c r="VIF4" s="106"/>
      <c r="VIG4" s="106"/>
      <c r="VIH4" s="106"/>
      <c r="VII4" s="106"/>
      <c r="VIJ4" s="106"/>
      <c r="VIK4" s="106"/>
      <c r="VIL4" s="106"/>
      <c r="VIM4" s="106"/>
      <c r="VIN4" s="106"/>
      <c r="VIO4" s="106"/>
      <c r="VIP4" s="106"/>
      <c r="VIQ4" s="106"/>
      <c r="VIR4" s="106"/>
      <c r="VIS4" s="106"/>
      <c r="VIT4" s="106"/>
      <c r="VIU4" s="106"/>
      <c r="VIV4" s="106"/>
      <c r="VIW4" s="106"/>
      <c r="VIX4" s="106"/>
      <c r="VIY4" s="106"/>
      <c r="VIZ4" s="106"/>
      <c r="VJA4" s="106"/>
      <c r="VJB4" s="106"/>
      <c r="VJC4" s="106"/>
      <c r="VJD4" s="106"/>
      <c r="VJE4" s="106"/>
      <c r="VJF4" s="106"/>
      <c r="VJG4" s="106"/>
      <c r="VJH4" s="106"/>
      <c r="VJI4" s="106"/>
      <c r="VJJ4" s="106"/>
      <c r="VJK4" s="106"/>
      <c r="VJL4" s="106"/>
      <c r="VJM4" s="106"/>
      <c r="VJN4" s="106"/>
      <c r="VJO4" s="106"/>
      <c r="VJP4" s="106"/>
      <c r="VJQ4" s="106"/>
      <c r="VJR4" s="106"/>
      <c r="VJS4" s="106"/>
      <c r="VJT4" s="106"/>
      <c r="VJU4" s="106"/>
      <c r="VJV4" s="106"/>
      <c r="VJW4" s="106"/>
      <c r="VJX4" s="106"/>
      <c r="VJY4" s="106"/>
      <c r="VJZ4" s="106"/>
      <c r="VKA4" s="106"/>
      <c r="VKB4" s="106"/>
      <c r="VKC4" s="106"/>
      <c r="VKD4" s="106"/>
      <c r="VKE4" s="106"/>
      <c r="VKF4" s="106"/>
      <c r="VKG4" s="106"/>
      <c r="VKH4" s="106"/>
      <c r="VKI4" s="106"/>
      <c r="VKJ4" s="106"/>
      <c r="VKK4" s="106"/>
      <c r="VKL4" s="106"/>
      <c r="VKM4" s="106"/>
      <c r="VKN4" s="106"/>
      <c r="VKO4" s="106"/>
      <c r="VKP4" s="106"/>
      <c r="VKQ4" s="106"/>
      <c r="VKR4" s="106"/>
      <c r="VKS4" s="106"/>
      <c r="VKT4" s="106"/>
      <c r="VKU4" s="106"/>
      <c r="VKV4" s="106"/>
      <c r="VKW4" s="106"/>
      <c r="VKX4" s="106"/>
      <c r="VKY4" s="106"/>
      <c r="VKZ4" s="106"/>
      <c r="VLA4" s="106"/>
      <c r="VLB4" s="106"/>
      <c r="VLC4" s="106"/>
      <c r="VLD4" s="106"/>
      <c r="VLE4" s="106"/>
      <c r="VLF4" s="106"/>
      <c r="VLG4" s="106"/>
      <c r="VLH4" s="106"/>
      <c r="VLI4" s="106"/>
      <c r="VLJ4" s="106"/>
      <c r="VLK4" s="106"/>
      <c r="VLL4" s="106"/>
      <c r="VLM4" s="106"/>
      <c r="VLN4" s="106"/>
      <c r="VLO4" s="106"/>
      <c r="VLP4" s="106"/>
      <c r="VLQ4" s="106"/>
      <c r="VLR4" s="106"/>
      <c r="VLS4" s="106"/>
      <c r="VLT4" s="106"/>
      <c r="VLU4" s="106"/>
      <c r="VLV4" s="106"/>
      <c r="VLW4" s="106"/>
      <c r="VLX4" s="106"/>
      <c r="VLY4" s="106"/>
      <c r="VLZ4" s="106"/>
      <c r="VMA4" s="106"/>
      <c r="VMB4" s="106"/>
      <c r="VMC4" s="106"/>
      <c r="VMD4" s="106"/>
      <c r="VME4" s="106"/>
      <c r="VMF4" s="106"/>
      <c r="VMG4" s="106"/>
      <c r="VMH4" s="106"/>
      <c r="VMI4" s="106"/>
      <c r="VMJ4" s="106"/>
      <c r="VMK4" s="106"/>
      <c r="VML4" s="106"/>
      <c r="VMM4" s="106"/>
      <c r="VMN4" s="106"/>
      <c r="VMO4" s="106"/>
      <c r="VMP4" s="106"/>
      <c r="VMQ4" s="106"/>
      <c r="VMR4" s="106"/>
      <c r="VMS4" s="106"/>
      <c r="VMT4" s="106"/>
      <c r="VMU4" s="106"/>
      <c r="VMV4" s="106"/>
      <c r="VMW4" s="106"/>
      <c r="VMX4" s="106"/>
      <c r="VMY4" s="106"/>
      <c r="VMZ4" s="106"/>
      <c r="VNA4" s="106"/>
      <c r="VNB4" s="106"/>
      <c r="VNC4" s="106"/>
      <c r="VND4" s="106"/>
      <c r="VNE4" s="106"/>
      <c r="VNF4" s="106"/>
      <c r="VNG4" s="106"/>
      <c r="VNH4" s="106"/>
      <c r="VNI4" s="106"/>
      <c r="VNJ4" s="106"/>
      <c r="VNK4" s="106"/>
      <c r="VNL4" s="106"/>
      <c r="VNM4" s="106"/>
      <c r="VNN4" s="106"/>
      <c r="VNO4" s="106"/>
      <c r="VNP4" s="106"/>
      <c r="VNQ4" s="106"/>
      <c r="VNR4" s="106"/>
      <c r="VNS4" s="106"/>
      <c r="VNT4" s="106"/>
      <c r="VNU4" s="106"/>
      <c r="VNV4" s="106"/>
      <c r="VNW4" s="106"/>
      <c r="VNX4" s="106"/>
      <c r="VNY4" s="106"/>
      <c r="VNZ4" s="106"/>
      <c r="VOA4" s="106"/>
      <c r="VOB4" s="106"/>
      <c r="VOC4" s="106"/>
      <c r="VOD4" s="106"/>
      <c r="VOE4" s="106"/>
      <c r="VOF4" s="106"/>
      <c r="VOG4" s="106"/>
      <c r="VOH4" s="106"/>
      <c r="VOI4" s="106"/>
      <c r="VOJ4" s="106"/>
      <c r="VOK4" s="106"/>
      <c r="VOL4" s="106"/>
      <c r="VOM4" s="106"/>
      <c r="VON4" s="106"/>
      <c r="VOO4" s="106"/>
      <c r="VOP4" s="106"/>
      <c r="VOQ4" s="106"/>
      <c r="VOR4" s="106"/>
      <c r="VOS4" s="106"/>
      <c r="VOT4" s="106"/>
      <c r="VOU4" s="106"/>
      <c r="VOV4" s="106"/>
      <c r="VOW4" s="106"/>
      <c r="VOX4" s="106"/>
      <c r="VOY4" s="106"/>
      <c r="VOZ4" s="106"/>
      <c r="VPA4" s="106"/>
      <c r="VPB4" s="106"/>
      <c r="VPC4" s="106"/>
      <c r="VPD4" s="106"/>
      <c r="VPE4" s="106"/>
      <c r="VPF4" s="106"/>
      <c r="VPG4" s="106"/>
      <c r="VPH4" s="106"/>
      <c r="VPI4" s="106"/>
      <c r="VPJ4" s="106"/>
      <c r="VPK4" s="106"/>
      <c r="VPL4" s="106"/>
      <c r="VPM4" s="106"/>
      <c r="VPN4" s="106"/>
      <c r="VPO4" s="106"/>
      <c r="VPP4" s="106"/>
      <c r="VPQ4" s="106"/>
      <c r="VPR4" s="106"/>
      <c r="VPS4" s="106"/>
      <c r="VPT4" s="106"/>
      <c r="VPU4" s="106"/>
      <c r="VPV4" s="106"/>
      <c r="VPW4" s="106"/>
      <c r="VPX4" s="106"/>
      <c r="VPY4" s="106"/>
      <c r="VPZ4" s="106"/>
      <c r="VQA4" s="106"/>
      <c r="VQB4" s="106"/>
      <c r="VQC4" s="106"/>
      <c r="VQD4" s="106"/>
      <c r="VQE4" s="106"/>
      <c r="VQF4" s="106"/>
      <c r="VQG4" s="106"/>
      <c r="VQH4" s="106"/>
      <c r="VQI4" s="106"/>
      <c r="VQJ4" s="106"/>
      <c r="VQK4" s="106"/>
      <c r="VQL4" s="106"/>
      <c r="VQM4" s="106"/>
      <c r="VQN4" s="106"/>
      <c r="VQO4" s="106"/>
      <c r="VQP4" s="106"/>
      <c r="VQQ4" s="106"/>
      <c r="VQR4" s="106"/>
      <c r="VQS4" s="106"/>
      <c r="VQT4" s="106"/>
      <c r="VQU4" s="106"/>
      <c r="VQV4" s="106"/>
      <c r="VQW4" s="106"/>
      <c r="VQX4" s="106"/>
      <c r="VQY4" s="106"/>
      <c r="VQZ4" s="106"/>
      <c r="VRA4" s="106"/>
      <c r="VRB4" s="106"/>
      <c r="VRC4" s="106"/>
      <c r="VRD4" s="106"/>
      <c r="VRE4" s="106"/>
      <c r="VRF4" s="106"/>
      <c r="VRG4" s="106"/>
      <c r="VRH4" s="106"/>
      <c r="VRI4" s="106"/>
      <c r="VRJ4" s="106"/>
      <c r="VRK4" s="106"/>
      <c r="VRL4" s="106"/>
      <c r="VRM4" s="106"/>
      <c r="VRN4" s="106"/>
      <c r="VRO4" s="106"/>
      <c r="VRP4" s="106"/>
      <c r="VRQ4" s="106"/>
      <c r="VRR4" s="106"/>
      <c r="VRS4" s="106"/>
      <c r="VRT4" s="106"/>
      <c r="VRU4" s="106"/>
      <c r="VRV4" s="106"/>
      <c r="VRW4" s="106"/>
      <c r="VRX4" s="106"/>
      <c r="VRY4" s="106"/>
      <c r="VRZ4" s="106"/>
      <c r="VSA4" s="106"/>
      <c r="VSB4" s="106"/>
      <c r="VSC4" s="106"/>
      <c r="VSD4" s="106"/>
      <c r="VSE4" s="106"/>
      <c r="VSF4" s="106"/>
      <c r="VSG4" s="106"/>
      <c r="VSH4" s="106"/>
      <c r="VSI4" s="106"/>
      <c r="VSJ4" s="106"/>
      <c r="VSK4" s="106"/>
      <c r="VSL4" s="106"/>
      <c r="VSM4" s="106"/>
      <c r="VSN4" s="106"/>
      <c r="VSO4" s="106"/>
      <c r="VSP4" s="106"/>
      <c r="VSQ4" s="106"/>
      <c r="VSR4" s="106"/>
      <c r="VSS4" s="106"/>
      <c r="VST4" s="106"/>
      <c r="VSU4" s="106"/>
      <c r="VSV4" s="106"/>
      <c r="VSW4" s="106"/>
      <c r="VSX4" s="106"/>
      <c r="VSY4" s="106"/>
      <c r="VSZ4" s="106"/>
      <c r="VTA4" s="106"/>
      <c r="VTB4" s="106"/>
      <c r="VTC4" s="106"/>
      <c r="VTD4" s="106"/>
      <c r="VTE4" s="106"/>
      <c r="VTF4" s="106"/>
      <c r="VTG4" s="106"/>
      <c r="VTH4" s="106"/>
      <c r="VTI4" s="106"/>
      <c r="VTJ4" s="106"/>
      <c r="VTK4" s="106"/>
      <c r="VTL4" s="106"/>
      <c r="VTM4" s="106"/>
      <c r="VTN4" s="106"/>
      <c r="VTO4" s="106"/>
      <c r="VTP4" s="106"/>
      <c r="VTQ4" s="106"/>
      <c r="VTR4" s="106"/>
      <c r="VTS4" s="106"/>
      <c r="VTT4" s="106"/>
      <c r="VTU4" s="106"/>
      <c r="VTV4" s="106"/>
      <c r="VTW4" s="106"/>
      <c r="VTX4" s="106"/>
      <c r="VTY4" s="106"/>
      <c r="VTZ4" s="106"/>
      <c r="VUA4" s="106"/>
      <c r="VUB4" s="106"/>
      <c r="VUC4" s="106"/>
      <c r="VUD4" s="106"/>
      <c r="VUE4" s="106"/>
      <c r="VUF4" s="106"/>
      <c r="VUG4" s="106"/>
      <c r="VUH4" s="106"/>
      <c r="VUI4" s="106"/>
      <c r="VUJ4" s="106"/>
      <c r="VUK4" s="106"/>
      <c r="VUL4" s="106"/>
      <c r="VUM4" s="106"/>
      <c r="VUN4" s="106"/>
      <c r="VUO4" s="106"/>
      <c r="VUP4" s="106"/>
      <c r="VUQ4" s="106"/>
      <c r="VUR4" s="106"/>
      <c r="VUS4" s="106"/>
      <c r="VUT4" s="106"/>
      <c r="VUU4" s="106"/>
      <c r="VUV4" s="106"/>
      <c r="VUW4" s="106"/>
      <c r="VUX4" s="106"/>
      <c r="VUY4" s="106"/>
      <c r="VUZ4" s="106"/>
      <c r="VVA4" s="106"/>
      <c r="VVB4" s="106"/>
      <c r="VVC4" s="106"/>
      <c r="VVD4" s="106"/>
      <c r="VVE4" s="106"/>
      <c r="VVF4" s="106"/>
      <c r="VVG4" s="106"/>
      <c r="VVH4" s="106"/>
      <c r="VVI4" s="106"/>
      <c r="VVJ4" s="106"/>
      <c r="VVK4" s="106"/>
      <c r="VVL4" s="106"/>
      <c r="VVM4" s="106"/>
      <c r="VVN4" s="106"/>
      <c r="VVO4" s="106"/>
      <c r="VVP4" s="106"/>
      <c r="VVQ4" s="106"/>
      <c r="VVR4" s="106"/>
      <c r="VVS4" s="106"/>
      <c r="VVT4" s="106"/>
      <c r="VVU4" s="106"/>
      <c r="VVV4" s="106"/>
      <c r="VVW4" s="106"/>
      <c r="VVX4" s="106"/>
      <c r="VVY4" s="106"/>
      <c r="VVZ4" s="106"/>
      <c r="VWA4" s="106"/>
      <c r="VWB4" s="106"/>
      <c r="VWC4" s="106"/>
      <c r="VWD4" s="106"/>
      <c r="VWE4" s="106"/>
      <c r="VWF4" s="106"/>
      <c r="VWG4" s="106"/>
      <c r="VWH4" s="106"/>
      <c r="VWI4" s="106"/>
      <c r="VWJ4" s="106"/>
      <c r="VWK4" s="106"/>
      <c r="VWL4" s="106"/>
      <c r="VWM4" s="106"/>
      <c r="VWN4" s="106"/>
      <c r="VWO4" s="106"/>
      <c r="VWP4" s="106"/>
      <c r="VWQ4" s="106"/>
      <c r="VWR4" s="106"/>
      <c r="VWS4" s="106"/>
      <c r="VWT4" s="106"/>
      <c r="VWU4" s="106"/>
      <c r="VWV4" s="106"/>
      <c r="VWW4" s="106"/>
      <c r="VWX4" s="106"/>
      <c r="VWY4" s="106"/>
      <c r="VWZ4" s="106"/>
      <c r="VXA4" s="106"/>
      <c r="VXB4" s="106"/>
      <c r="VXC4" s="106"/>
      <c r="VXD4" s="106"/>
      <c r="VXE4" s="106"/>
      <c r="VXF4" s="106"/>
      <c r="VXG4" s="106"/>
      <c r="VXH4" s="106"/>
      <c r="VXI4" s="106"/>
      <c r="VXJ4" s="106"/>
      <c r="VXK4" s="106"/>
      <c r="VXL4" s="106"/>
      <c r="VXM4" s="106"/>
      <c r="VXN4" s="106"/>
      <c r="VXO4" s="106"/>
      <c r="VXP4" s="106"/>
      <c r="VXQ4" s="106"/>
      <c r="VXR4" s="106"/>
      <c r="VXS4" s="106"/>
      <c r="VXT4" s="106"/>
      <c r="VXU4" s="106"/>
      <c r="VXV4" s="106"/>
      <c r="VXW4" s="106"/>
      <c r="VXX4" s="106"/>
      <c r="VXY4" s="106"/>
      <c r="VXZ4" s="106"/>
      <c r="VYA4" s="106"/>
      <c r="VYB4" s="106"/>
      <c r="VYC4" s="106"/>
      <c r="VYD4" s="106"/>
      <c r="VYE4" s="106"/>
      <c r="VYF4" s="106"/>
      <c r="VYG4" s="106"/>
      <c r="VYH4" s="106"/>
      <c r="VYI4" s="106"/>
      <c r="VYJ4" s="106"/>
      <c r="VYK4" s="106"/>
      <c r="VYL4" s="106"/>
      <c r="VYM4" s="106"/>
      <c r="VYN4" s="106"/>
      <c r="VYO4" s="106"/>
      <c r="VYP4" s="106"/>
      <c r="VYQ4" s="106"/>
      <c r="VYR4" s="106"/>
      <c r="VYS4" s="106"/>
      <c r="VYT4" s="106"/>
      <c r="VYU4" s="106"/>
      <c r="VYV4" s="106"/>
      <c r="VYW4" s="106"/>
      <c r="VYX4" s="106"/>
      <c r="VYY4" s="106"/>
      <c r="VYZ4" s="106"/>
      <c r="VZA4" s="106"/>
      <c r="VZB4" s="106"/>
      <c r="VZC4" s="106"/>
      <c r="VZD4" s="106"/>
      <c r="VZE4" s="106"/>
      <c r="VZF4" s="106"/>
      <c r="VZG4" s="106"/>
      <c r="VZH4" s="106"/>
      <c r="VZI4" s="106"/>
      <c r="VZJ4" s="106"/>
      <c r="VZK4" s="106"/>
      <c r="VZL4" s="106"/>
      <c r="VZM4" s="106"/>
      <c r="VZN4" s="106"/>
      <c r="VZO4" s="106"/>
      <c r="VZP4" s="106"/>
      <c r="VZQ4" s="106"/>
      <c r="VZR4" s="106"/>
      <c r="VZS4" s="106"/>
      <c r="VZT4" s="106"/>
      <c r="VZU4" s="106"/>
      <c r="VZV4" s="106"/>
      <c r="VZW4" s="106"/>
      <c r="VZX4" s="106"/>
      <c r="VZY4" s="106"/>
      <c r="VZZ4" s="106"/>
      <c r="WAA4" s="106"/>
      <c r="WAB4" s="106"/>
      <c r="WAC4" s="106"/>
      <c r="WAD4" s="106"/>
      <c r="WAE4" s="106"/>
      <c r="WAF4" s="106"/>
      <c r="WAG4" s="106"/>
      <c r="WAH4" s="106"/>
      <c r="WAI4" s="106"/>
      <c r="WAJ4" s="106"/>
      <c r="WAK4" s="106"/>
      <c r="WAL4" s="106"/>
      <c r="WAM4" s="106"/>
      <c r="WAN4" s="106"/>
      <c r="WAO4" s="106"/>
      <c r="WAP4" s="106"/>
      <c r="WAQ4" s="106"/>
      <c r="WAR4" s="106"/>
      <c r="WAS4" s="106"/>
      <c r="WAT4" s="106"/>
      <c r="WAU4" s="106"/>
      <c r="WAV4" s="106"/>
      <c r="WAW4" s="106"/>
      <c r="WAX4" s="106"/>
      <c r="WAY4" s="106"/>
      <c r="WAZ4" s="106"/>
      <c r="WBA4" s="106"/>
      <c r="WBB4" s="106"/>
      <c r="WBC4" s="106"/>
      <c r="WBD4" s="106"/>
      <c r="WBE4" s="106"/>
      <c r="WBF4" s="106"/>
      <c r="WBG4" s="106"/>
      <c r="WBH4" s="106"/>
      <c r="WBI4" s="106"/>
      <c r="WBJ4" s="106"/>
      <c r="WBK4" s="106"/>
      <c r="WBL4" s="106"/>
      <c r="WBM4" s="106"/>
      <c r="WBN4" s="106"/>
      <c r="WBO4" s="106"/>
      <c r="WBP4" s="106"/>
      <c r="WBQ4" s="106"/>
      <c r="WBR4" s="106"/>
      <c r="WBS4" s="106"/>
      <c r="WBT4" s="106"/>
      <c r="WBU4" s="106"/>
      <c r="WBV4" s="106"/>
      <c r="WBW4" s="106"/>
      <c r="WBX4" s="106"/>
      <c r="WBY4" s="106"/>
      <c r="WBZ4" s="106"/>
      <c r="WCA4" s="106"/>
      <c r="WCB4" s="106"/>
      <c r="WCC4" s="106"/>
      <c r="WCD4" s="106"/>
      <c r="WCE4" s="106"/>
      <c r="WCF4" s="106"/>
      <c r="WCG4" s="106"/>
      <c r="WCH4" s="106"/>
      <c r="WCI4" s="106"/>
      <c r="WCJ4" s="106"/>
      <c r="WCK4" s="106"/>
      <c r="WCL4" s="106"/>
      <c r="WCM4" s="106"/>
      <c r="WCN4" s="106"/>
      <c r="WCO4" s="106"/>
      <c r="WCP4" s="106"/>
      <c r="WCQ4" s="106"/>
      <c r="WCR4" s="106"/>
      <c r="WCS4" s="106"/>
      <c r="WCT4" s="106"/>
      <c r="WCU4" s="106"/>
      <c r="WCV4" s="106"/>
      <c r="WCW4" s="106"/>
      <c r="WCX4" s="106"/>
      <c r="WCY4" s="106"/>
      <c r="WCZ4" s="106"/>
      <c r="WDA4" s="106"/>
      <c r="WDB4" s="106"/>
      <c r="WDC4" s="106"/>
      <c r="WDD4" s="106"/>
      <c r="WDE4" s="106"/>
      <c r="WDF4" s="106"/>
      <c r="WDG4" s="106"/>
      <c r="WDH4" s="106"/>
      <c r="WDI4" s="106"/>
      <c r="WDJ4" s="106"/>
      <c r="WDK4" s="106"/>
      <c r="WDL4" s="106"/>
      <c r="WDM4" s="106"/>
      <c r="WDN4" s="106"/>
      <c r="WDO4" s="106"/>
      <c r="WDP4" s="106"/>
      <c r="WDQ4" s="106"/>
      <c r="WDR4" s="106"/>
      <c r="WDS4" s="106"/>
      <c r="WDT4" s="106"/>
      <c r="WDU4" s="106"/>
      <c r="WDV4" s="106"/>
      <c r="WDW4" s="106"/>
      <c r="WDX4" s="106"/>
      <c r="WDY4" s="106"/>
      <c r="WDZ4" s="106"/>
      <c r="WEA4" s="106"/>
      <c r="WEB4" s="106"/>
      <c r="WEC4" s="106"/>
      <c r="WED4" s="106"/>
      <c r="WEE4" s="106"/>
      <c r="WEF4" s="106"/>
      <c r="WEG4" s="106"/>
      <c r="WEH4" s="106"/>
      <c r="WEI4" s="106"/>
      <c r="WEJ4" s="106"/>
      <c r="WEK4" s="106"/>
      <c r="WEL4" s="106"/>
      <c r="WEM4" s="106"/>
      <c r="WEN4" s="106"/>
      <c r="WEO4" s="106"/>
      <c r="WEP4" s="106"/>
      <c r="WEQ4" s="106"/>
      <c r="WER4" s="106"/>
      <c r="WES4" s="106"/>
      <c r="WET4" s="106"/>
      <c r="WEU4" s="106"/>
      <c r="WEV4" s="106"/>
      <c r="WEW4" s="106"/>
      <c r="WEX4" s="106"/>
      <c r="WEY4" s="106"/>
      <c r="WEZ4" s="106"/>
      <c r="WFA4" s="106"/>
      <c r="WFB4" s="106"/>
      <c r="WFC4" s="106"/>
      <c r="WFD4" s="106"/>
      <c r="WFE4" s="106"/>
      <c r="WFF4" s="106"/>
      <c r="WFG4" s="106"/>
      <c r="WFH4" s="106"/>
      <c r="WFI4" s="106"/>
      <c r="WFJ4" s="106"/>
      <c r="WFK4" s="106"/>
      <c r="WFL4" s="106"/>
      <c r="WFM4" s="106"/>
      <c r="WFN4" s="106"/>
      <c r="WFO4" s="106"/>
      <c r="WFP4" s="106"/>
      <c r="WFQ4" s="106"/>
      <c r="WFR4" s="106"/>
      <c r="WFS4" s="106"/>
      <c r="WFT4" s="106"/>
      <c r="WFU4" s="106"/>
      <c r="WFV4" s="106"/>
      <c r="WFW4" s="106"/>
      <c r="WFX4" s="106"/>
      <c r="WFY4" s="106"/>
      <c r="WFZ4" s="106"/>
      <c r="WGA4" s="106"/>
      <c r="WGB4" s="106"/>
      <c r="WGC4" s="106"/>
      <c r="WGD4" s="106"/>
      <c r="WGE4" s="106"/>
      <c r="WGF4" s="106"/>
      <c r="WGG4" s="106"/>
      <c r="WGH4" s="106"/>
      <c r="WGI4" s="106"/>
      <c r="WGJ4" s="106"/>
      <c r="WGK4" s="106"/>
      <c r="WGL4" s="106"/>
      <c r="WGM4" s="106"/>
      <c r="WGN4" s="106"/>
      <c r="WGO4" s="106"/>
      <c r="WGP4" s="106"/>
      <c r="WGQ4" s="106"/>
      <c r="WGR4" s="106"/>
      <c r="WGS4" s="106"/>
      <c r="WGT4" s="106"/>
      <c r="WGU4" s="106"/>
      <c r="WGV4" s="106"/>
      <c r="WGW4" s="106"/>
      <c r="WGX4" s="106"/>
      <c r="WGY4" s="106"/>
      <c r="WGZ4" s="106"/>
      <c r="WHA4" s="106"/>
      <c r="WHB4" s="106"/>
      <c r="WHC4" s="106"/>
      <c r="WHD4" s="106"/>
      <c r="WHE4" s="106"/>
      <c r="WHF4" s="106"/>
      <c r="WHG4" s="106"/>
      <c r="WHH4" s="106"/>
      <c r="WHI4" s="106"/>
      <c r="WHJ4" s="106"/>
      <c r="WHK4" s="106"/>
      <c r="WHL4" s="106"/>
      <c r="WHM4" s="106"/>
      <c r="WHN4" s="106"/>
      <c r="WHO4" s="106"/>
      <c r="WHP4" s="106"/>
      <c r="WHQ4" s="106"/>
      <c r="WHR4" s="106"/>
      <c r="WHS4" s="106"/>
      <c r="WHT4" s="106"/>
      <c r="WHU4" s="106"/>
      <c r="WHV4" s="106"/>
      <c r="WHW4" s="106"/>
      <c r="WHX4" s="106"/>
      <c r="WHY4" s="106"/>
      <c r="WHZ4" s="106"/>
      <c r="WIA4" s="106"/>
      <c r="WIB4" s="106"/>
      <c r="WIC4" s="106"/>
      <c r="WID4" s="106"/>
      <c r="WIE4" s="106"/>
      <c r="WIF4" s="106"/>
      <c r="WIG4" s="106"/>
      <c r="WIH4" s="106"/>
      <c r="WII4" s="106"/>
      <c r="WIJ4" s="106"/>
      <c r="WIK4" s="106"/>
      <c r="WIL4" s="106"/>
      <c r="WIM4" s="106"/>
      <c r="WIN4" s="106"/>
      <c r="WIO4" s="106"/>
      <c r="WIP4" s="106"/>
      <c r="WIQ4" s="106"/>
      <c r="WIR4" s="106"/>
      <c r="WIS4" s="106"/>
      <c r="WIT4" s="106"/>
      <c r="WIU4" s="106"/>
      <c r="WIV4" s="106"/>
      <c r="WIW4" s="106"/>
      <c r="WIX4" s="106"/>
      <c r="WIY4" s="106"/>
      <c r="WIZ4" s="106"/>
      <c r="WJA4" s="106"/>
      <c r="WJB4" s="106"/>
      <c r="WJC4" s="106"/>
      <c r="WJD4" s="106"/>
      <c r="WJE4" s="106"/>
      <c r="WJF4" s="106"/>
      <c r="WJG4" s="106"/>
      <c r="WJH4" s="106"/>
      <c r="WJI4" s="106"/>
      <c r="WJJ4" s="106"/>
      <c r="WJK4" s="106"/>
      <c r="WJL4" s="106"/>
      <c r="WJM4" s="106"/>
      <c r="WJN4" s="106"/>
      <c r="WJO4" s="106"/>
      <c r="WJP4" s="106"/>
      <c r="WJQ4" s="106"/>
      <c r="WJR4" s="106"/>
      <c r="WJS4" s="106"/>
      <c r="WJT4" s="106"/>
      <c r="WJU4" s="106"/>
      <c r="WJV4" s="106"/>
      <c r="WJW4" s="106"/>
      <c r="WJX4" s="106"/>
      <c r="WJY4" s="106"/>
      <c r="WJZ4" s="106"/>
      <c r="WKA4" s="106"/>
      <c r="WKB4" s="106"/>
      <c r="WKC4" s="106"/>
      <c r="WKD4" s="106"/>
      <c r="WKE4" s="106"/>
      <c r="WKF4" s="106"/>
      <c r="WKG4" s="106"/>
      <c r="WKH4" s="106"/>
      <c r="WKI4" s="106"/>
      <c r="WKJ4" s="106"/>
      <c r="WKK4" s="106"/>
      <c r="WKL4" s="106"/>
      <c r="WKM4" s="106"/>
      <c r="WKN4" s="106"/>
      <c r="WKO4" s="106"/>
      <c r="WKP4" s="106"/>
      <c r="WKQ4" s="106"/>
      <c r="WKR4" s="106"/>
      <c r="WKS4" s="106"/>
      <c r="WKT4" s="106"/>
      <c r="WKU4" s="106"/>
      <c r="WKV4" s="106"/>
      <c r="WKW4" s="106"/>
      <c r="WKX4" s="106"/>
      <c r="WKY4" s="106"/>
      <c r="WKZ4" s="106"/>
      <c r="WLA4" s="106"/>
      <c r="WLB4" s="106"/>
      <c r="WLC4" s="106"/>
      <c r="WLD4" s="106"/>
      <c r="WLE4" s="106"/>
      <c r="WLF4" s="106"/>
      <c r="WLG4" s="106"/>
      <c r="WLH4" s="106"/>
      <c r="WLI4" s="106"/>
      <c r="WLJ4" s="106"/>
      <c r="WLK4" s="106"/>
      <c r="WLL4" s="106"/>
      <c r="WLM4" s="106"/>
      <c r="WLN4" s="106"/>
      <c r="WLO4" s="106"/>
      <c r="WLP4" s="106"/>
      <c r="WLQ4" s="106"/>
      <c r="WLR4" s="106"/>
      <c r="WLS4" s="106"/>
      <c r="WLT4" s="106"/>
      <c r="WLU4" s="106"/>
      <c r="WLV4" s="106"/>
      <c r="WLW4" s="106"/>
      <c r="WLX4" s="106"/>
      <c r="WLY4" s="106"/>
      <c r="WLZ4" s="106"/>
      <c r="WMA4" s="106"/>
      <c r="WMB4" s="106"/>
      <c r="WMC4" s="106"/>
      <c r="WMD4" s="106"/>
      <c r="WME4" s="106"/>
      <c r="WMF4" s="106"/>
      <c r="WMG4" s="106"/>
      <c r="WMH4" s="106"/>
      <c r="WMI4" s="106"/>
      <c r="WMJ4" s="106"/>
      <c r="WMK4" s="106"/>
      <c r="WML4" s="106"/>
      <c r="WMM4" s="106"/>
      <c r="WMN4" s="106"/>
      <c r="WMO4" s="106"/>
      <c r="WMP4" s="106"/>
      <c r="WMQ4" s="106"/>
      <c r="WMR4" s="106"/>
      <c r="WMS4" s="106"/>
      <c r="WMT4" s="106"/>
      <c r="WMU4" s="106"/>
      <c r="WMV4" s="106"/>
      <c r="WMW4" s="106"/>
      <c r="WMX4" s="106"/>
      <c r="WMY4" s="106"/>
      <c r="WMZ4" s="106"/>
      <c r="WNA4" s="106"/>
      <c r="WNB4" s="106"/>
      <c r="WNC4" s="106"/>
      <c r="WND4" s="106"/>
      <c r="WNE4" s="106"/>
      <c r="WNF4" s="106"/>
      <c r="WNG4" s="106"/>
      <c r="WNH4" s="106"/>
      <c r="WNI4" s="106"/>
      <c r="WNJ4" s="106"/>
      <c r="WNK4" s="106"/>
      <c r="WNL4" s="106"/>
      <c r="WNM4" s="106"/>
      <c r="WNN4" s="106"/>
      <c r="WNO4" s="106"/>
      <c r="WNP4" s="106"/>
      <c r="WNQ4" s="106"/>
      <c r="WNR4" s="106"/>
      <c r="WNS4" s="106"/>
      <c r="WNT4" s="106"/>
      <c r="WNU4" s="106"/>
      <c r="WNV4" s="106"/>
      <c r="WNW4" s="106"/>
      <c r="WNX4" s="106"/>
      <c r="WNY4" s="106"/>
      <c r="WNZ4" s="106"/>
      <c r="WOA4" s="106"/>
      <c r="WOB4" s="106"/>
      <c r="WOC4" s="106"/>
      <c r="WOD4" s="106"/>
      <c r="WOE4" s="106"/>
      <c r="WOF4" s="106"/>
      <c r="WOG4" s="106"/>
      <c r="WOH4" s="106"/>
      <c r="WOI4" s="106"/>
      <c r="WOJ4" s="106"/>
      <c r="WOK4" s="106"/>
      <c r="WOL4" s="106"/>
      <c r="WOM4" s="106"/>
      <c r="WON4" s="106"/>
      <c r="WOO4" s="106"/>
      <c r="WOP4" s="106"/>
      <c r="WOQ4" s="106"/>
      <c r="WOR4" s="106"/>
      <c r="WOS4" s="106"/>
      <c r="WOT4" s="106"/>
      <c r="WOU4" s="106"/>
      <c r="WOV4" s="106"/>
      <c r="WOW4" s="106"/>
      <c r="WOX4" s="106"/>
      <c r="WOY4" s="106"/>
      <c r="WOZ4" s="106"/>
      <c r="WPA4" s="106"/>
      <c r="WPB4" s="106"/>
      <c r="WPC4" s="106"/>
      <c r="WPD4" s="106"/>
      <c r="WPE4" s="106"/>
      <c r="WPF4" s="106"/>
      <c r="WPG4" s="106"/>
      <c r="WPH4" s="106"/>
      <c r="WPI4" s="106"/>
      <c r="WPJ4" s="106"/>
      <c r="WPK4" s="106"/>
      <c r="WPL4" s="106"/>
      <c r="WPM4" s="106"/>
      <c r="WPN4" s="106"/>
      <c r="WPO4" s="106"/>
      <c r="WPP4" s="106"/>
      <c r="WPQ4" s="106"/>
      <c r="WPR4" s="106"/>
      <c r="WPS4" s="106"/>
      <c r="WPT4" s="106"/>
      <c r="WPU4" s="106"/>
      <c r="WPV4" s="106"/>
      <c r="WPW4" s="106"/>
      <c r="WPX4" s="106"/>
      <c r="WPY4" s="106"/>
      <c r="WPZ4" s="106"/>
      <c r="WQA4" s="106"/>
      <c r="WQB4" s="106"/>
      <c r="WQC4" s="106"/>
      <c r="WQD4" s="106"/>
      <c r="WQE4" s="106"/>
      <c r="WQF4" s="106"/>
      <c r="WQG4" s="106"/>
      <c r="WQH4" s="106"/>
      <c r="WQI4" s="106"/>
      <c r="WQJ4" s="106"/>
      <c r="WQK4" s="106"/>
      <c r="WQL4" s="106"/>
      <c r="WQM4" s="106"/>
      <c r="WQN4" s="106"/>
      <c r="WQO4" s="106"/>
      <c r="WQP4" s="106"/>
      <c r="WQQ4" s="106"/>
      <c r="WQR4" s="106"/>
      <c r="WQS4" s="106"/>
      <c r="WQT4" s="106"/>
      <c r="WQU4" s="106"/>
      <c r="WQV4" s="106"/>
      <c r="WQW4" s="106"/>
      <c r="WQX4" s="106"/>
      <c r="WQY4" s="106"/>
      <c r="WQZ4" s="106"/>
      <c r="WRA4" s="106"/>
      <c r="WRB4" s="106"/>
      <c r="WRC4" s="106"/>
      <c r="WRD4" s="106"/>
      <c r="WRE4" s="106"/>
      <c r="WRF4" s="106"/>
      <c r="WRG4" s="106"/>
      <c r="WRH4" s="106"/>
      <c r="WRI4" s="106"/>
      <c r="WRJ4" s="106"/>
      <c r="WRK4" s="106"/>
      <c r="WRL4" s="106"/>
      <c r="WRM4" s="106"/>
      <c r="WRN4" s="106"/>
      <c r="WRO4" s="106"/>
      <c r="WRP4" s="106"/>
      <c r="WRQ4" s="106"/>
      <c r="WRR4" s="106"/>
      <c r="WRS4" s="106"/>
      <c r="WRT4" s="106"/>
      <c r="WRU4" s="106"/>
      <c r="WRV4" s="106"/>
      <c r="WRW4" s="106"/>
      <c r="WRX4" s="106"/>
      <c r="WRY4" s="106"/>
      <c r="WRZ4" s="106"/>
      <c r="WSA4" s="106"/>
      <c r="WSB4" s="106"/>
      <c r="WSC4" s="106"/>
      <c r="WSD4" s="106"/>
      <c r="WSE4" s="106"/>
      <c r="WSF4" s="106"/>
      <c r="WSG4" s="106"/>
      <c r="WSH4" s="106"/>
      <c r="WSI4" s="106"/>
      <c r="WSJ4" s="106"/>
      <c r="WSK4" s="106"/>
      <c r="WSL4" s="106"/>
      <c r="WSM4" s="106"/>
      <c r="WSN4" s="106"/>
      <c r="WSO4" s="106"/>
      <c r="WSP4" s="106"/>
      <c r="WSQ4" s="106"/>
      <c r="WSR4" s="106"/>
      <c r="WSS4" s="106"/>
      <c r="WST4" s="106"/>
      <c r="WSU4" s="106"/>
      <c r="WSV4" s="106"/>
      <c r="WSW4" s="106"/>
      <c r="WSX4" s="106"/>
      <c r="WSY4" s="106"/>
      <c r="WSZ4" s="106"/>
      <c r="WTA4" s="106"/>
      <c r="WTB4" s="106"/>
      <c r="WTC4" s="106"/>
      <c r="WTD4" s="106"/>
      <c r="WTE4" s="106"/>
      <c r="WTF4" s="106"/>
      <c r="WTG4" s="106"/>
      <c r="WTH4" s="106"/>
      <c r="WTI4" s="106"/>
      <c r="WTJ4" s="106"/>
      <c r="WTK4" s="106"/>
      <c r="WTL4" s="106"/>
      <c r="WTM4" s="106"/>
      <c r="WTN4" s="106"/>
      <c r="WTO4" s="106"/>
      <c r="WTP4" s="106"/>
      <c r="WTQ4" s="106"/>
      <c r="WTR4" s="106"/>
      <c r="WTS4" s="106"/>
      <c r="WTT4" s="106"/>
      <c r="WTU4" s="106"/>
      <c r="WTV4" s="106"/>
      <c r="WTW4" s="106"/>
      <c r="WTX4" s="106"/>
      <c r="WTY4" s="106"/>
      <c r="WTZ4" s="106"/>
      <c r="WUA4" s="106"/>
      <c r="WUB4" s="106"/>
      <c r="WUC4" s="106"/>
      <c r="WUD4" s="106"/>
      <c r="WUE4" s="106"/>
      <c r="WUF4" s="106"/>
      <c r="WUG4" s="106"/>
      <c r="WUH4" s="106"/>
      <c r="WUI4" s="106"/>
      <c r="WUJ4" s="106"/>
      <c r="WUK4" s="106"/>
      <c r="WUL4" s="106"/>
      <c r="WUM4" s="106"/>
      <c r="WUN4" s="106"/>
      <c r="WUO4" s="106"/>
      <c r="WUP4" s="106"/>
      <c r="WUQ4" s="106"/>
      <c r="WUR4" s="106"/>
      <c r="WUS4" s="106"/>
      <c r="WUT4" s="106"/>
      <c r="WUU4" s="106"/>
      <c r="WUV4" s="106"/>
      <c r="WUW4" s="106"/>
      <c r="WUX4" s="106"/>
      <c r="WUY4" s="106"/>
      <c r="WUZ4" s="106"/>
      <c r="WVA4" s="106"/>
      <c r="WVB4" s="106"/>
      <c r="WVC4" s="106"/>
      <c r="WVD4" s="106"/>
      <c r="WVE4" s="106"/>
      <c r="WVF4" s="106"/>
      <c r="WVG4" s="106"/>
      <c r="WVH4" s="106"/>
      <c r="WVI4" s="106"/>
      <c r="WVJ4" s="106"/>
      <c r="WVK4" s="106"/>
      <c r="WVL4" s="106"/>
      <c r="WVM4" s="106"/>
      <c r="WVN4" s="106"/>
      <c r="WVO4" s="106"/>
      <c r="WVP4" s="106"/>
      <c r="WVQ4" s="106"/>
      <c r="WVR4" s="106"/>
      <c r="WVS4" s="106"/>
      <c r="WVT4" s="106"/>
      <c r="WVU4" s="106"/>
      <c r="WVV4" s="106"/>
      <c r="WVW4" s="106"/>
      <c r="WVX4" s="106"/>
      <c r="WVY4" s="106"/>
      <c r="WVZ4" s="106"/>
      <c r="WWA4" s="106"/>
      <c r="WWB4" s="106"/>
      <c r="WWC4" s="106"/>
      <c r="WWD4" s="106"/>
      <c r="WWE4" s="106"/>
      <c r="WWF4" s="106"/>
      <c r="WWG4" s="106"/>
      <c r="WWH4" s="106"/>
      <c r="WWI4" s="106"/>
      <c r="WWJ4" s="106"/>
      <c r="WWK4" s="106"/>
      <c r="WWL4" s="106"/>
      <c r="WWM4" s="106"/>
      <c r="WWN4" s="106"/>
      <c r="WWO4" s="106"/>
      <c r="WWP4" s="106"/>
      <c r="WWQ4" s="106"/>
      <c r="WWR4" s="106"/>
      <c r="WWS4" s="106"/>
      <c r="WWT4" s="106"/>
      <c r="WWU4" s="106"/>
      <c r="WWV4" s="106"/>
      <c r="WWW4" s="106"/>
      <c r="WWX4" s="106"/>
      <c r="WWY4" s="106"/>
      <c r="WWZ4" s="106"/>
      <c r="WXA4" s="106"/>
      <c r="WXB4" s="106"/>
      <c r="WXC4" s="106"/>
      <c r="WXD4" s="106"/>
      <c r="WXE4" s="106"/>
      <c r="WXF4" s="106"/>
      <c r="WXG4" s="106"/>
      <c r="WXH4" s="106"/>
      <c r="WXI4" s="106"/>
      <c r="WXJ4" s="106"/>
      <c r="WXK4" s="106"/>
      <c r="WXL4" s="106"/>
      <c r="WXM4" s="106"/>
      <c r="WXN4" s="106"/>
      <c r="WXO4" s="106"/>
      <c r="WXP4" s="106"/>
      <c r="WXQ4" s="106"/>
      <c r="WXR4" s="106"/>
      <c r="WXS4" s="106"/>
      <c r="WXT4" s="106"/>
      <c r="WXU4" s="106"/>
      <c r="WXV4" s="106"/>
      <c r="WXW4" s="106"/>
      <c r="WXX4" s="106"/>
      <c r="WXY4" s="106"/>
      <c r="WXZ4" s="106"/>
      <c r="WYA4" s="106"/>
      <c r="WYB4" s="106"/>
      <c r="WYC4" s="106"/>
      <c r="WYD4" s="106"/>
      <c r="WYE4" s="106"/>
      <c r="WYF4" s="106"/>
      <c r="WYG4" s="106"/>
      <c r="WYH4" s="106"/>
      <c r="WYI4" s="106"/>
      <c r="WYJ4" s="106"/>
      <c r="WYK4" s="106"/>
      <c r="WYL4" s="106"/>
      <c r="WYM4" s="106"/>
      <c r="WYN4" s="106"/>
      <c r="WYO4" s="106"/>
      <c r="WYP4" s="106"/>
      <c r="WYQ4" s="106"/>
      <c r="WYR4" s="106"/>
      <c r="WYS4" s="106"/>
      <c r="WYT4" s="106"/>
      <c r="WYU4" s="106"/>
      <c r="WYV4" s="106"/>
      <c r="WYW4" s="106"/>
      <c r="WYX4" s="106"/>
      <c r="WYY4" s="106"/>
      <c r="WYZ4" s="106"/>
      <c r="WZA4" s="106"/>
      <c r="WZB4" s="106"/>
      <c r="WZC4" s="106"/>
      <c r="WZD4" s="106"/>
      <c r="WZE4" s="106"/>
      <c r="WZF4" s="106"/>
      <c r="WZG4" s="106"/>
      <c r="WZH4" s="106"/>
      <c r="WZI4" s="106"/>
      <c r="WZJ4" s="106"/>
      <c r="WZK4" s="106"/>
      <c r="WZL4" s="106"/>
      <c r="WZM4" s="106"/>
      <c r="WZN4" s="106"/>
      <c r="WZO4" s="106"/>
      <c r="WZP4" s="106"/>
      <c r="WZQ4" s="106"/>
      <c r="WZR4" s="106"/>
      <c r="WZS4" s="106"/>
      <c r="WZT4" s="106"/>
      <c r="WZU4" s="106"/>
      <c r="WZV4" s="106"/>
      <c r="WZW4" s="106"/>
      <c r="WZX4" s="106"/>
      <c r="WZY4" s="106"/>
      <c r="WZZ4" s="106"/>
      <c r="XAA4" s="106"/>
      <c r="XAB4" s="106"/>
      <c r="XAC4" s="106"/>
      <c r="XAD4" s="106"/>
      <c r="XAE4" s="106"/>
      <c r="XAF4" s="106"/>
      <c r="XAG4" s="106"/>
      <c r="XAH4" s="106"/>
      <c r="XAI4" s="106"/>
      <c r="XAJ4" s="106"/>
      <c r="XAK4" s="106"/>
      <c r="XAL4" s="106"/>
      <c r="XAM4" s="106"/>
      <c r="XAN4" s="106"/>
      <c r="XAO4" s="106"/>
      <c r="XAP4" s="106"/>
      <c r="XAQ4" s="106"/>
      <c r="XAR4" s="106"/>
      <c r="XAS4" s="106"/>
      <c r="XAT4" s="106"/>
      <c r="XAU4" s="106"/>
      <c r="XAV4" s="106"/>
      <c r="XAW4" s="106"/>
      <c r="XAX4" s="106"/>
      <c r="XAY4" s="106"/>
      <c r="XAZ4" s="106"/>
      <c r="XBA4" s="106"/>
      <c r="XBB4" s="106"/>
      <c r="XBC4" s="106"/>
      <c r="XBD4" s="106"/>
      <c r="XBE4" s="106"/>
      <c r="XBF4" s="106"/>
      <c r="XBG4" s="106"/>
      <c r="XBH4" s="106"/>
      <c r="XBI4" s="106"/>
      <c r="XBJ4" s="106"/>
      <c r="XBK4" s="106"/>
      <c r="XBL4" s="106"/>
      <c r="XBM4" s="106"/>
      <c r="XBN4" s="106"/>
      <c r="XBO4" s="106"/>
      <c r="XBP4" s="106"/>
      <c r="XBQ4" s="106"/>
      <c r="XBR4" s="106"/>
      <c r="XBS4" s="106"/>
      <c r="XBT4" s="106"/>
      <c r="XBU4" s="106"/>
      <c r="XBV4" s="106"/>
      <c r="XBW4" s="106"/>
      <c r="XBX4" s="106"/>
      <c r="XBY4" s="106"/>
      <c r="XBZ4" s="106"/>
      <c r="XCA4" s="106"/>
      <c r="XCB4" s="106"/>
      <c r="XCC4" s="106"/>
      <c r="XCD4" s="106"/>
      <c r="XCE4" s="106"/>
      <c r="XCF4" s="106"/>
      <c r="XCG4" s="106"/>
      <c r="XCH4" s="106"/>
      <c r="XCI4" s="106"/>
      <c r="XCJ4" s="106"/>
      <c r="XCK4" s="106"/>
      <c r="XCL4" s="106"/>
      <c r="XCM4" s="106"/>
      <c r="XCN4" s="106"/>
      <c r="XCO4" s="106"/>
      <c r="XCP4" s="106"/>
      <c r="XCQ4" s="106"/>
      <c r="XCR4" s="106"/>
      <c r="XCS4" s="106"/>
      <c r="XCT4" s="106"/>
      <c r="XCU4" s="106"/>
      <c r="XCV4" s="106"/>
      <c r="XCW4" s="106"/>
      <c r="XCX4" s="106"/>
      <c r="XCY4" s="106"/>
      <c r="XCZ4" s="106"/>
      <c r="XDA4" s="106"/>
      <c r="XDB4" s="106"/>
      <c r="XDC4" s="106"/>
      <c r="XDD4" s="106"/>
      <c r="XDE4" s="106"/>
      <c r="XDF4" s="106"/>
      <c r="XDG4" s="106"/>
      <c r="XDH4" s="106"/>
      <c r="XDI4" s="106"/>
      <c r="XDJ4" s="106"/>
      <c r="XDK4" s="106"/>
      <c r="XDL4" s="106"/>
      <c r="XDM4" s="106"/>
      <c r="XDN4" s="106"/>
      <c r="XDO4" s="106"/>
      <c r="XDP4" s="106"/>
      <c r="XDQ4" s="106"/>
      <c r="XDR4" s="106"/>
      <c r="XDS4" s="106"/>
      <c r="XDT4" s="106"/>
      <c r="XDU4" s="106"/>
      <c r="XDV4" s="106"/>
      <c r="XDW4" s="106"/>
      <c r="XDX4" s="106"/>
      <c r="XDY4" s="106"/>
      <c r="XDZ4" s="106"/>
      <c r="XEA4" s="106"/>
      <c r="XEB4" s="106"/>
      <c r="XEC4" s="106"/>
      <c r="XED4" s="106"/>
      <c r="XEE4" s="106"/>
      <c r="XEF4" s="106"/>
      <c r="XEG4" s="106"/>
      <c r="XEH4" s="106"/>
      <c r="XEI4" s="106"/>
      <c r="XEJ4" s="106"/>
      <c r="XEK4" s="106"/>
      <c r="XEL4" s="106"/>
      <c r="XEM4" s="106"/>
      <c r="XEN4" s="106"/>
      <c r="XEO4" s="106"/>
      <c r="XEP4" s="106"/>
      <c r="XEQ4" s="106"/>
      <c r="XER4" s="106"/>
      <c r="XES4" s="106"/>
      <c r="XET4" s="106"/>
      <c r="XEU4" s="106"/>
      <c r="XEV4" s="106"/>
      <c r="XEW4" s="106"/>
      <c r="XEX4" s="106"/>
      <c r="XEY4" s="106"/>
      <c r="XEZ4" s="106"/>
      <c r="XFA4" s="106"/>
      <c r="XFB4" s="106"/>
      <c r="XFC4" s="106"/>
      <c r="XFD4" s="106"/>
    </row>
    <row r="5" spans="1:16384" customFormat="1" ht="21" customHeight="1">
      <c r="A5" s="2"/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107"/>
      <c r="CA5" s="107"/>
      <c r="CB5" s="107"/>
      <c r="CC5" s="107"/>
      <c r="CD5" s="107"/>
      <c r="CE5" s="107"/>
      <c r="CF5" s="107"/>
      <c r="CG5" s="107"/>
      <c r="CH5" s="107"/>
      <c r="CI5" s="107"/>
      <c r="CJ5" s="107"/>
      <c r="CK5" s="107"/>
      <c r="CL5" s="107"/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7"/>
      <c r="DZ5" s="107"/>
      <c r="EA5" s="107"/>
      <c r="EB5" s="107"/>
      <c r="EC5" s="107"/>
      <c r="ED5" s="107"/>
      <c r="EE5" s="107"/>
      <c r="EF5" s="107"/>
      <c r="EG5" s="107"/>
      <c r="EH5" s="107"/>
      <c r="EI5" s="107"/>
      <c r="EJ5" s="107"/>
      <c r="EK5" s="107"/>
      <c r="EL5" s="107"/>
      <c r="EM5" s="107"/>
      <c r="EN5" s="107"/>
      <c r="EO5" s="107"/>
      <c r="EP5" s="107"/>
      <c r="EQ5" s="107"/>
      <c r="ER5" s="107"/>
      <c r="ES5" s="107"/>
      <c r="ET5" s="107"/>
      <c r="EU5" s="107"/>
      <c r="EV5" s="107"/>
      <c r="EW5" s="107"/>
      <c r="EX5" s="107"/>
      <c r="EY5" s="107"/>
      <c r="EZ5" s="107"/>
      <c r="FA5" s="107"/>
      <c r="FB5" s="107"/>
      <c r="FC5" s="107"/>
      <c r="FD5" s="107"/>
      <c r="FE5" s="107"/>
      <c r="FF5" s="107"/>
      <c r="FG5" s="107"/>
      <c r="FH5" s="107"/>
      <c r="FI5" s="107"/>
      <c r="FJ5" s="107"/>
      <c r="FK5" s="107"/>
      <c r="FL5" s="107"/>
      <c r="FM5" s="107"/>
      <c r="FN5" s="107"/>
      <c r="FO5" s="107"/>
      <c r="FP5" s="107"/>
      <c r="FQ5" s="107"/>
      <c r="FR5" s="107"/>
      <c r="FS5" s="107"/>
      <c r="FT5" s="107"/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7"/>
      <c r="GG5" s="107"/>
      <c r="GH5" s="107"/>
      <c r="GI5" s="107"/>
      <c r="GJ5" s="107"/>
      <c r="GK5" s="107"/>
      <c r="GL5" s="107"/>
      <c r="GM5" s="107"/>
      <c r="GN5" s="107"/>
      <c r="GO5" s="107"/>
      <c r="GP5" s="107"/>
      <c r="GQ5" s="107"/>
      <c r="GR5" s="107"/>
      <c r="GS5" s="107"/>
      <c r="GT5" s="107"/>
      <c r="GU5" s="107"/>
      <c r="GV5" s="107"/>
      <c r="GW5" s="107"/>
      <c r="GX5" s="107"/>
      <c r="GY5" s="107"/>
      <c r="GZ5" s="107"/>
      <c r="HA5" s="107"/>
      <c r="HB5" s="107"/>
      <c r="HC5" s="107"/>
      <c r="HD5" s="107"/>
      <c r="HE5" s="107"/>
      <c r="HF5" s="107"/>
      <c r="HG5" s="107"/>
      <c r="HH5" s="107"/>
      <c r="HI5" s="107"/>
      <c r="HJ5" s="107"/>
      <c r="HK5" s="107"/>
      <c r="HL5" s="107"/>
      <c r="HM5" s="107"/>
      <c r="HN5" s="107"/>
      <c r="HO5" s="107"/>
      <c r="HP5" s="107"/>
      <c r="HQ5" s="107"/>
      <c r="HR5" s="107"/>
      <c r="HS5" s="107"/>
      <c r="HT5" s="107"/>
      <c r="HU5" s="107"/>
      <c r="HV5" s="107"/>
      <c r="HW5" s="107"/>
      <c r="HX5" s="107"/>
      <c r="HY5" s="107"/>
      <c r="HZ5" s="107"/>
      <c r="IA5" s="107"/>
      <c r="IB5" s="107"/>
      <c r="IC5" s="107"/>
      <c r="ID5" s="107"/>
      <c r="IE5" s="107"/>
      <c r="IF5" s="107"/>
      <c r="IG5" s="107"/>
      <c r="IH5" s="107"/>
      <c r="II5" s="107"/>
      <c r="IJ5" s="107"/>
      <c r="IK5" s="107"/>
      <c r="IL5" s="107"/>
      <c r="IM5" s="107"/>
      <c r="IN5" s="107"/>
      <c r="IO5" s="107"/>
      <c r="IP5" s="107"/>
      <c r="IQ5" s="107"/>
      <c r="IR5" s="107"/>
      <c r="IS5" s="107"/>
      <c r="IT5" s="107"/>
      <c r="IU5" s="107"/>
      <c r="IV5" s="107"/>
      <c r="IW5" s="107"/>
      <c r="IX5" s="107"/>
      <c r="IY5" s="107"/>
      <c r="IZ5" s="107"/>
      <c r="JA5" s="107"/>
      <c r="JB5" s="107"/>
      <c r="JC5" s="107"/>
      <c r="JD5" s="107"/>
      <c r="JE5" s="107"/>
      <c r="JF5" s="107"/>
      <c r="JG5" s="107"/>
      <c r="JH5" s="107"/>
      <c r="JI5" s="107"/>
      <c r="JJ5" s="107"/>
      <c r="JK5" s="107"/>
      <c r="JL5" s="107"/>
      <c r="JM5" s="107"/>
      <c r="JN5" s="107"/>
      <c r="JO5" s="107"/>
      <c r="JP5" s="107"/>
      <c r="JQ5" s="107"/>
      <c r="JR5" s="107"/>
      <c r="JS5" s="107"/>
      <c r="JT5" s="107"/>
      <c r="JU5" s="107"/>
      <c r="JV5" s="107"/>
      <c r="JW5" s="107"/>
      <c r="JX5" s="107"/>
      <c r="JY5" s="107"/>
      <c r="JZ5" s="107"/>
      <c r="KA5" s="107"/>
      <c r="KB5" s="107"/>
      <c r="KC5" s="107"/>
      <c r="KD5" s="107"/>
      <c r="KE5" s="107"/>
      <c r="KF5" s="107"/>
      <c r="KG5" s="107"/>
      <c r="KH5" s="107"/>
      <c r="KI5" s="107"/>
      <c r="KJ5" s="107"/>
      <c r="KK5" s="107"/>
      <c r="KL5" s="107"/>
      <c r="KM5" s="107"/>
      <c r="KN5" s="107"/>
      <c r="KO5" s="107"/>
      <c r="KP5" s="107"/>
      <c r="KQ5" s="107"/>
      <c r="KR5" s="107"/>
      <c r="KS5" s="107"/>
      <c r="KT5" s="107"/>
      <c r="KU5" s="107"/>
      <c r="KV5" s="107"/>
      <c r="KW5" s="107"/>
      <c r="KX5" s="107"/>
      <c r="KY5" s="107"/>
      <c r="KZ5" s="107"/>
      <c r="LA5" s="107"/>
      <c r="LB5" s="107"/>
      <c r="LC5" s="107"/>
      <c r="LD5" s="107"/>
      <c r="LE5" s="107"/>
      <c r="LF5" s="107"/>
      <c r="LG5" s="107"/>
      <c r="LH5" s="107"/>
      <c r="LI5" s="107"/>
      <c r="LJ5" s="107"/>
      <c r="LK5" s="107"/>
      <c r="LL5" s="107"/>
      <c r="LM5" s="107"/>
      <c r="LN5" s="107"/>
      <c r="LO5" s="107"/>
      <c r="LP5" s="107"/>
      <c r="LQ5" s="107"/>
      <c r="LR5" s="107"/>
      <c r="LS5" s="107"/>
      <c r="LT5" s="107"/>
      <c r="LU5" s="107"/>
      <c r="LV5" s="107"/>
      <c r="LW5" s="107"/>
      <c r="LX5" s="107"/>
      <c r="LY5" s="107"/>
      <c r="LZ5" s="107"/>
      <c r="MA5" s="107"/>
      <c r="MB5" s="107"/>
      <c r="MC5" s="107"/>
      <c r="MD5" s="107"/>
      <c r="ME5" s="107"/>
      <c r="MF5" s="107"/>
      <c r="MG5" s="107"/>
      <c r="MH5" s="107"/>
      <c r="MI5" s="107"/>
      <c r="MJ5" s="107"/>
      <c r="MK5" s="107"/>
      <c r="ML5" s="107"/>
      <c r="MM5" s="107"/>
      <c r="MN5" s="107"/>
      <c r="MO5" s="107"/>
      <c r="MP5" s="107"/>
      <c r="MQ5" s="107"/>
      <c r="MR5" s="107"/>
      <c r="MS5" s="107"/>
      <c r="MT5" s="107"/>
      <c r="MU5" s="107"/>
      <c r="MV5" s="107"/>
      <c r="MW5" s="107"/>
      <c r="MX5" s="107"/>
      <c r="MY5" s="107"/>
      <c r="MZ5" s="107"/>
      <c r="NA5" s="107"/>
      <c r="NB5" s="107"/>
      <c r="NC5" s="107"/>
      <c r="ND5" s="107"/>
      <c r="NE5" s="107"/>
      <c r="NF5" s="107"/>
      <c r="NG5" s="107"/>
      <c r="NH5" s="107"/>
      <c r="NI5" s="107"/>
      <c r="NJ5" s="107"/>
      <c r="NK5" s="107"/>
      <c r="NL5" s="107"/>
      <c r="NM5" s="107"/>
      <c r="NN5" s="107"/>
      <c r="NO5" s="107"/>
      <c r="NP5" s="107"/>
      <c r="NQ5" s="107"/>
      <c r="NR5" s="107"/>
      <c r="NS5" s="107"/>
      <c r="NT5" s="107"/>
      <c r="NU5" s="107"/>
      <c r="NV5" s="107"/>
      <c r="NW5" s="107"/>
      <c r="NX5" s="107"/>
      <c r="NY5" s="107"/>
      <c r="NZ5" s="107"/>
      <c r="OA5" s="107"/>
      <c r="OB5" s="107"/>
      <c r="OC5" s="107"/>
      <c r="OD5" s="107"/>
      <c r="OE5" s="107"/>
      <c r="OF5" s="107"/>
      <c r="OG5" s="107"/>
      <c r="OH5" s="107"/>
      <c r="OI5" s="107"/>
      <c r="OJ5" s="107"/>
      <c r="OK5" s="107"/>
      <c r="OL5" s="107"/>
      <c r="OM5" s="107"/>
      <c r="ON5" s="107"/>
      <c r="OO5" s="107"/>
      <c r="OP5" s="107"/>
      <c r="OQ5" s="107"/>
      <c r="OR5" s="107"/>
      <c r="OS5" s="107"/>
      <c r="OT5" s="107"/>
      <c r="OU5" s="107"/>
      <c r="OV5" s="107"/>
      <c r="OW5" s="107"/>
      <c r="OX5" s="107"/>
      <c r="OY5" s="107"/>
      <c r="OZ5" s="107"/>
      <c r="PA5" s="107"/>
      <c r="PB5" s="107"/>
      <c r="PC5" s="107"/>
      <c r="PD5" s="107"/>
      <c r="PE5" s="107"/>
      <c r="PF5" s="107"/>
      <c r="PG5" s="107"/>
      <c r="PH5" s="107"/>
      <c r="PI5" s="107"/>
      <c r="PJ5" s="107"/>
      <c r="PK5" s="107"/>
      <c r="PL5" s="107"/>
      <c r="PM5" s="107"/>
      <c r="PN5" s="107"/>
      <c r="PO5" s="107"/>
      <c r="PP5" s="107"/>
      <c r="PQ5" s="107"/>
      <c r="PR5" s="107"/>
      <c r="PS5" s="107"/>
      <c r="PT5" s="107"/>
      <c r="PU5" s="107"/>
      <c r="PV5" s="107"/>
      <c r="PW5" s="107"/>
      <c r="PX5" s="107"/>
      <c r="PY5" s="107"/>
      <c r="PZ5" s="107"/>
      <c r="QA5" s="107"/>
      <c r="QB5" s="107"/>
      <c r="QC5" s="107"/>
      <c r="QD5" s="107"/>
      <c r="QE5" s="107"/>
      <c r="QF5" s="107"/>
      <c r="QG5" s="107"/>
      <c r="QH5" s="107"/>
      <c r="QI5" s="107"/>
      <c r="QJ5" s="107"/>
      <c r="QK5" s="107"/>
      <c r="QL5" s="107"/>
      <c r="QM5" s="107"/>
      <c r="QN5" s="107"/>
      <c r="QO5" s="107"/>
      <c r="QP5" s="107"/>
      <c r="QQ5" s="107"/>
      <c r="QR5" s="107"/>
      <c r="QS5" s="107"/>
      <c r="QT5" s="107"/>
      <c r="QU5" s="107"/>
      <c r="QV5" s="107"/>
      <c r="QW5" s="107"/>
      <c r="QX5" s="107"/>
      <c r="QY5" s="107"/>
      <c r="QZ5" s="107"/>
      <c r="RA5" s="107"/>
      <c r="RB5" s="107"/>
      <c r="RC5" s="107"/>
      <c r="RD5" s="107"/>
      <c r="RE5" s="107"/>
      <c r="RF5" s="107"/>
      <c r="RG5" s="107"/>
      <c r="RH5" s="107"/>
      <c r="RI5" s="107"/>
      <c r="RJ5" s="107"/>
      <c r="RK5" s="107"/>
      <c r="RL5" s="107"/>
      <c r="RM5" s="107"/>
      <c r="RN5" s="107"/>
      <c r="RO5" s="107"/>
      <c r="RP5" s="107"/>
      <c r="RQ5" s="107"/>
      <c r="RR5" s="107"/>
      <c r="RS5" s="107"/>
      <c r="RT5" s="107"/>
      <c r="RU5" s="107"/>
      <c r="RV5" s="107"/>
      <c r="RW5" s="107"/>
      <c r="RX5" s="107"/>
      <c r="RY5" s="107"/>
      <c r="RZ5" s="107"/>
      <c r="SA5" s="107"/>
      <c r="SB5" s="107"/>
      <c r="SC5" s="107"/>
      <c r="SD5" s="107"/>
      <c r="SE5" s="107"/>
      <c r="SF5" s="107"/>
      <c r="SG5" s="107"/>
      <c r="SH5" s="107"/>
      <c r="SI5" s="107"/>
      <c r="SJ5" s="107"/>
      <c r="SK5" s="107"/>
      <c r="SL5" s="107"/>
      <c r="SM5" s="107"/>
      <c r="SN5" s="107"/>
      <c r="SO5" s="107"/>
      <c r="SP5" s="107"/>
      <c r="SQ5" s="107"/>
      <c r="SR5" s="107"/>
      <c r="SS5" s="107"/>
      <c r="ST5" s="107"/>
      <c r="SU5" s="107"/>
      <c r="SV5" s="107"/>
      <c r="SW5" s="107"/>
      <c r="SX5" s="107"/>
      <c r="SY5" s="107"/>
      <c r="SZ5" s="107"/>
      <c r="TA5" s="107"/>
      <c r="TB5" s="107"/>
      <c r="TC5" s="107"/>
      <c r="TD5" s="107"/>
      <c r="TE5" s="107"/>
      <c r="TF5" s="107"/>
      <c r="TG5" s="107"/>
      <c r="TH5" s="107"/>
      <c r="TI5" s="107"/>
      <c r="TJ5" s="107"/>
      <c r="TK5" s="107"/>
      <c r="TL5" s="107"/>
      <c r="TM5" s="107"/>
      <c r="TN5" s="107"/>
      <c r="TO5" s="107"/>
      <c r="TP5" s="107"/>
      <c r="TQ5" s="107"/>
      <c r="TR5" s="107"/>
      <c r="TS5" s="107"/>
      <c r="TT5" s="107"/>
      <c r="TU5" s="107"/>
      <c r="TV5" s="107"/>
      <c r="TW5" s="107"/>
      <c r="TX5" s="107"/>
      <c r="TY5" s="107"/>
      <c r="TZ5" s="107"/>
      <c r="UA5" s="107"/>
      <c r="UB5" s="107"/>
      <c r="UC5" s="107"/>
      <c r="UD5" s="107"/>
      <c r="UE5" s="107"/>
      <c r="UF5" s="107"/>
      <c r="UG5" s="107"/>
      <c r="UH5" s="107"/>
      <c r="UI5" s="107"/>
      <c r="UJ5" s="107"/>
      <c r="UK5" s="107"/>
      <c r="UL5" s="107"/>
      <c r="UM5" s="107"/>
      <c r="UN5" s="107"/>
      <c r="UO5" s="107"/>
      <c r="UP5" s="107"/>
      <c r="UQ5" s="107"/>
      <c r="UR5" s="107"/>
      <c r="US5" s="107"/>
      <c r="UT5" s="107"/>
      <c r="UU5" s="107"/>
      <c r="UV5" s="107"/>
      <c r="UW5" s="107"/>
      <c r="UX5" s="107"/>
      <c r="UY5" s="107"/>
      <c r="UZ5" s="107"/>
      <c r="VA5" s="107"/>
      <c r="VB5" s="107"/>
      <c r="VC5" s="107"/>
      <c r="VD5" s="107"/>
      <c r="VE5" s="107"/>
      <c r="VF5" s="107"/>
      <c r="VG5" s="107"/>
      <c r="VH5" s="107"/>
      <c r="VI5" s="107"/>
      <c r="VJ5" s="107"/>
      <c r="VK5" s="107"/>
      <c r="VL5" s="107"/>
      <c r="VM5" s="107"/>
      <c r="VN5" s="107"/>
      <c r="VO5" s="107"/>
      <c r="VP5" s="107"/>
      <c r="VQ5" s="107"/>
      <c r="VR5" s="107"/>
      <c r="VS5" s="107"/>
      <c r="VT5" s="107"/>
      <c r="VU5" s="107"/>
      <c r="VV5" s="107"/>
      <c r="VW5" s="107"/>
      <c r="VX5" s="107"/>
      <c r="VY5" s="107"/>
      <c r="VZ5" s="107"/>
      <c r="WA5" s="107"/>
      <c r="WB5" s="107"/>
      <c r="WC5" s="107"/>
      <c r="WD5" s="107"/>
      <c r="WE5" s="107"/>
      <c r="WF5" s="107"/>
      <c r="WG5" s="107"/>
      <c r="WH5" s="107"/>
      <c r="WI5" s="107"/>
      <c r="WJ5" s="107"/>
      <c r="WK5" s="107"/>
      <c r="WL5" s="107"/>
      <c r="WM5" s="107"/>
      <c r="WN5" s="107"/>
      <c r="WO5" s="107"/>
      <c r="WP5" s="107"/>
      <c r="WQ5" s="107"/>
      <c r="WR5" s="107"/>
      <c r="WS5" s="107"/>
      <c r="WT5" s="107"/>
      <c r="WU5" s="107"/>
      <c r="WV5" s="107"/>
      <c r="WW5" s="107"/>
      <c r="WX5" s="107"/>
      <c r="WY5" s="107"/>
      <c r="WZ5" s="107"/>
      <c r="XA5" s="107"/>
      <c r="XB5" s="107"/>
      <c r="XC5" s="107"/>
      <c r="XD5" s="107"/>
      <c r="XE5" s="107"/>
      <c r="XF5" s="107"/>
      <c r="XG5" s="107"/>
      <c r="XH5" s="107"/>
      <c r="XI5" s="107"/>
      <c r="XJ5" s="107"/>
      <c r="XK5" s="107"/>
      <c r="XL5" s="107"/>
      <c r="XM5" s="107"/>
      <c r="XN5" s="107"/>
      <c r="XO5" s="107"/>
      <c r="XP5" s="107"/>
      <c r="XQ5" s="107"/>
      <c r="XR5" s="107"/>
      <c r="XS5" s="107"/>
      <c r="XT5" s="107"/>
      <c r="XU5" s="107"/>
      <c r="XV5" s="107"/>
      <c r="XW5" s="107"/>
      <c r="XX5" s="107"/>
      <c r="XY5" s="107"/>
      <c r="XZ5" s="107"/>
      <c r="YA5" s="107"/>
      <c r="YB5" s="107"/>
      <c r="YC5" s="107"/>
      <c r="YD5" s="107"/>
      <c r="YE5" s="107"/>
      <c r="YF5" s="107"/>
      <c r="YG5" s="107"/>
      <c r="YH5" s="107"/>
      <c r="YI5" s="107"/>
      <c r="YJ5" s="107"/>
      <c r="YK5" s="107"/>
      <c r="YL5" s="107"/>
      <c r="YM5" s="107"/>
      <c r="YN5" s="107"/>
      <c r="YO5" s="107"/>
      <c r="YP5" s="107"/>
      <c r="YQ5" s="107"/>
      <c r="YR5" s="107"/>
      <c r="YS5" s="107"/>
      <c r="YT5" s="107"/>
      <c r="YU5" s="107"/>
      <c r="YV5" s="107"/>
      <c r="YW5" s="107"/>
      <c r="YX5" s="107"/>
      <c r="YY5" s="107"/>
      <c r="YZ5" s="107"/>
      <c r="ZA5" s="107"/>
      <c r="ZB5" s="107"/>
      <c r="ZC5" s="107"/>
      <c r="ZD5" s="107"/>
      <c r="ZE5" s="107"/>
      <c r="ZF5" s="107"/>
      <c r="ZG5" s="107"/>
      <c r="ZH5" s="107"/>
      <c r="ZI5" s="107"/>
      <c r="ZJ5" s="107"/>
      <c r="ZK5" s="107"/>
      <c r="ZL5" s="107"/>
      <c r="ZM5" s="107"/>
      <c r="ZN5" s="107"/>
      <c r="ZO5" s="107"/>
      <c r="ZP5" s="107"/>
      <c r="ZQ5" s="107"/>
      <c r="ZR5" s="107"/>
      <c r="ZS5" s="107"/>
      <c r="ZT5" s="107"/>
      <c r="ZU5" s="107"/>
      <c r="ZV5" s="107"/>
      <c r="ZW5" s="107"/>
      <c r="ZX5" s="107"/>
      <c r="ZY5" s="107"/>
      <c r="ZZ5" s="107"/>
      <c r="AAA5" s="107"/>
      <c r="AAB5" s="107"/>
      <c r="AAC5" s="107"/>
      <c r="AAD5" s="107"/>
      <c r="AAE5" s="107"/>
      <c r="AAF5" s="107"/>
      <c r="AAG5" s="107"/>
      <c r="AAH5" s="107"/>
      <c r="AAI5" s="107"/>
      <c r="AAJ5" s="107"/>
      <c r="AAK5" s="107"/>
      <c r="AAL5" s="107"/>
      <c r="AAM5" s="107"/>
      <c r="AAN5" s="107"/>
      <c r="AAO5" s="107"/>
      <c r="AAP5" s="107"/>
      <c r="AAQ5" s="107"/>
      <c r="AAR5" s="107"/>
      <c r="AAS5" s="107"/>
      <c r="AAT5" s="107"/>
      <c r="AAU5" s="107"/>
      <c r="AAV5" s="107"/>
      <c r="AAW5" s="107"/>
      <c r="AAX5" s="107"/>
      <c r="AAY5" s="107"/>
      <c r="AAZ5" s="107"/>
      <c r="ABA5" s="107"/>
      <c r="ABB5" s="107"/>
      <c r="ABC5" s="107"/>
      <c r="ABD5" s="107"/>
      <c r="ABE5" s="107"/>
      <c r="ABF5" s="107"/>
      <c r="ABG5" s="107"/>
      <c r="ABH5" s="107"/>
      <c r="ABI5" s="107"/>
      <c r="ABJ5" s="107"/>
      <c r="ABK5" s="107"/>
      <c r="ABL5" s="107"/>
      <c r="ABM5" s="107"/>
      <c r="ABN5" s="107"/>
      <c r="ABO5" s="107"/>
      <c r="ABP5" s="107"/>
      <c r="ABQ5" s="107"/>
      <c r="ABR5" s="107"/>
      <c r="ABS5" s="107"/>
      <c r="ABT5" s="107"/>
      <c r="ABU5" s="107"/>
      <c r="ABV5" s="107"/>
      <c r="ABW5" s="107"/>
      <c r="ABX5" s="107"/>
      <c r="ABY5" s="107"/>
      <c r="ABZ5" s="107"/>
      <c r="ACA5" s="107"/>
      <c r="ACB5" s="107"/>
      <c r="ACC5" s="107"/>
      <c r="ACD5" s="107"/>
      <c r="ACE5" s="107"/>
      <c r="ACF5" s="107"/>
      <c r="ACG5" s="107"/>
      <c r="ACH5" s="107"/>
      <c r="ACI5" s="107"/>
      <c r="ACJ5" s="107"/>
      <c r="ACK5" s="107"/>
      <c r="ACL5" s="107"/>
      <c r="ACM5" s="107"/>
      <c r="ACN5" s="107"/>
      <c r="ACO5" s="107"/>
      <c r="ACP5" s="107"/>
      <c r="ACQ5" s="107"/>
      <c r="ACR5" s="107"/>
      <c r="ACS5" s="107"/>
      <c r="ACT5" s="107"/>
      <c r="ACU5" s="107"/>
      <c r="ACV5" s="107"/>
      <c r="ACW5" s="107"/>
      <c r="ACX5" s="107"/>
      <c r="ACY5" s="107"/>
      <c r="ACZ5" s="107"/>
      <c r="ADA5" s="107"/>
      <c r="ADB5" s="107"/>
      <c r="ADC5" s="107"/>
      <c r="ADD5" s="107"/>
      <c r="ADE5" s="107"/>
      <c r="ADF5" s="107"/>
      <c r="ADG5" s="107"/>
      <c r="ADH5" s="107"/>
      <c r="ADI5" s="107"/>
      <c r="ADJ5" s="107"/>
      <c r="ADK5" s="107"/>
      <c r="ADL5" s="107"/>
      <c r="ADM5" s="107"/>
      <c r="ADN5" s="107"/>
      <c r="ADO5" s="107"/>
      <c r="ADP5" s="107"/>
      <c r="ADQ5" s="107"/>
      <c r="ADR5" s="107"/>
      <c r="ADS5" s="107"/>
      <c r="ADT5" s="107"/>
      <c r="ADU5" s="107"/>
      <c r="ADV5" s="107"/>
      <c r="ADW5" s="107"/>
      <c r="ADX5" s="107"/>
      <c r="ADY5" s="107"/>
      <c r="ADZ5" s="107"/>
      <c r="AEA5" s="107"/>
      <c r="AEB5" s="107"/>
      <c r="AEC5" s="107"/>
      <c r="AED5" s="107"/>
      <c r="AEE5" s="107"/>
      <c r="AEF5" s="107"/>
      <c r="AEG5" s="107"/>
      <c r="AEH5" s="107"/>
      <c r="AEI5" s="107"/>
      <c r="AEJ5" s="107"/>
      <c r="AEK5" s="107"/>
      <c r="AEL5" s="107"/>
      <c r="AEM5" s="107"/>
      <c r="AEN5" s="107"/>
      <c r="AEO5" s="107"/>
      <c r="AEP5" s="107"/>
      <c r="AEQ5" s="107"/>
      <c r="AER5" s="107"/>
      <c r="AES5" s="107"/>
      <c r="AET5" s="107"/>
      <c r="AEU5" s="107"/>
      <c r="AEV5" s="107"/>
      <c r="AEW5" s="107"/>
      <c r="AEX5" s="107"/>
      <c r="AEY5" s="107"/>
      <c r="AEZ5" s="107"/>
      <c r="AFA5" s="107"/>
      <c r="AFB5" s="107"/>
      <c r="AFC5" s="107"/>
      <c r="AFD5" s="107"/>
      <c r="AFE5" s="107"/>
      <c r="AFF5" s="107"/>
      <c r="AFG5" s="107"/>
      <c r="AFH5" s="107"/>
      <c r="AFI5" s="107"/>
      <c r="AFJ5" s="107"/>
      <c r="AFK5" s="107"/>
      <c r="AFL5" s="107"/>
      <c r="AFM5" s="107"/>
      <c r="AFN5" s="107"/>
      <c r="AFO5" s="107"/>
      <c r="AFP5" s="107"/>
      <c r="AFQ5" s="107"/>
      <c r="AFR5" s="107"/>
      <c r="AFS5" s="107"/>
      <c r="AFT5" s="107"/>
      <c r="AFU5" s="107"/>
      <c r="AFV5" s="107"/>
      <c r="AFW5" s="107"/>
      <c r="AFX5" s="107"/>
      <c r="AFY5" s="107"/>
      <c r="AFZ5" s="107"/>
      <c r="AGA5" s="107"/>
      <c r="AGB5" s="107"/>
      <c r="AGC5" s="107"/>
      <c r="AGD5" s="107"/>
      <c r="AGE5" s="107"/>
      <c r="AGF5" s="107"/>
      <c r="AGG5" s="107"/>
      <c r="AGH5" s="107"/>
      <c r="AGI5" s="107"/>
      <c r="AGJ5" s="107"/>
      <c r="AGK5" s="107"/>
      <c r="AGL5" s="107"/>
      <c r="AGM5" s="107"/>
      <c r="AGN5" s="107"/>
      <c r="AGO5" s="107"/>
      <c r="AGP5" s="107"/>
      <c r="AGQ5" s="107"/>
      <c r="AGR5" s="107"/>
      <c r="AGS5" s="107"/>
      <c r="AGT5" s="107"/>
      <c r="AGU5" s="107"/>
      <c r="AGV5" s="107"/>
      <c r="AGW5" s="107"/>
      <c r="AGX5" s="107"/>
      <c r="AGY5" s="107"/>
      <c r="AGZ5" s="107"/>
      <c r="AHA5" s="107"/>
      <c r="AHB5" s="107"/>
      <c r="AHC5" s="107"/>
      <c r="AHD5" s="107"/>
      <c r="AHE5" s="107"/>
      <c r="AHF5" s="107"/>
      <c r="AHG5" s="107"/>
      <c r="AHH5" s="107"/>
      <c r="AHI5" s="107"/>
      <c r="AHJ5" s="107"/>
      <c r="AHK5" s="107"/>
      <c r="AHL5" s="107"/>
      <c r="AHM5" s="107"/>
      <c r="AHN5" s="107"/>
      <c r="AHO5" s="107"/>
      <c r="AHP5" s="107"/>
      <c r="AHQ5" s="107"/>
      <c r="AHR5" s="107"/>
      <c r="AHS5" s="107"/>
      <c r="AHT5" s="107"/>
      <c r="AHU5" s="107"/>
      <c r="AHV5" s="107"/>
      <c r="AHW5" s="107"/>
      <c r="AHX5" s="107"/>
      <c r="AHY5" s="107"/>
      <c r="AHZ5" s="107"/>
      <c r="AIA5" s="107"/>
      <c r="AIB5" s="107"/>
      <c r="AIC5" s="107"/>
      <c r="AID5" s="107"/>
      <c r="AIE5" s="107"/>
      <c r="AIF5" s="107"/>
      <c r="AIG5" s="107"/>
      <c r="AIH5" s="107"/>
      <c r="AII5" s="107"/>
      <c r="AIJ5" s="107"/>
      <c r="AIK5" s="107"/>
      <c r="AIL5" s="107"/>
      <c r="AIM5" s="107"/>
      <c r="AIN5" s="107"/>
      <c r="AIO5" s="107"/>
      <c r="AIP5" s="107"/>
      <c r="AIQ5" s="107"/>
      <c r="AIR5" s="107"/>
      <c r="AIS5" s="107"/>
      <c r="AIT5" s="107"/>
      <c r="AIU5" s="107"/>
      <c r="AIV5" s="107"/>
      <c r="AIW5" s="107"/>
      <c r="AIX5" s="107"/>
      <c r="AIY5" s="107"/>
      <c r="AIZ5" s="107"/>
      <c r="AJA5" s="107"/>
      <c r="AJB5" s="107"/>
      <c r="AJC5" s="107"/>
      <c r="AJD5" s="107"/>
      <c r="AJE5" s="107"/>
      <c r="AJF5" s="107"/>
      <c r="AJG5" s="107"/>
      <c r="AJH5" s="107"/>
      <c r="AJI5" s="107"/>
      <c r="AJJ5" s="107"/>
      <c r="AJK5" s="107"/>
      <c r="AJL5" s="107"/>
      <c r="AJM5" s="107"/>
      <c r="AJN5" s="107"/>
      <c r="AJO5" s="107"/>
      <c r="AJP5" s="107"/>
      <c r="AJQ5" s="107"/>
      <c r="AJR5" s="107"/>
      <c r="AJS5" s="107"/>
      <c r="AJT5" s="107"/>
      <c r="AJU5" s="107"/>
      <c r="AJV5" s="107"/>
      <c r="AJW5" s="107"/>
      <c r="AJX5" s="107"/>
      <c r="AJY5" s="107"/>
      <c r="AJZ5" s="107"/>
      <c r="AKA5" s="107"/>
      <c r="AKB5" s="107"/>
      <c r="AKC5" s="107"/>
      <c r="AKD5" s="107"/>
      <c r="AKE5" s="107"/>
      <c r="AKF5" s="107"/>
      <c r="AKG5" s="107"/>
      <c r="AKH5" s="107"/>
      <c r="AKI5" s="107"/>
      <c r="AKJ5" s="107"/>
      <c r="AKK5" s="107"/>
      <c r="AKL5" s="107"/>
      <c r="AKM5" s="107"/>
      <c r="AKN5" s="107"/>
      <c r="AKO5" s="107"/>
      <c r="AKP5" s="107"/>
      <c r="AKQ5" s="107"/>
      <c r="AKR5" s="107"/>
      <c r="AKS5" s="107"/>
      <c r="AKT5" s="107"/>
      <c r="AKU5" s="107"/>
      <c r="AKV5" s="107"/>
      <c r="AKW5" s="107"/>
      <c r="AKX5" s="107"/>
      <c r="AKY5" s="107"/>
      <c r="AKZ5" s="107"/>
      <c r="ALA5" s="107"/>
      <c r="ALB5" s="107"/>
      <c r="ALC5" s="107"/>
      <c r="ALD5" s="107"/>
      <c r="ALE5" s="107"/>
      <c r="ALF5" s="107"/>
      <c r="ALG5" s="107"/>
      <c r="ALH5" s="107"/>
      <c r="ALI5" s="107"/>
      <c r="ALJ5" s="107"/>
      <c r="ALK5" s="107"/>
      <c r="ALL5" s="107"/>
      <c r="ALM5" s="107"/>
      <c r="ALN5" s="107"/>
      <c r="ALO5" s="107"/>
      <c r="ALP5" s="107"/>
      <c r="ALQ5" s="107"/>
      <c r="ALR5" s="107"/>
      <c r="ALS5" s="107"/>
      <c r="ALT5" s="107"/>
      <c r="ALU5" s="107"/>
      <c r="ALV5" s="107"/>
      <c r="ALW5" s="107"/>
      <c r="ALX5" s="107"/>
      <c r="ALY5" s="107"/>
      <c r="ALZ5" s="107"/>
      <c r="AMA5" s="107"/>
      <c r="AMB5" s="107"/>
      <c r="AMC5" s="107"/>
      <c r="AMD5" s="107"/>
      <c r="AME5" s="107"/>
      <c r="AMF5" s="107"/>
      <c r="AMG5" s="107"/>
      <c r="AMH5" s="107"/>
      <c r="AMI5" s="107"/>
      <c r="AMJ5" s="107"/>
      <c r="AMK5" s="107"/>
      <c r="AML5" s="107"/>
      <c r="AMM5" s="107"/>
      <c r="AMN5" s="107"/>
      <c r="AMO5" s="107"/>
      <c r="AMP5" s="107"/>
      <c r="AMQ5" s="107"/>
      <c r="AMR5" s="107"/>
      <c r="AMS5" s="107"/>
      <c r="AMT5" s="107"/>
      <c r="AMU5" s="107"/>
      <c r="AMV5" s="107"/>
      <c r="AMW5" s="107"/>
      <c r="AMX5" s="107"/>
      <c r="AMY5" s="107"/>
      <c r="AMZ5" s="107"/>
      <c r="ANA5" s="107"/>
      <c r="ANB5" s="107"/>
      <c r="ANC5" s="107"/>
      <c r="AND5" s="107"/>
      <c r="ANE5" s="107"/>
      <c r="ANF5" s="107"/>
      <c r="ANG5" s="107"/>
      <c r="ANH5" s="107"/>
      <c r="ANI5" s="107"/>
      <c r="ANJ5" s="107"/>
      <c r="ANK5" s="107"/>
      <c r="ANL5" s="107"/>
      <c r="ANM5" s="107"/>
      <c r="ANN5" s="107"/>
      <c r="ANO5" s="107"/>
      <c r="ANP5" s="107"/>
      <c r="ANQ5" s="107"/>
      <c r="ANR5" s="107"/>
      <c r="ANS5" s="107"/>
      <c r="ANT5" s="107"/>
      <c r="ANU5" s="107"/>
      <c r="ANV5" s="107"/>
      <c r="ANW5" s="107"/>
      <c r="ANX5" s="107"/>
      <c r="ANY5" s="107"/>
      <c r="ANZ5" s="107"/>
      <c r="AOA5" s="107"/>
      <c r="AOB5" s="107"/>
      <c r="AOC5" s="107"/>
      <c r="AOD5" s="107"/>
      <c r="AOE5" s="107"/>
      <c r="AOF5" s="107"/>
      <c r="AOG5" s="107"/>
      <c r="AOH5" s="107"/>
      <c r="AOI5" s="107"/>
      <c r="AOJ5" s="107"/>
      <c r="AOK5" s="107"/>
      <c r="AOL5" s="107"/>
      <c r="AOM5" s="107"/>
      <c r="AON5" s="107"/>
      <c r="AOO5" s="107"/>
      <c r="AOP5" s="107"/>
      <c r="AOQ5" s="107"/>
      <c r="AOR5" s="107"/>
      <c r="AOS5" s="107"/>
      <c r="AOT5" s="107"/>
      <c r="AOU5" s="107"/>
      <c r="AOV5" s="107"/>
      <c r="AOW5" s="107"/>
      <c r="AOX5" s="107"/>
      <c r="AOY5" s="107"/>
      <c r="AOZ5" s="107"/>
      <c r="APA5" s="107"/>
      <c r="APB5" s="107"/>
      <c r="APC5" s="107"/>
      <c r="APD5" s="107"/>
      <c r="APE5" s="107"/>
      <c r="APF5" s="107"/>
      <c r="APG5" s="107"/>
      <c r="APH5" s="107"/>
      <c r="API5" s="107"/>
      <c r="APJ5" s="107"/>
      <c r="APK5" s="107"/>
      <c r="APL5" s="107"/>
      <c r="APM5" s="107"/>
      <c r="APN5" s="107"/>
      <c r="APO5" s="107"/>
      <c r="APP5" s="107"/>
      <c r="APQ5" s="107"/>
      <c r="APR5" s="107"/>
      <c r="APS5" s="107"/>
      <c r="APT5" s="107"/>
      <c r="APU5" s="107"/>
      <c r="APV5" s="107"/>
      <c r="APW5" s="107"/>
      <c r="APX5" s="107"/>
      <c r="APY5" s="107"/>
      <c r="APZ5" s="107"/>
      <c r="AQA5" s="107"/>
      <c r="AQB5" s="107"/>
      <c r="AQC5" s="107"/>
      <c r="AQD5" s="107"/>
      <c r="AQE5" s="107"/>
      <c r="AQF5" s="107"/>
      <c r="AQG5" s="107"/>
      <c r="AQH5" s="107"/>
      <c r="AQI5" s="107"/>
      <c r="AQJ5" s="107"/>
      <c r="AQK5" s="107"/>
      <c r="AQL5" s="107"/>
      <c r="AQM5" s="107"/>
      <c r="AQN5" s="107"/>
      <c r="AQO5" s="107"/>
      <c r="AQP5" s="107"/>
      <c r="AQQ5" s="107"/>
      <c r="AQR5" s="107"/>
      <c r="AQS5" s="107"/>
      <c r="AQT5" s="107"/>
      <c r="AQU5" s="107"/>
      <c r="AQV5" s="107"/>
      <c r="AQW5" s="107"/>
      <c r="AQX5" s="107"/>
      <c r="AQY5" s="107"/>
      <c r="AQZ5" s="107"/>
      <c r="ARA5" s="107"/>
      <c r="ARB5" s="107"/>
      <c r="ARC5" s="107"/>
      <c r="ARD5" s="107"/>
      <c r="ARE5" s="107"/>
      <c r="ARF5" s="107"/>
      <c r="ARG5" s="107"/>
      <c r="ARH5" s="107"/>
      <c r="ARI5" s="107"/>
      <c r="ARJ5" s="107"/>
      <c r="ARK5" s="107"/>
      <c r="ARL5" s="107"/>
      <c r="ARM5" s="107"/>
      <c r="ARN5" s="107"/>
      <c r="ARO5" s="107"/>
      <c r="ARP5" s="107"/>
      <c r="ARQ5" s="107"/>
      <c r="ARR5" s="107"/>
      <c r="ARS5" s="107"/>
      <c r="ART5" s="107"/>
      <c r="ARU5" s="107"/>
      <c r="ARV5" s="107"/>
      <c r="ARW5" s="107"/>
      <c r="ARX5" s="107"/>
      <c r="ARY5" s="107"/>
      <c r="ARZ5" s="107"/>
      <c r="ASA5" s="107"/>
      <c r="ASB5" s="107"/>
      <c r="ASC5" s="107"/>
      <c r="ASD5" s="107"/>
      <c r="ASE5" s="107"/>
      <c r="ASF5" s="107"/>
      <c r="ASG5" s="107"/>
      <c r="ASH5" s="107"/>
      <c r="ASI5" s="107"/>
      <c r="ASJ5" s="107"/>
      <c r="ASK5" s="107"/>
      <c r="ASL5" s="107"/>
      <c r="ASM5" s="107"/>
      <c r="ASN5" s="107"/>
      <c r="ASO5" s="107"/>
      <c r="ASP5" s="107"/>
      <c r="ASQ5" s="107"/>
      <c r="ASR5" s="107"/>
      <c r="ASS5" s="107"/>
      <c r="AST5" s="107"/>
      <c r="ASU5" s="107"/>
      <c r="ASV5" s="107"/>
      <c r="ASW5" s="107"/>
      <c r="ASX5" s="107"/>
      <c r="ASY5" s="107"/>
      <c r="ASZ5" s="107"/>
      <c r="ATA5" s="107"/>
      <c r="ATB5" s="107"/>
      <c r="ATC5" s="107"/>
      <c r="ATD5" s="107"/>
      <c r="ATE5" s="107"/>
      <c r="ATF5" s="107"/>
      <c r="ATG5" s="107"/>
      <c r="ATH5" s="107"/>
      <c r="ATI5" s="107"/>
      <c r="ATJ5" s="107"/>
      <c r="ATK5" s="107"/>
      <c r="ATL5" s="107"/>
      <c r="ATM5" s="107"/>
      <c r="ATN5" s="107"/>
      <c r="ATO5" s="107"/>
      <c r="ATP5" s="107"/>
      <c r="ATQ5" s="107"/>
      <c r="ATR5" s="107"/>
      <c r="ATS5" s="107"/>
      <c r="ATT5" s="107"/>
      <c r="ATU5" s="107"/>
      <c r="ATV5" s="107"/>
      <c r="ATW5" s="107"/>
      <c r="ATX5" s="107"/>
      <c r="ATY5" s="107"/>
      <c r="ATZ5" s="107"/>
      <c r="AUA5" s="107"/>
      <c r="AUB5" s="107"/>
      <c r="AUC5" s="107"/>
      <c r="AUD5" s="107"/>
      <c r="AUE5" s="107"/>
      <c r="AUF5" s="107"/>
      <c r="AUG5" s="107"/>
      <c r="AUH5" s="107"/>
      <c r="AUI5" s="107"/>
      <c r="AUJ5" s="107"/>
      <c r="AUK5" s="107"/>
      <c r="AUL5" s="107"/>
      <c r="AUM5" s="107"/>
      <c r="AUN5" s="107"/>
      <c r="AUO5" s="107"/>
      <c r="AUP5" s="107"/>
      <c r="AUQ5" s="107"/>
      <c r="AUR5" s="107"/>
      <c r="AUS5" s="107"/>
      <c r="AUT5" s="107"/>
      <c r="AUU5" s="107"/>
      <c r="AUV5" s="107"/>
      <c r="AUW5" s="107"/>
      <c r="AUX5" s="107"/>
      <c r="AUY5" s="107"/>
      <c r="AUZ5" s="107"/>
      <c r="AVA5" s="107"/>
      <c r="AVB5" s="107"/>
      <c r="AVC5" s="107"/>
      <c r="AVD5" s="107"/>
      <c r="AVE5" s="107"/>
      <c r="AVF5" s="107"/>
      <c r="AVG5" s="107"/>
      <c r="AVH5" s="107"/>
      <c r="AVI5" s="107"/>
      <c r="AVJ5" s="107"/>
      <c r="AVK5" s="107"/>
      <c r="AVL5" s="107"/>
      <c r="AVM5" s="107"/>
      <c r="AVN5" s="107"/>
      <c r="AVO5" s="107"/>
      <c r="AVP5" s="107"/>
      <c r="AVQ5" s="107"/>
      <c r="AVR5" s="107"/>
      <c r="AVS5" s="107"/>
      <c r="AVT5" s="107"/>
      <c r="AVU5" s="107"/>
      <c r="AVV5" s="107"/>
      <c r="AVW5" s="107"/>
      <c r="AVX5" s="107"/>
      <c r="AVY5" s="107"/>
      <c r="AVZ5" s="107"/>
      <c r="AWA5" s="107"/>
      <c r="AWB5" s="107"/>
      <c r="AWC5" s="107"/>
      <c r="AWD5" s="107"/>
      <c r="AWE5" s="107"/>
      <c r="AWF5" s="107"/>
      <c r="AWG5" s="107"/>
      <c r="AWH5" s="107"/>
      <c r="AWI5" s="107"/>
      <c r="AWJ5" s="107"/>
      <c r="AWK5" s="107"/>
      <c r="AWL5" s="107"/>
      <c r="AWM5" s="107"/>
      <c r="AWN5" s="107"/>
      <c r="AWO5" s="107"/>
      <c r="AWP5" s="107"/>
      <c r="AWQ5" s="107"/>
      <c r="AWR5" s="107"/>
      <c r="AWS5" s="107"/>
      <c r="AWT5" s="107"/>
      <c r="AWU5" s="107"/>
      <c r="AWV5" s="107"/>
      <c r="AWW5" s="107"/>
      <c r="AWX5" s="107"/>
      <c r="AWY5" s="107"/>
      <c r="AWZ5" s="107"/>
      <c r="AXA5" s="107"/>
      <c r="AXB5" s="107"/>
      <c r="AXC5" s="107"/>
      <c r="AXD5" s="107"/>
      <c r="AXE5" s="107"/>
      <c r="AXF5" s="107"/>
      <c r="AXG5" s="107"/>
      <c r="AXH5" s="107"/>
      <c r="AXI5" s="107"/>
      <c r="AXJ5" s="107"/>
      <c r="AXK5" s="107"/>
      <c r="AXL5" s="107"/>
      <c r="AXM5" s="107"/>
      <c r="AXN5" s="107"/>
      <c r="AXO5" s="107"/>
      <c r="AXP5" s="107"/>
      <c r="AXQ5" s="107"/>
      <c r="AXR5" s="107"/>
      <c r="AXS5" s="107"/>
      <c r="AXT5" s="107"/>
      <c r="AXU5" s="107"/>
      <c r="AXV5" s="107"/>
      <c r="AXW5" s="107"/>
      <c r="AXX5" s="107"/>
      <c r="AXY5" s="107"/>
      <c r="AXZ5" s="107"/>
      <c r="AYA5" s="107"/>
      <c r="AYB5" s="107"/>
      <c r="AYC5" s="107"/>
      <c r="AYD5" s="107"/>
      <c r="AYE5" s="107"/>
      <c r="AYF5" s="107"/>
      <c r="AYG5" s="107"/>
      <c r="AYH5" s="107"/>
      <c r="AYI5" s="107"/>
      <c r="AYJ5" s="107"/>
      <c r="AYK5" s="107"/>
      <c r="AYL5" s="107"/>
      <c r="AYM5" s="107"/>
      <c r="AYN5" s="107"/>
      <c r="AYO5" s="107"/>
      <c r="AYP5" s="107"/>
      <c r="AYQ5" s="107"/>
      <c r="AYR5" s="107"/>
      <c r="AYS5" s="107"/>
      <c r="AYT5" s="107"/>
      <c r="AYU5" s="107"/>
      <c r="AYV5" s="107"/>
      <c r="AYW5" s="107"/>
      <c r="AYX5" s="107"/>
      <c r="AYY5" s="107"/>
      <c r="AYZ5" s="107"/>
      <c r="AZA5" s="107"/>
      <c r="AZB5" s="107"/>
      <c r="AZC5" s="107"/>
      <c r="AZD5" s="107"/>
      <c r="AZE5" s="107"/>
      <c r="AZF5" s="107"/>
      <c r="AZG5" s="107"/>
      <c r="AZH5" s="107"/>
      <c r="AZI5" s="107"/>
      <c r="AZJ5" s="107"/>
      <c r="AZK5" s="107"/>
      <c r="AZL5" s="107"/>
      <c r="AZM5" s="107"/>
      <c r="AZN5" s="107"/>
      <c r="AZO5" s="107"/>
      <c r="AZP5" s="107"/>
      <c r="AZQ5" s="107"/>
      <c r="AZR5" s="107"/>
      <c r="AZS5" s="107"/>
      <c r="AZT5" s="107"/>
      <c r="AZU5" s="107"/>
      <c r="AZV5" s="107"/>
      <c r="AZW5" s="107"/>
      <c r="AZX5" s="107"/>
      <c r="AZY5" s="107"/>
      <c r="AZZ5" s="107"/>
      <c r="BAA5" s="107"/>
      <c r="BAB5" s="107"/>
      <c r="BAC5" s="107"/>
      <c r="BAD5" s="107"/>
      <c r="BAE5" s="107"/>
      <c r="BAF5" s="107"/>
      <c r="BAG5" s="107"/>
      <c r="BAH5" s="107"/>
      <c r="BAI5" s="107"/>
      <c r="BAJ5" s="107"/>
      <c r="BAK5" s="107"/>
      <c r="BAL5" s="107"/>
      <c r="BAM5" s="107"/>
      <c r="BAN5" s="107"/>
      <c r="BAO5" s="107"/>
      <c r="BAP5" s="107"/>
      <c r="BAQ5" s="107"/>
      <c r="BAR5" s="107"/>
      <c r="BAS5" s="107"/>
      <c r="BAT5" s="107"/>
      <c r="BAU5" s="107"/>
      <c r="BAV5" s="107"/>
      <c r="BAW5" s="107"/>
      <c r="BAX5" s="107"/>
      <c r="BAY5" s="107"/>
      <c r="BAZ5" s="107"/>
      <c r="BBA5" s="107"/>
      <c r="BBB5" s="107"/>
      <c r="BBC5" s="107"/>
      <c r="BBD5" s="107"/>
      <c r="BBE5" s="107"/>
      <c r="BBF5" s="107"/>
      <c r="BBG5" s="107"/>
      <c r="BBH5" s="107"/>
      <c r="BBI5" s="107"/>
      <c r="BBJ5" s="107"/>
      <c r="BBK5" s="107"/>
      <c r="BBL5" s="107"/>
      <c r="BBM5" s="107"/>
      <c r="BBN5" s="107"/>
      <c r="BBO5" s="107"/>
      <c r="BBP5" s="107"/>
      <c r="BBQ5" s="107"/>
      <c r="BBR5" s="107"/>
      <c r="BBS5" s="107"/>
      <c r="BBT5" s="107"/>
      <c r="BBU5" s="107"/>
      <c r="BBV5" s="107"/>
      <c r="BBW5" s="107"/>
      <c r="BBX5" s="107"/>
      <c r="BBY5" s="107"/>
      <c r="BBZ5" s="107"/>
      <c r="BCA5" s="107"/>
      <c r="BCB5" s="107"/>
      <c r="BCC5" s="107"/>
      <c r="BCD5" s="107"/>
      <c r="BCE5" s="107"/>
      <c r="BCF5" s="107"/>
      <c r="BCG5" s="107"/>
      <c r="BCH5" s="107"/>
      <c r="BCI5" s="107"/>
      <c r="BCJ5" s="107"/>
      <c r="BCK5" s="107"/>
      <c r="BCL5" s="107"/>
      <c r="BCM5" s="107"/>
      <c r="BCN5" s="107"/>
      <c r="BCO5" s="107"/>
      <c r="BCP5" s="107"/>
      <c r="BCQ5" s="107"/>
      <c r="BCR5" s="107"/>
      <c r="BCS5" s="107"/>
      <c r="BCT5" s="107"/>
      <c r="BCU5" s="107"/>
      <c r="BCV5" s="107"/>
      <c r="BCW5" s="107"/>
      <c r="BCX5" s="107"/>
      <c r="BCY5" s="107"/>
      <c r="BCZ5" s="107"/>
      <c r="BDA5" s="107"/>
      <c r="BDB5" s="107"/>
      <c r="BDC5" s="107"/>
      <c r="BDD5" s="107"/>
      <c r="BDE5" s="107"/>
      <c r="BDF5" s="107"/>
      <c r="BDG5" s="107"/>
      <c r="BDH5" s="107"/>
      <c r="BDI5" s="107"/>
      <c r="BDJ5" s="107"/>
      <c r="BDK5" s="107"/>
      <c r="BDL5" s="107"/>
      <c r="BDM5" s="107"/>
      <c r="BDN5" s="107"/>
      <c r="BDO5" s="107"/>
      <c r="BDP5" s="107"/>
      <c r="BDQ5" s="107"/>
      <c r="BDR5" s="107"/>
      <c r="BDS5" s="107"/>
      <c r="BDT5" s="107"/>
      <c r="BDU5" s="107"/>
      <c r="BDV5" s="107"/>
      <c r="BDW5" s="107"/>
      <c r="BDX5" s="107"/>
      <c r="BDY5" s="107"/>
      <c r="BDZ5" s="107"/>
      <c r="BEA5" s="107"/>
      <c r="BEB5" s="107"/>
      <c r="BEC5" s="107"/>
      <c r="BED5" s="107"/>
      <c r="BEE5" s="107"/>
      <c r="BEF5" s="107"/>
      <c r="BEG5" s="107"/>
      <c r="BEH5" s="107"/>
      <c r="BEI5" s="107"/>
      <c r="BEJ5" s="107"/>
      <c r="BEK5" s="107"/>
      <c r="BEL5" s="107"/>
      <c r="BEM5" s="107"/>
      <c r="BEN5" s="107"/>
      <c r="BEO5" s="107"/>
      <c r="BEP5" s="107"/>
      <c r="BEQ5" s="107"/>
      <c r="BER5" s="107"/>
      <c r="BES5" s="107"/>
      <c r="BET5" s="107"/>
      <c r="BEU5" s="107"/>
      <c r="BEV5" s="107"/>
      <c r="BEW5" s="107"/>
      <c r="BEX5" s="107"/>
      <c r="BEY5" s="107"/>
      <c r="BEZ5" s="107"/>
      <c r="BFA5" s="107"/>
      <c r="BFB5" s="107"/>
      <c r="BFC5" s="107"/>
      <c r="BFD5" s="107"/>
      <c r="BFE5" s="107"/>
      <c r="BFF5" s="107"/>
      <c r="BFG5" s="107"/>
      <c r="BFH5" s="107"/>
      <c r="BFI5" s="107"/>
      <c r="BFJ5" s="107"/>
      <c r="BFK5" s="107"/>
      <c r="BFL5" s="107"/>
      <c r="BFM5" s="107"/>
      <c r="BFN5" s="107"/>
      <c r="BFO5" s="107"/>
      <c r="BFP5" s="107"/>
      <c r="BFQ5" s="107"/>
      <c r="BFR5" s="107"/>
      <c r="BFS5" s="107"/>
      <c r="BFT5" s="107"/>
      <c r="BFU5" s="107"/>
      <c r="BFV5" s="107"/>
      <c r="BFW5" s="107"/>
      <c r="BFX5" s="107"/>
      <c r="BFY5" s="107"/>
      <c r="BFZ5" s="107"/>
      <c r="BGA5" s="107"/>
      <c r="BGB5" s="107"/>
      <c r="BGC5" s="107"/>
      <c r="BGD5" s="107"/>
      <c r="BGE5" s="107"/>
      <c r="BGF5" s="107"/>
      <c r="BGG5" s="107"/>
      <c r="BGH5" s="107"/>
      <c r="BGI5" s="107"/>
      <c r="BGJ5" s="107"/>
      <c r="BGK5" s="107"/>
      <c r="BGL5" s="107"/>
      <c r="BGM5" s="107"/>
      <c r="BGN5" s="107"/>
      <c r="BGO5" s="107"/>
      <c r="BGP5" s="107"/>
      <c r="BGQ5" s="107"/>
      <c r="BGR5" s="107"/>
      <c r="BGS5" s="107"/>
      <c r="BGT5" s="107"/>
      <c r="BGU5" s="107"/>
      <c r="BGV5" s="107"/>
      <c r="BGW5" s="107"/>
      <c r="BGX5" s="107"/>
      <c r="BGY5" s="107"/>
      <c r="BGZ5" s="107"/>
      <c r="BHA5" s="107"/>
      <c r="BHB5" s="107"/>
      <c r="BHC5" s="107"/>
      <c r="BHD5" s="107"/>
      <c r="BHE5" s="107"/>
      <c r="BHF5" s="107"/>
      <c r="BHG5" s="107"/>
      <c r="BHH5" s="107"/>
      <c r="BHI5" s="107"/>
      <c r="BHJ5" s="107"/>
      <c r="BHK5" s="107"/>
      <c r="BHL5" s="107"/>
      <c r="BHM5" s="107"/>
      <c r="BHN5" s="107"/>
      <c r="BHO5" s="107"/>
      <c r="BHP5" s="107"/>
      <c r="BHQ5" s="107"/>
      <c r="BHR5" s="107"/>
      <c r="BHS5" s="107"/>
      <c r="BHT5" s="107"/>
      <c r="BHU5" s="107"/>
      <c r="BHV5" s="107"/>
      <c r="BHW5" s="107"/>
      <c r="BHX5" s="107"/>
      <c r="BHY5" s="107"/>
      <c r="BHZ5" s="107"/>
      <c r="BIA5" s="107"/>
      <c r="BIB5" s="107"/>
      <c r="BIC5" s="107"/>
      <c r="BID5" s="107"/>
      <c r="BIE5" s="107"/>
      <c r="BIF5" s="107"/>
      <c r="BIG5" s="107"/>
      <c r="BIH5" s="107"/>
      <c r="BII5" s="107"/>
      <c r="BIJ5" s="107"/>
      <c r="BIK5" s="107"/>
      <c r="BIL5" s="107"/>
      <c r="BIM5" s="107"/>
      <c r="BIN5" s="107"/>
      <c r="BIO5" s="107"/>
      <c r="BIP5" s="107"/>
      <c r="BIQ5" s="107"/>
      <c r="BIR5" s="107"/>
      <c r="BIS5" s="107"/>
      <c r="BIT5" s="107"/>
      <c r="BIU5" s="107"/>
      <c r="BIV5" s="107"/>
      <c r="BIW5" s="107"/>
      <c r="BIX5" s="107"/>
      <c r="BIY5" s="107"/>
      <c r="BIZ5" s="107"/>
      <c r="BJA5" s="107"/>
      <c r="BJB5" s="107"/>
      <c r="BJC5" s="107"/>
      <c r="BJD5" s="107"/>
      <c r="BJE5" s="107"/>
      <c r="BJF5" s="107"/>
      <c r="BJG5" s="107"/>
      <c r="BJH5" s="107"/>
      <c r="BJI5" s="107"/>
      <c r="BJJ5" s="107"/>
      <c r="BJK5" s="107"/>
      <c r="BJL5" s="107"/>
      <c r="BJM5" s="107"/>
      <c r="BJN5" s="107"/>
      <c r="BJO5" s="107"/>
      <c r="BJP5" s="107"/>
      <c r="BJQ5" s="107"/>
      <c r="BJR5" s="107"/>
      <c r="BJS5" s="107"/>
      <c r="BJT5" s="107"/>
      <c r="BJU5" s="107"/>
      <c r="BJV5" s="107"/>
      <c r="BJW5" s="107"/>
      <c r="BJX5" s="107"/>
      <c r="BJY5" s="107"/>
      <c r="BJZ5" s="107"/>
      <c r="BKA5" s="107"/>
      <c r="BKB5" s="107"/>
      <c r="BKC5" s="107"/>
      <c r="BKD5" s="107"/>
      <c r="BKE5" s="107"/>
      <c r="BKF5" s="107"/>
      <c r="BKG5" s="107"/>
      <c r="BKH5" s="107"/>
      <c r="BKI5" s="107"/>
      <c r="BKJ5" s="107"/>
      <c r="BKK5" s="107"/>
      <c r="BKL5" s="107"/>
      <c r="BKM5" s="107"/>
      <c r="BKN5" s="107"/>
      <c r="BKO5" s="107"/>
      <c r="BKP5" s="107"/>
      <c r="BKQ5" s="107"/>
      <c r="BKR5" s="107"/>
      <c r="BKS5" s="107"/>
      <c r="BKT5" s="107"/>
      <c r="BKU5" s="107"/>
      <c r="BKV5" s="107"/>
      <c r="BKW5" s="107"/>
      <c r="BKX5" s="107"/>
      <c r="BKY5" s="107"/>
      <c r="BKZ5" s="107"/>
      <c r="BLA5" s="107"/>
      <c r="BLB5" s="107"/>
      <c r="BLC5" s="107"/>
      <c r="BLD5" s="107"/>
      <c r="BLE5" s="107"/>
      <c r="BLF5" s="107"/>
      <c r="BLG5" s="107"/>
      <c r="BLH5" s="107"/>
      <c r="BLI5" s="107"/>
      <c r="BLJ5" s="107"/>
      <c r="BLK5" s="107"/>
      <c r="BLL5" s="107"/>
      <c r="BLM5" s="107"/>
      <c r="BLN5" s="107"/>
      <c r="BLO5" s="107"/>
      <c r="BLP5" s="107"/>
      <c r="BLQ5" s="107"/>
      <c r="BLR5" s="107"/>
      <c r="BLS5" s="107"/>
      <c r="BLT5" s="107"/>
      <c r="BLU5" s="107"/>
      <c r="BLV5" s="107"/>
      <c r="BLW5" s="107"/>
      <c r="BLX5" s="107"/>
      <c r="BLY5" s="107"/>
      <c r="BLZ5" s="107"/>
      <c r="BMA5" s="107"/>
      <c r="BMB5" s="107"/>
      <c r="BMC5" s="107"/>
      <c r="BMD5" s="107"/>
      <c r="BME5" s="107"/>
      <c r="BMF5" s="107"/>
      <c r="BMG5" s="107"/>
      <c r="BMH5" s="107"/>
      <c r="BMI5" s="107"/>
      <c r="BMJ5" s="107"/>
      <c r="BMK5" s="107"/>
      <c r="BML5" s="107"/>
      <c r="BMM5" s="107"/>
      <c r="BMN5" s="107"/>
      <c r="BMO5" s="107"/>
      <c r="BMP5" s="107"/>
      <c r="BMQ5" s="107"/>
      <c r="BMR5" s="107"/>
      <c r="BMS5" s="107"/>
      <c r="BMT5" s="107"/>
      <c r="BMU5" s="107"/>
      <c r="BMV5" s="107"/>
      <c r="BMW5" s="107"/>
      <c r="BMX5" s="107"/>
      <c r="BMY5" s="107"/>
      <c r="BMZ5" s="107"/>
      <c r="BNA5" s="107"/>
      <c r="BNB5" s="107"/>
      <c r="BNC5" s="107"/>
      <c r="BND5" s="107"/>
      <c r="BNE5" s="107"/>
      <c r="BNF5" s="107"/>
      <c r="BNG5" s="107"/>
      <c r="BNH5" s="107"/>
      <c r="BNI5" s="107"/>
      <c r="BNJ5" s="107"/>
      <c r="BNK5" s="107"/>
      <c r="BNL5" s="107"/>
      <c r="BNM5" s="107"/>
      <c r="BNN5" s="107"/>
      <c r="BNO5" s="107"/>
      <c r="BNP5" s="107"/>
      <c r="BNQ5" s="107"/>
      <c r="BNR5" s="107"/>
      <c r="BNS5" s="107"/>
      <c r="BNT5" s="107"/>
      <c r="BNU5" s="107"/>
      <c r="BNV5" s="107"/>
      <c r="BNW5" s="107"/>
      <c r="BNX5" s="107"/>
      <c r="BNY5" s="107"/>
      <c r="BNZ5" s="107"/>
      <c r="BOA5" s="107"/>
      <c r="BOB5" s="107"/>
      <c r="BOC5" s="107"/>
      <c r="BOD5" s="107"/>
      <c r="BOE5" s="107"/>
      <c r="BOF5" s="107"/>
      <c r="BOG5" s="107"/>
      <c r="BOH5" s="107"/>
      <c r="BOI5" s="107"/>
      <c r="BOJ5" s="107"/>
      <c r="BOK5" s="107"/>
      <c r="BOL5" s="107"/>
      <c r="BOM5" s="107"/>
      <c r="BON5" s="107"/>
      <c r="BOO5" s="107"/>
      <c r="BOP5" s="107"/>
      <c r="BOQ5" s="107"/>
      <c r="BOR5" s="107"/>
      <c r="BOS5" s="107"/>
      <c r="BOT5" s="107"/>
      <c r="BOU5" s="107"/>
      <c r="BOV5" s="107"/>
      <c r="BOW5" s="107"/>
      <c r="BOX5" s="107"/>
      <c r="BOY5" s="107"/>
      <c r="BOZ5" s="107"/>
      <c r="BPA5" s="107"/>
      <c r="BPB5" s="107"/>
      <c r="BPC5" s="107"/>
      <c r="BPD5" s="107"/>
      <c r="BPE5" s="107"/>
      <c r="BPF5" s="107"/>
      <c r="BPG5" s="107"/>
      <c r="BPH5" s="107"/>
      <c r="BPI5" s="107"/>
      <c r="BPJ5" s="107"/>
      <c r="BPK5" s="107"/>
      <c r="BPL5" s="107"/>
      <c r="BPM5" s="107"/>
      <c r="BPN5" s="107"/>
      <c r="BPO5" s="107"/>
      <c r="BPP5" s="107"/>
      <c r="BPQ5" s="107"/>
      <c r="BPR5" s="107"/>
      <c r="BPS5" s="107"/>
      <c r="BPT5" s="107"/>
      <c r="BPU5" s="107"/>
      <c r="BPV5" s="107"/>
      <c r="BPW5" s="107"/>
      <c r="BPX5" s="107"/>
      <c r="BPY5" s="107"/>
      <c r="BPZ5" s="107"/>
      <c r="BQA5" s="107"/>
      <c r="BQB5" s="107"/>
      <c r="BQC5" s="107"/>
      <c r="BQD5" s="107"/>
      <c r="BQE5" s="107"/>
      <c r="BQF5" s="107"/>
      <c r="BQG5" s="107"/>
      <c r="BQH5" s="107"/>
      <c r="BQI5" s="107"/>
      <c r="BQJ5" s="107"/>
      <c r="BQK5" s="107"/>
      <c r="BQL5" s="107"/>
      <c r="BQM5" s="107"/>
      <c r="BQN5" s="107"/>
      <c r="BQO5" s="107"/>
      <c r="BQP5" s="107"/>
      <c r="BQQ5" s="107"/>
      <c r="BQR5" s="107"/>
      <c r="BQS5" s="107"/>
      <c r="BQT5" s="107"/>
      <c r="BQU5" s="107"/>
      <c r="BQV5" s="107"/>
      <c r="BQW5" s="107"/>
      <c r="BQX5" s="107"/>
      <c r="BQY5" s="107"/>
      <c r="BQZ5" s="107"/>
      <c r="BRA5" s="107"/>
      <c r="BRB5" s="107"/>
      <c r="BRC5" s="107"/>
      <c r="BRD5" s="107"/>
      <c r="BRE5" s="107"/>
      <c r="BRF5" s="107"/>
      <c r="BRG5" s="107"/>
      <c r="BRH5" s="107"/>
      <c r="BRI5" s="107"/>
      <c r="BRJ5" s="107"/>
      <c r="BRK5" s="107"/>
      <c r="BRL5" s="107"/>
      <c r="BRM5" s="107"/>
      <c r="BRN5" s="107"/>
      <c r="BRO5" s="107"/>
      <c r="BRP5" s="107"/>
      <c r="BRQ5" s="107"/>
      <c r="BRR5" s="107"/>
      <c r="BRS5" s="107"/>
      <c r="BRT5" s="107"/>
      <c r="BRU5" s="107"/>
      <c r="BRV5" s="107"/>
      <c r="BRW5" s="107"/>
      <c r="BRX5" s="107"/>
      <c r="BRY5" s="107"/>
      <c r="BRZ5" s="107"/>
      <c r="BSA5" s="107"/>
      <c r="BSB5" s="107"/>
      <c r="BSC5" s="107"/>
      <c r="BSD5" s="107"/>
      <c r="BSE5" s="107"/>
      <c r="BSF5" s="107"/>
      <c r="BSG5" s="107"/>
      <c r="BSH5" s="107"/>
      <c r="BSI5" s="107"/>
      <c r="BSJ5" s="107"/>
      <c r="BSK5" s="107"/>
      <c r="BSL5" s="107"/>
      <c r="BSM5" s="107"/>
      <c r="BSN5" s="107"/>
      <c r="BSO5" s="107"/>
      <c r="BSP5" s="107"/>
      <c r="BSQ5" s="107"/>
      <c r="BSR5" s="107"/>
      <c r="BSS5" s="107"/>
      <c r="BST5" s="107"/>
      <c r="BSU5" s="107"/>
      <c r="BSV5" s="107"/>
      <c r="BSW5" s="107"/>
      <c r="BSX5" s="107"/>
      <c r="BSY5" s="107"/>
      <c r="BSZ5" s="107"/>
      <c r="BTA5" s="107"/>
      <c r="BTB5" s="107"/>
      <c r="BTC5" s="107"/>
      <c r="BTD5" s="107"/>
      <c r="BTE5" s="107"/>
      <c r="BTF5" s="107"/>
      <c r="BTG5" s="107"/>
      <c r="BTH5" s="107"/>
      <c r="BTI5" s="107"/>
      <c r="BTJ5" s="107"/>
      <c r="BTK5" s="107"/>
      <c r="BTL5" s="107"/>
      <c r="BTM5" s="107"/>
      <c r="BTN5" s="107"/>
      <c r="BTO5" s="107"/>
      <c r="BTP5" s="107"/>
      <c r="BTQ5" s="107"/>
      <c r="BTR5" s="107"/>
      <c r="BTS5" s="107"/>
      <c r="BTT5" s="107"/>
      <c r="BTU5" s="107"/>
      <c r="BTV5" s="107"/>
      <c r="BTW5" s="107"/>
      <c r="BTX5" s="107"/>
      <c r="BTY5" s="107"/>
      <c r="BTZ5" s="107"/>
      <c r="BUA5" s="107"/>
      <c r="BUB5" s="107"/>
      <c r="BUC5" s="107"/>
      <c r="BUD5" s="107"/>
      <c r="BUE5" s="107"/>
      <c r="BUF5" s="107"/>
      <c r="BUG5" s="107"/>
      <c r="BUH5" s="107"/>
      <c r="BUI5" s="107"/>
      <c r="BUJ5" s="107"/>
      <c r="BUK5" s="107"/>
      <c r="BUL5" s="107"/>
      <c r="BUM5" s="107"/>
      <c r="BUN5" s="107"/>
      <c r="BUO5" s="107"/>
      <c r="BUP5" s="107"/>
      <c r="BUQ5" s="107"/>
      <c r="BUR5" s="107"/>
      <c r="BUS5" s="107"/>
      <c r="BUT5" s="107"/>
      <c r="BUU5" s="107"/>
      <c r="BUV5" s="107"/>
      <c r="BUW5" s="107"/>
      <c r="BUX5" s="107"/>
      <c r="BUY5" s="107"/>
      <c r="BUZ5" s="107"/>
      <c r="BVA5" s="107"/>
      <c r="BVB5" s="107"/>
      <c r="BVC5" s="107"/>
      <c r="BVD5" s="107"/>
      <c r="BVE5" s="107"/>
      <c r="BVF5" s="107"/>
      <c r="BVG5" s="107"/>
      <c r="BVH5" s="107"/>
      <c r="BVI5" s="107"/>
      <c r="BVJ5" s="107"/>
      <c r="BVK5" s="107"/>
      <c r="BVL5" s="107"/>
      <c r="BVM5" s="107"/>
      <c r="BVN5" s="107"/>
      <c r="BVO5" s="107"/>
      <c r="BVP5" s="107"/>
      <c r="BVQ5" s="107"/>
      <c r="BVR5" s="107"/>
      <c r="BVS5" s="107"/>
      <c r="BVT5" s="107"/>
      <c r="BVU5" s="107"/>
      <c r="BVV5" s="107"/>
      <c r="BVW5" s="107"/>
      <c r="BVX5" s="107"/>
      <c r="BVY5" s="107"/>
      <c r="BVZ5" s="107"/>
      <c r="BWA5" s="107"/>
      <c r="BWB5" s="107"/>
      <c r="BWC5" s="107"/>
      <c r="BWD5" s="107"/>
      <c r="BWE5" s="107"/>
      <c r="BWF5" s="107"/>
      <c r="BWG5" s="107"/>
      <c r="BWH5" s="107"/>
      <c r="BWI5" s="107"/>
      <c r="BWJ5" s="107"/>
      <c r="BWK5" s="107"/>
      <c r="BWL5" s="107"/>
      <c r="BWM5" s="107"/>
      <c r="BWN5" s="107"/>
      <c r="BWO5" s="107"/>
      <c r="BWP5" s="107"/>
      <c r="BWQ5" s="107"/>
      <c r="BWR5" s="107"/>
      <c r="BWS5" s="107"/>
      <c r="BWT5" s="107"/>
      <c r="BWU5" s="107"/>
      <c r="BWV5" s="107"/>
      <c r="BWW5" s="107"/>
      <c r="BWX5" s="107"/>
      <c r="BWY5" s="107"/>
      <c r="BWZ5" s="107"/>
      <c r="BXA5" s="107"/>
      <c r="BXB5" s="107"/>
      <c r="BXC5" s="107"/>
      <c r="BXD5" s="107"/>
      <c r="BXE5" s="107"/>
      <c r="BXF5" s="107"/>
      <c r="BXG5" s="107"/>
      <c r="BXH5" s="107"/>
      <c r="BXI5" s="107"/>
      <c r="BXJ5" s="107"/>
      <c r="BXK5" s="107"/>
      <c r="BXL5" s="107"/>
      <c r="BXM5" s="107"/>
      <c r="BXN5" s="107"/>
      <c r="BXO5" s="107"/>
      <c r="BXP5" s="107"/>
      <c r="BXQ5" s="107"/>
      <c r="BXR5" s="107"/>
      <c r="BXS5" s="107"/>
      <c r="BXT5" s="107"/>
      <c r="BXU5" s="107"/>
      <c r="BXV5" s="107"/>
      <c r="BXW5" s="107"/>
      <c r="BXX5" s="107"/>
      <c r="BXY5" s="107"/>
      <c r="BXZ5" s="107"/>
      <c r="BYA5" s="107"/>
      <c r="BYB5" s="107"/>
      <c r="BYC5" s="107"/>
      <c r="BYD5" s="107"/>
      <c r="BYE5" s="107"/>
      <c r="BYF5" s="107"/>
      <c r="BYG5" s="107"/>
      <c r="BYH5" s="107"/>
      <c r="BYI5" s="107"/>
      <c r="BYJ5" s="107"/>
      <c r="BYK5" s="107"/>
      <c r="BYL5" s="107"/>
      <c r="BYM5" s="107"/>
      <c r="BYN5" s="107"/>
      <c r="BYO5" s="107"/>
      <c r="BYP5" s="107"/>
      <c r="BYQ5" s="107"/>
      <c r="BYR5" s="107"/>
      <c r="BYS5" s="107"/>
      <c r="BYT5" s="107"/>
      <c r="BYU5" s="107"/>
      <c r="BYV5" s="107"/>
      <c r="BYW5" s="107"/>
      <c r="BYX5" s="107"/>
      <c r="BYY5" s="107"/>
      <c r="BYZ5" s="107"/>
      <c r="BZA5" s="107"/>
      <c r="BZB5" s="107"/>
      <c r="BZC5" s="107"/>
      <c r="BZD5" s="107"/>
      <c r="BZE5" s="107"/>
      <c r="BZF5" s="107"/>
      <c r="BZG5" s="107"/>
      <c r="BZH5" s="107"/>
      <c r="BZI5" s="107"/>
      <c r="BZJ5" s="107"/>
      <c r="BZK5" s="107"/>
      <c r="BZL5" s="107"/>
      <c r="BZM5" s="107"/>
      <c r="BZN5" s="107"/>
      <c r="BZO5" s="107"/>
      <c r="BZP5" s="107"/>
      <c r="BZQ5" s="107"/>
      <c r="BZR5" s="107"/>
      <c r="BZS5" s="107"/>
      <c r="BZT5" s="107"/>
      <c r="BZU5" s="107"/>
      <c r="BZV5" s="107"/>
      <c r="BZW5" s="107"/>
      <c r="BZX5" s="107"/>
      <c r="BZY5" s="107"/>
      <c r="BZZ5" s="107"/>
      <c r="CAA5" s="107"/>
      <c r="CAB5" s="107"/>
      <c r="CAC5" s="107"/>
      <c r="CAD5" s="107"/>
      <c r="CAE5" s="107"/>
      <c r="CAF5" s="107"/>
      <c r="CAG5" s="107"/>
      <c r="CAH5" s="107"/>
      <c r="CAI5" s="107"/>
      <c r="CAJ5" s="107"/>
      <c r="CAK5" s="107"/>
      <c r="CAL5" s="107"/>
      <c r="CAM5" s="107"/>
      <c r="CAN5" s="107"/>
      <c r="CAO5" s="107"/>
      <c r="CAP5" s="107"/>
      <c r="CAQ5" s="107"/>
      <c r="CAR5" s="107"/>
      <c r="CAS5" s="107"/>
      <c r="CAT5" s="107"/>
      <c r="CAU5" s="107"/>
      <c r="CAV5" s="107"/>
      <c r="CAW5" s="107"/>
      <c r="CAX5" s="107"/>
      <c r="CAY5" s="107"/>
      <c r="CAZ5" s="107"/>
      <c r="CBA5" s="107"/>
      <c r="CBB5" s="107"/>
      <c r="CBC5" s="107"/>
      <c r="CBD5" s="107"/>
      <c r="CBE5" s="107"/>
      <c r="CBF5" s="107"/>
      <c r="CBG5" s="107"/>
      <c r="CBH5" s="107"/>
      <c r="CBI5" s="107"/>
      <c r="CBJ5" s="107"/>
      <c r="CBK5" s="107"/>
      <c r="CBL5" s="107"/>
      <c r="CBM5" s="107"/>
      <c r="CBN5" s="107"/>
      <c r="CBO5" s="107"/>
      <c r="CBP5" s="107"/>
      <c r="CBQ5" s="107"/>
      <c r="CBR5" s="107"/>
      <c r="CBS5" s="107"/>
      <c r="CBT5" s="107"/>
      <c r="CBU5" s="107"/>
      <c r="CBV5" s="107"/>
      <c r="CBW5" s="107"/>
      <c r="CBX5" s="107"/>
      <c r="CBY5" s="107"/>
      <c r="CBZ5" s="107"/>
      <c r="CCA5" s="107"/>
      <c r="CCB5" s="107"/>
      <c r="CCC5" s="107"/>
      <c r="CCD5" s="107"/>
      <c r="CCE5" s="107"/>
      <c r="CCF5" s="107"/>
      <c r="CCG5" s="107"/>
      <c r="CCH5" s="107"/>
      <c r="CCI5" s="107"/>
      <c r="CCJ5" s="107"/>
      <c r="CCK5" s="107"/>
      <c r="CCL5" s="107"/>
      <c r="CCM5" s="107"/>
      <c r="CCN5" s="107"/>
      <c r="CCO5" s="107"/>
      <c r="CCP5" s="107"/>
      <c r="CCQ5" s="107"/>
      <c r="CCR5" s="107"/>
      <c r="CCS5" s="107"/>
      <c r="CCT5" s="107"/>
      <c r="CCU5" s="107"/>
      <c r="CCV5" s="107"/>
      <c r="CCW5" s="107"/>
      <c r="CCX5" s="107"/>
      <c r="CCY5" s="107"/>
      <c r="CCZ5" s="107"/>
      <c r="CDA5" s="107"/>
      <c r="CDB5" s="107"/>
      <c r="CDC5" s="107"/>
      <c r="CDD5" s="107"/>
      <c r="CDE5" s="107"/>
      <c r="CDF5" s="107"/>
      <c r="CDG5" s="107"/>
      <c r="CDH5" s="107"/>
      <c r="CDI5" s="107"/>
      <c r="CDJ5" s="107"/>
      <c r="CDK5" s="107"/>
      <c r="CDL5" s="107"/>
      <c r="CDM5" s="107"/>
      <c r="CDN5" s="107"/>
      <c r="CDO5" s="107"/>
      <c r="CDP5" s="107"/>
      <c r="CDQ5" s="107"/>
      <c r="CDR5" s="107"/>
      <c r="CDS5" s="107"/>
      <c r="CDT5" s="107"/>
      <c r="CDU5" s="107"/>
      <c r="CDV5" s="107"/>
      <c r="CDW5" s="107"/>
      <c r="CDX5" s="107"/>
      <c r="CDY5" s="107"/>
      <c r="CDZ5" s="107"/>
      <c r="CEA5" s="107"/>
      <c r="CEB5" s="107"/>
      <c r="CEC5" s="107"/>
      <c r="CED5" s="107"/>
      <c r="CEE5" s="107"/>
      <c r="CEF5" s="107"/>
      <c r="CEG5" s="107"/>
      <c r="CEH5" s="107"/>
      <c r="CEI5" s="107"/>
      <c r="CEJ5" s="107"/>
      <c r="CEK5" s="107"/>
      <c r="CEL5" s="107"/>
      <c r="CEM5" s="107"/>
      <c r="CEN5" s="107"/>
      <c r="CEO5" s="107"/>
      <c r="CEP5" s="107"/>
      <c r="CEQ5" s="107"/>
      <c r="CER5" s="107"/>
      <c r="CES5" s="107"/>
      <c r="CET5" s="107"/>
      <c r="CEU5" s="107"/>
      <c r="CEV5" s="107"/>
      <c r="CEW5" s="107"/>
      <c r="CEX5" s="107"/>
      <c r="CEY5" s="107"/>
      <c r="CEZ5" s="107"/>
      <c r="CFA5" s="107"/>
      <c r="CFB5" s="107"/>
      <c r="CFC5" s="107"/>
      <c r="CFD5" s="107"/>
      <c r="CFE5" s="107"/>
      <c r="CFF5" s="107"/>
      <c r="CFG5" s="107"/>
      <c r="CFH5" s="107"/>
      <c r="CFI5" s="107"/>
      <c r="CFJ5" s="107"/>
      <c r="CFK5" s="107"/>
      <c r="CFL5" s="107"/>
      <c r="CFM5" s="107"/>
      <c r="CFN5" s="107"/>
      <c r="CFO5" s="107"/>
      <c r="CFP5" s="107"/>
      <c r="CFQ5" s="107"/>
      <c r="CFR5" s="107"/>
      <c r="CFS5" s="107"/>
      <c r="CFT5" s="107"/>
      <c r="CFU5" s="107"/>
      <c r="CFV5" s="107"/>
      <c r="CFW5" s="107"/>
      <c r="CFX5" s="107"/>
      <c r="CFY5" s="107"/>
      <c r="CFZ5" s="107"/>
      <c r="CGA5" s="107"/>
      <c r="CGB5" s="107"/>
      <c r="CGC5" s="107"/>
      <c r="CGD5" s="107"/>
      <c r="CGE5" s="107"/>
      <c r="CGF5" s="107"/>
      <c r="CGG5" s="107"/>
      <c r="CGH5" s="107"/>
      <c r="CGI5" s="107"/>
      <c r="CGJ5" s="107"/>
      <c r="CGK5" s="107"/>
      <c r="CGL5" s="107"/>
      <c r="CGM5" s="107"/>
      <c r="CGN5" s="107"/>
      <c r="CGO5" s="107"/>
      <c r="CGP5" s="107"/>
      <c r="CGQ5" s="107"/>
      <c r="CGR5" s="107"/>
      <c r="CGS5" s="107"/>
      <c r="CGT5" s="107"/>
      <c r="CGU5" s="107"/>
      <c r="CGV5" s="107"/>
      <c r="CGW5" s="107"/>
      <c r="CGX5" s="107"/>
      <c r="CGY5" s="107"/>
      <c r="CGZ5" s="107"/>
      <c r="CHA5" s="107"/>
      <c r="CHB5" s="107"/>
      <c r="CHC5" s="107"/>
      <c r="CHD5" s="107"/>
      <c r="CHE5" s="107"/>
      <c r="CHF5" s="107"/>
      <c r="CHG5" s="107"/>
      <c r="CHH5" s="107"/>
      <c r="CHI5" s="107"/>
      <c r="CHJ5" s="107"/>
      <c r="CHK5" s="107"/>
      <c r="CHL5" s="107"/>
      <c r="CHM5" s="107"/>
      <c r="CHN5" s="107"/>
      <c r="CHO5" s="107"/>
      <c r="CHP5" s="107"/>
      <c r="CHQ5" s="107"/>
      <c r="CHR5" s="107"/>
      <c r="CHS5" s="107"/>
      <c r="CHT5" s="107"/>
      <c r="CHU5" s="107"/>
      <c r="CHV5" s="107"/>
      <c r="CHW5" s="107"/>
      <c r="CHX5" s="107"/>
      <c r="CHY5" s="107"/>
      <c r="CHZ5" s="107"/>
      <c r="CIA5" s="107"/>
      <c r="CIB5" s="107"/>
      <c r="CIC5" s="107"/>
      <c r="CID5" s="107"/>
      <c r="CIE5" s="107"/>
      <c r="CIF5" s="107"/>
      <c r="CIG5" s="107"/>
      <c r="CIH5" s="107"/>
      <c r="CII5" s="107"/>
      <c r="CIJ5" s="107"/>
      <c r="CIK5" s="107"/>
      <c r="CIL5" s="107"/>
      <c r="CIM5" s="107"/>
      <c r="CIN5" s="107"/>
      <c r="CIO5" s="107"/>
      <c r="CIP5" s="107"/>
      <c r="CIQ5" s="107"/>
      <c r="CIR5" s="107"/>
      <c r="CIS5" s="107"/>
      <c r="CIT5" s="107"/>
      <c r="CIU5" s="107"/>
      <c r="CIV5" s="107"/>
      <c r="CIW5" s="107"/>
      <c r="CIX5" s="107"/>
      <c r="CIY5" s="107"/>
      <c r="CIZ5" s="107"/>
      <c r="CJA5" s="107"/>
      <c r="CJB5" s="107"/>
      <c r="CJC5" s="107"/>
      <c r="CJD5" s="107"/>
      <c r="CJE5" s="107"/>
      <c r="CJF5" s="107"/>
      <c r="CJG5" s="107"/>
      <c r="CJH5" s="107"/>
      <c r="CJI5" s="107"/>
      <c r="CJJ5" s="107"/>
      <c r="CJK5" s="107"/>
      <c r="CJL5" s="107"/>
      <c r="CJM5" s="107"/>
      <c r="CJN5" s="107"/>
      <c r="CJO5" s="107"/>
      <c r="CJP5" s="107"/>
      <c r="CJQ5" s="107"/>
      <c r="CJR5" s="107"/>
      <c r="CJS5" s="107"/>
      <c r="CJT5" s="107"/>
      <c r="CJU5" s="107"/>
      <c r="CJV5" s="107"/>
      <c r="CJW5" s="107"/>
      <c r="CJX5" s="107"/>
      <c r="CJY5" s="107"/>
      <c r="CJZ5" s="107"/>
      <c r="CKA5" s="107"/>
      <c r="CKB5" s="107"/>
      <c r="CKC5" s="107"/>
      <c r="CKD5" s="107"/>
      <c r="CKE5" s="107"/>
      <c r="CKF5" s="107"/>
      <c r="CKG5" s="107"/>
      <c r="CKH5" s="107"/>
      <c r="CKI5" s="107"/>
      <c r="CKJ5" s="107"/>
      <c r="CKK5" s="107"/>
      <c r="CKL5" s="107"/>
      <c r="CKM5" s="107"/>
      <c r="CKN5" s="107"/>
      <c r="CKO5" s="107"/>
      <c r="CKP5" s="107"/>
      <c r="CKQ5" s="107"/>
      <c r="CKR5" s="107"/>
      <c r="CKS5" s="107"/>
      <c r="CKT5" s="107"/>
      <c r="CKU5" s="107"/>
      <c r="CKV5" s="107"/>
      <c r="CKW5" s="107"/>
      <c r="CKX5" s="107"/>
      <c r="CKY5" s="107"/>
      <c r="CKZ5" s="107"/>
      <c r="CLA5" s="107"/>
      <c r="CLB5" s="107"/>
      <c r="CLC5" s="107"/>
      <c r="CLD5" s="107"/>
      <c r="CLE5" s="107"/>
      <c r="CLF5" s="107"/>
      <c r="CLG5" s="107"/>
      <c r="CLH5" s="107"/>
      <c r="CLI5" s="107"/>
      <c r="CLJ5" s="107"/>
      <c r="CLK5" s="107"/>
      <c r="CLL5" s="107"/>
      <c r="CLM5" s="107"/>
      <c r="CLN5" s="107"/>
      <c r="CLO5" s="107"/>
      <c r="CLP5" s="107"/>
      <c r="CLQ5" s="107"/>
      <c r="CLR5" s="107"/>
      <c r="CLS5" s="107"/>
      <c r="CLT5" s="107"/>
      <c r="CLU5" s="107"/>
      <c r="CLV5" s="107"/>
      <c r="CLW5" s="107"/>
      <c r="CLX5" s="107"/>
      <c r="CLY5" s="107"/>
      <c r="CLZ5" s="107"/>
      <c r="CMA5" s="107"/>
      <c r="CMB5" s="107"/>
      <c r="CMC5" s="107"/>
      <c r="CMD5" s="107"/>
      <c r="CME5" s="107"/>
      <c r="CMF5" s="107"/>
      <c r="CMG5" s="107"/>
      <c r="CMH5" s="107"/>
      <c r="CMI5" s="107"/>
      <c r="CMJ5" s="107"/>
      <c r="CMK5" s="107"/>
      <c r="CML5" s="107"/>
      <c r="CMM5" s="107"/>
      <c r="CMN5" s="107"/>
      <c r="CMO5" s="107"/>
      <c r="CMP5" s="107"/>
      <c r="CMQ5" s="107"/>
      <c r="CMR5" s="107"/>
      <c r="CMS5" s="107"/>
      <c r="CMT5" s="107"/>
      <c r="CMU5" s="107"/>
      <c r="CMV5" s="107"/>
      <c r="CMW5" s="107"/>
      <c r="CMX5" s="107"/>
      <c r="CMY5" s="107"/>
      <c r="CMZ5" s="107"/>
      <c r="CNA5" s="107"/>
      <c r="CNB5" s="107"/>
      <c r="CNC5" s="107"/>
      <c r="CND5" s="107"/>
      <c r="CNE5" s="107"/>
      <c r="CNF5" s="107"/>
      <c r="CNG5" s="107"/>
      <c r="CNH5" s="107"/>
      <c r="CNI5" s="107"/>
      <c r="CNJ5" s="107"/>
      <c r="CNK5" s="107"/>
      <c r="CNL5" s="107"/>
      <c r="CNM5" s="107"/>
      <c r="CNN5" s="107"/>
      <c r="CNO5" s="107"/>
      <c r="CNP5" s="107"/>
      <c r="CNQ5" s="107"/>
      <c r="CNR5" s="107"/>
      <c r="CNS5" s="107"/>
      <c r="CNT5" s="107"/>
      <c r="CNU5" s="107"/>
      <c r="CNV5" s="107"/>
      <c r="CNW5" s="107"/>
      <c r="CNX5" s="107"/>
      <c r="CNY5" s="107"/>
      <c r="CNZ5" s="107"/>
      <c r="COA5" s="107"/>
      <c r="COB5" s="107"/>
      <c r="COC5" s="107"/>
      <c r="COD5" s="107"/>
      <c r="COE5" s="107"/>
      <c r="COF5" s="107"/>
      <c r="COG5" s="107"/>
      <c r="COH5" s="107"/>
      <c r="COI5" s="107"/>
      <c r="COJ5" s="107"/>
      <c r="COK5" s="107"/>
      <c r="COL5" s="107"/>
      <c r="COM5" s="107"/>
      <c r="CON5" s="107"/>
      <c r="COO5" s="107"/>
      <c r="COP5" s="107"/>
      <c r="COQ5" s="107"/>
      <c r="COR5" s="107"/>
      <c r="COS5" s="107"/>
      <c r="COT5" s="107"/>
      <c r="COU5" s="107"/>
      <c r="COV5" s="107"/>
      <c r="COW5" s="107"/>
      <c r="COX5" s="107"/>
      <c r="COY5" s="107"/>
      <c r="COZ5" s="107"/>
      <c r="CPA5" s="107"/>
      <c r="CPB5" s="107"/>
      <c r="CPC5" s="107"/>
      <c r="CPD5" s="107"/>
      <c r="CPE5" s="107"/>
      <c r="CPF5" s="107"/>
      <c r="CPG5" s="107"/>
      <c r="CPH5" s="107"/>
      <c r="CPI5" s="107"/>
      <c r="CPJ5" s="107"/>
      <c r="CPK5" s="107"/>
      <c r="CPL5" s="107"/>
      <c r="CPM5" s="107"/>
      <c r="CPN5" s="107"/>
      <c r="CPO5" s="107"/>
      <c r="CPP5" s="107"/>
      <c r="CPQ5" s="107"/>
      <c r="CPR5" s="107"/>
      <c r="CPS5" s="107"/>
      <c r="CPT5" s="107"/>
      <c r="CPU5" s="107"/>
      <c r="CPV5" s="107"/>
      <c r="CPW5" s="107"/>
      <c r="CPX5" s="107"/>
      <c r="CPY5" s="107"/>
      <c r="CPZ5" s="107"/>
      <c r="CQA5" s="107"/>
      <c r="CQB5" s="107"/>
      <c r="CQC5" s="107"/>
      <c r="CQD5" s="107"/>
      <c r="CQE5" s="107"/>
      <c r="CQF5" s="107"/>
      <c r="CQG5" s="107"/>
      <c r="CQH5" s="107"/>
      <c r="CQI5" s="107"/>
      <c r="CQJ5" s="107"/>
      <c r="CQK5" s="107"/>
      <c r="CQL5" s="107"/>
      <c r="CQM5" s="107"/>
      <c r="CQN5" s="107"/>
      <c r="CQO5" s="107"/>
      <c r="CQP5" s="107"/>
      <c r="CQQ5" s="107"/>
      <c r="CQR5" s="107"/>
      <c r="CQS5" s="107"/>
      <c r="CQT5" s="107"/>
      <c r="CQU5" s="107"/>
      <c r="CQV5" s="107"/>
      <c r="CQW5" s="107"/>
      <c r="CQX5" s="107"/>
      <c r="CQY5" s="107"/>
      <c r="CQZ5" s="107"/>
      <c r="CRA5" s="107"/>
      <c r="CRB5" s="107"/>
      <c r="CRC5" s="107"/>
      <c r="CRD5" s="107"/>
      <c r="CRE5" s="107"/>
      <c r="CRF5" s="107"/>
      <c r="CRG5" s="107"/>
      <c r="CRH5" s="107"/>
      <c r="CRI5" s="107"/>
      <c r="CRJ5" s="107"/>
      <c r="CRK5" s="107"/>
      <c r="CRL5" s="107"/>
      <c r="CRM5" s="107"/>
      <c r="CRN5" s="107"/>
      <c r="CRO5" s="107"/>
      <c r="CRP5" s="107"/>
      <c r="CRQ5" s="107"/>
      <c r="CRR5" s="107"/>
      <c r="CRS5" s="107"/>
      <c r="CRT5" s="107"/>
      <c r="CRU5" s="107"/>
      <c r="CRV5" s="107"/>
      <c r="CRW5" s="107"/>
      <c r="CRX5" s="107"/>
      <c r="CRY5" s="107"/>
      <c r="CRZ5" s="107"/>
      <c r="CSA5" s="107"/>
      <c r="CSB5" s="107"/>
      <c r="CSC5" s="107"/>
      <c r="CSD5" s="107"/>
      <c r="CSE5" s="107"/>
      <c r="CSF5" s="107"/>
      <c r="CSG5" s="107"/>
      <c r="CSH5" s="107"/>
      <c r="CSI5" s="107"/>
      <c r="CSJ5" s="107"/>
      <c r="CSK5" s="107"/>
      <c r="CSL5" s="107"/>
      <c r="CSM5" s="107"/>
      <c r="CSN5" s="107"/>
      <c r="CSO5" s="107"/>
      <c r="CSP5" s="107"/>
      <c r="CSQ5" s="107"/>
      <c r="CSR5" s="107"/>
      <c r="CSS5" s="107"/>
      <c r="CST5" s="107"/>
      <c r="CSU5" s="107"/>
      <c r="CSV5" s="107"/>
      <c r="CSW5" s="107"/>
      <c r="CSX5" s="107"/>
      <c r="CSY5" s="107"/>
      <c r="CSZ5" s="107"/>
      <c r="CTA5" s="107"/>
      <c r="CTB5" s="107"/>
      <c r="CTC5" s="107"/>
      <c r="CTD5" s="107"/>
      <c r="CTE5" s="107"/>
      <c r="CTF5" s="107"/>
      <c r="CTG5" s="107"/>
      <c r="CTH5" s="107"/>
      <c r="CTI5" s="107"/>
      <c r="CTJ5" s="107"/>
      <c r="CTK5" s="107"/>
      <c r="CTL5" s="107"/>
      <c r="CTM5" s="107"/>
      <c r="CTN5" s="107"/>
      <c r="CTO5" s="107"/>
      <c r="CTP5" s="107"/>
      <c r="CTQ5" s="107"/>
      <c r="CTR5" s="107"/>
      <c r="CTS5" s="107"/>
      <c r="CTT5" s="107"/>
      <c r="CTU5" s="107"/>
      <c r="CTV5" s="107"/>
      <c r="CTW5" s="107"/>
      <c r="CTX5" s="107"/>
      <c r="CTY5" s="107"/>
      <c r="CTZ5" s="107"/>
      <c r="CUA5" s="107"/>
      <c r="CUB5" s="107"/>
      <c r="CUC5" s="107"/>
      <c r="CUD5" s="107"/>
      <c r="CUE5" s="107"/>
      <c r="CUF5" s="107"/>
      <c r="CUG5" s="107"/>
      <c r="CUH5" s="107"/>
      <c r="CUI5" s="107"/>
      <c r="CUJ5" s="107"/>
      <c r="CUK5" s="107"/>
      <c r="CUL5" s="107"/>
      <c r="CUM5" s="107"/>
      <c r="CUN5" s="107"/>
      <c r="CUO5" s="107"/>
      <c r="CUP5" s="107"/>
      <c r="CUQ5" s="107"/>
      <c r="CUR5" s="107"/>
      <c r="CUS5" s="107"/>
      <c r="CUT5" s="107"/>
      <c r="CUU5" s="107"/>
      <c r="CUV5" s="107"/>
      <c r="CUW5" s="107"/>
      <c r="CUX5" s="107"/>
      <c r="CUY5" s="107"/>
      <c r="CUZ5" s="107"/>
      <c r="CVA5" s="107"/>
      <c r="CVB5" s="107"/>
      <c r="CVC5" s="107"/>
      <c r="CVD5" s="107"/>
      <c r="CVE5" s="107"/>
      <c r="CVF5" s="107"/>
      <c r="CVG5" s="107"/>
      <c r="CVH5" s="107"/>
      <c r="CVI5" s="107"/>
      <c r="CVJ5" s="107"/>
      <c r="CVK5" s="107"/>
      <c r="CVL5" s="107"/>
      <c r="CVM5" s="107"/>
      <c r="CVN5" s="107"/>
      <c r="CVO5" s="107"/>
      <c r="CVP5" s="107"/>
      <c r="CVQ5" s="107"/>
      <c r="CVR5" s="107"/>
      <c r="CVS5" s="107"/>
      <c r="CVT5" s="107"/>
      <c r="CVU5" s="107"/>
      <c r="CVV5" s="107"/>
      <c r="CVW5" s="107"/>
      <c r="CVX5" s="107"/>
      <c r="CVY5" s="107"/>
      <c r="CVZ5" s="107"/>
      <c r="CWA5" s="107"/>
      <c r="CWB5" s="107"/>
      <c r="CWC5" s="107"/>
      <c r="CWD5" s="107"/>
      <c r="CWE5" s="107"/>
      <c r="CWF5" s="107"/>
      <c r="CWG5" s="107"/>
      <c r="CWH5" s="107"/>
      <c r="CWI5" s="107"/>
      <c r="CWJ5" s="107"/>
      <c r="CWK5" s="107"/>
      <c r="CWL5" s="107"/>
      <c r="CWM5" s="107"/>
      <c r="CWN5" s="107"/>
      <c r="CWO5" s="107"/>
      <c r="CWP5" s="107"/>
      <c r="CWQ5" s="107"/>
      <c r="CWR5" s="107"/>
      <c r="CWS5" s="107"/>
      <c r="CWT5" s="107"/>
      <c r="CWU5" s="107"/>
      <c r="CWV5" s="107"/>
      <c r="CWW5" s="107"/>
      <c r="CWX5" s="107"/>
      <c r="CWY5" s="107"/>
      <c r="CWZ5" s="107"/>
      <c r="CXA5" s="107"/>
      <c r="CXB5" s="107"/>
      <c r="CXC5" s="107"/>
      <c r="CXD5" s="107"/>
      <c r="CXE5" s="107"/>
      <c r="CXF5" s="107"/>
      <c r="CXG5" s="107"/>
      <c r="CXH5" s="107"/>
      <c r="CXI5" s="107"/>
      <c r="CXJ5" s="107"/>
      <c r="CXK5" s="107"/>
      <c r="CXL5" s="107"/>
      <c r="CXM5" s="107"/>
      <c r="CXN5" s="107"/>
      <c r="CXO5" s="107"/>
      <c r="CXP5" s="107"/>
      <c r="CXQ5" s="107"/>
      <c r="CXR5" s="107"/>
      <c r="CXS5" s="107"/>
      <c r="CXT5" s="107"/>
      <c r="CXU5" s="107"/>
      <c r="CXV5" s="107"/>
      <c r="CXW5" s="107"/>
      <c r="CXX5" s="107"/>
      <c r="CXY5" s="107"/>
      <c r="CXZ5" s="107"/>
      <c r="CYA5" s="107"/>
      <c r="CYB5" s="107"/>
      <c r="CYC5" s="107"/>
      <c r="CYD5" s="107"/>
      <c r="CYE5" s="107"/>
      <c r="CYF5" s="107"/>
      <c r="CYG5" s="107"/>
      <c r="CYH5" s="107"/>
      <c r="CYI5" s="107"/>
      <c r="CYJ5" s="107"/>
      <c r="CYK5" s="107"/>
      <c r="CYL5" s="107"/>
      <c r="CYM5" s="107"/>
      <c r="CYN5" s="107"/>
      <c r="CYO5" s="107"/>
      <c r="CYP5" s="107"/>
      <c r="CYQ5" s="107"/>
      <c r="CYR5" s="107"/>
      <c r="CYS5" s="107"/>
      <c r="CYT5" s="107"/>
      <c r="CYU5" s="107"/>
      <c r="CYV5" s="107"/>
      <c r="CYW5" s="107"/>
      <c r="CYX5" s="107"/>
      <c r="CYY5" s="107"/>
      <c r="CYZ5" s="107"/>
      <c r="CZA5" s="107"/>
      <c r="CZB5" s="107"/>
      <c r="CZC5" s="107"/>
      <c r="CZD5" s="107"/>
      <c r="CZE5" s="107"/>
      <c r="CZF5" s="107"/>
      <c r="CZG5" s="107"/>
      <c r="CZH5" s="107"/>
      <c r="CZI5" s="107"/>
      <c r="CZJ5" s="107"/>
      <c r="CZK5" s="107"/>
      <c r="CZL5" s="107"/>
      <c r="CZM5" s="107"/>
      <c r="CZN5" s="107"/>
      <c r="CZO5" s="107"/>
      <c r="CZP5" s="107"/>
      <c r="CZQ5" s="107"/>
      <c r="CZR5" s="107"/>
      <c r="CZS5" s="107"/>
      <c r="CZT5" s="107"/>
      <c r="CZU5" s="107"/>
      <c r="CZV5" s="107"/>
      <c r="CZW5" s="107"/>
      <c r="CZX5" s="107"/>
      <c r="CZY5" s="107"/>
      <c r="CZZ5" s="107"/>
      <c r="DAA5" s="107"/>
      <c r="DAB5" s="107"/>
      <c r="DAC5" s="107"/>
      <c r="DAD5" s="107"/>
      <c r="DAE5" s="107"/>
      <c r="DAF5" s="107"/>
      <c r="DAG5" s="107"/>
      <c r="DAH5" s="107"/>
      <c r="DAI5" s="107"/>
      <c r="DAJ5" s="107"/>
      <c r="DAK5" s="107"/>
      <c r="DAL5" s="107"/>
      <c r="DAM5" s="107"/>
      <c r="DAN5" s="107"/>
      <c r="DAO5" s="107"/>
      <c r="DAP5" s="107"/>
      <c r="DAQ5" s="107"/>
      <c r="DAR5" s="107"/>
      <c r="DAS5" s="107"/>
      <c r="DAT5" s="107"/>
      <c r="DAU5" s="107"/>
      <c r="DAV5" s="107"/>
      <c r="DAW5" s="107"/>
      <c r="DAX5" s="107"/>
      <c r="DAY5" s="107"/>
      <c r="DAZ5" s="107"/>
      <c r="DBA5" s="107"/>
      <c r="DBB5" s="107"/>
      <c r="DBC5" s="107"/>
      <c r="DBD5" s="107"/>
      <c r="DBE5" s="107"/>
      <c r="DBF5" s="107"/>
      <c r="DBG5" s="107"/>
      <c r="DBH5" s="107"/>
      <c r="DBI5" s="107"/>
      <c r="DBJ5" s="107"/>
      <c r="DBK5" s="107"/>
      <c r="DBL5" s="107"/>
      <c r="DBM5" s="107"/>
      <c r="DBN5" s="107"/>
      <c r="DBO5" s="107"/>
      <c r="DBP5" s="107"/>
      <c r="DBQ5" s="107"/>
      <c r="DBR5" s="107"/>
      <c r="DBS5" s="107"/>
      <c r="DBT5" s="107"/>
      <c r="DBU5" s="107"/>
      <c r="DBV5" s="107"/>
      <c r="DBW5" s="107"/>
      <c r="DBX5" s="107"/>
      <c r="DBY5" s="107"/>
      <c r="DBZ5" s="107"/>
      <c r="DCA5" s="107"/>
      <c r="DCB5" s="107"/>
      <c r="DCC5" s="107"/>
      <c r="DCD5" s="107"/>
      <c r="DCE5" s="107"/>
      <c r="DCF5" s="107"/>
      <c r="DCG5" s="107"/>
      <c r="DCH5" s="107"/>
      <c r="DCI5" s="107"/>
      <c r="DCJ5" s="107"/>
      <c r="DCK5" s="107"/>
      <c r="DCL5" s="107"/>
      <c r="DCM5" s="107"/>
      <c r="DCN5" s="107"/>
      <c r="DCO5" s="107"/>
      <c r="DCP5" s="107"/>
      <c r="DCQ5" s="107"/>
      <c r="DCR5" s="107"/>
      <c r="DCS5" s="107"/>
      <c r="DCT5" s="107"/>
      <c r="DCU5" s="107"/>
      <c r="DCV5" s="107"/>
      <c r="DCW5" s="107"/>
      <c r="DCX5" s="107"/>
      <c r="DCY5" s="107"/>
      <c r="DCZ5" s="107"/>
      <c r="DDA5" s="107"/>
      <c r="DDB5" s="107"/>
      <c r="DDC5" s="107"/>
      <c r="DDD5" s="107"/>
      <c r="DDE5" s="107"/>
      <c r="DDF5" s="107"/>
      <c r="DDG5" s="107"/>
      <c r="DDH5" s="107"/>
      <c r="DDI5" s="107"/>
      <c r="DDJ5" s="107"/>
      <c r="DDK5" s="107"/>
      <c r="DDL5" s="107"/>
      <c r="DDM5" s="107"/>
      <c r="DDN5" s="107"/>
      <c r="DDO5" s="107"/>
      <c r="DDP5" s="107"/>
      <c r="DDQ5" s="107"/>
      <c r="DDR5" s="107"/>
      <c r="DDS5" s="107"/>
      <c r="DDT5" s="107"/>
      <c r="DDU5" s="107"/>
      <c r="DDV5" s="107"/>
      <c r="DDW5" s="107"/>
      <c r="DDX5" s="107"/>
      <c r="DDY5" s="107"/>
      <c r="DDZ5" s="107"/>
      <c r="DEA5" s="107"/>
      <c r="DEB5" s="107"/>
      <c r="DEC5" s="107"/>
      <c r="DED5" s="107"/>
      <c r="DEE5" s="107"/>
      <c r="DEF5" s="107"/>
      <c r="DEG5" s="107"/>
      <c r="DEH5" s="107"/>
      <c r="DEI5" s="107"/>
      <c r="DEJ5" s="107"/>
      <c r="DEK5" s="107"/>
      <c r="DEL5" s="107"/>
      <c r="DEM5" s="107"/>
      <c r="DEN5" s="107"/>
      <c r="DEO5" s="107"/>
      <c r="DEP5" s="107"/>
      <c r="DEQ5" s="107"/>
      <c r="DER5" s="107"/>
      <c r="DES5" s="107"/>
      <c r="DET5" s="107"/>
      <c r="DEU5" s="107"/>
      <c r="DEV5" s="107"/>
      <c r="DEW5" s="107"/>
      <c r="DEX5" s="107"/>
      <c r="DEY5" s="107"/>
      <c r="DEZ5" s="107"/>
      <c r="DFA5" s="107"/>
      <c r="DFB5" s="107"/>
      <c r="DFC5" s="107"/>
      <c r="DFD5" s="107"/>
      <c r="DFE5" s="107"/>
      <c r="DFF5" s="107"/>
      <c r="DFG5" s="107"/>
      <c r="DFH5" s="107"/>
      <c r="DFI5" s="107"/>
      <c r="DFJ5" s="107"/>
      <c r="DFK5" s="107"/>
      <c r="DFL5" s="107"/>
      <c r="DFM5" s="107"/>
      <c r="DFN5" s="107"/>
      <c r="DFO5" s="107"/>
      <c r="DFP5" s="107"/>
      <c r="DFQ5" s="107"/>
      <c r="DFR5" s="107"/>
      <c r="DFS5" s="107"/>
      <c r="DFT5" s="107"/>
      <c r="DFU5" s="107"/>
      <c r="DFV5" s="107"/>
      <c r="DFW5" s="107"/>
      <c r="DFX5" s="107"/>
      <c r="DFY5" s="107"/>
      <c r="DFZ5" s="107"/>
      <c r="DGA5" s="107"/>
      <c r="DGB5" s="107"/>
      <c r="DGC5" s="107"/>
      <c r="DGD5" s="107"/>
      <c r="DGE5" s="107"/>
      <c r="DGF5" s="107"/>
      <c r="DGG5" s="107"/>
      <c r="DGH5" s="107"/>
      <c r="DGI5" s="107"/>
      <c r="DGJ5" s="107"/>
      <c r="DGK5" s="107"/>
      <c r="DGL5" s="107"/>
      <c r="DGM5" s="107"/>
      <c r="DGN5" s="107"/>
      <c r="DGO5" s="107"/>
      <c r="DGP5" s="107"/>
      <c r="DGQ5" s="107"/>
      <c r="DGR5" s="107"/>
      <c r="DGS5" s="107"/>
      <c r="DGT5" s="107"/>
      <c r="DGU5" s="107"/>
      <c r="DGV5" s="107"/>
      <c r="DGW5" s="107"/>
      <c r="DGX5" s="107"/>
      <c r="DGY5" s="107"/>
      <c r="DGZ5" s="107"/>
      <c r="DHA5" s="107"/>
      <c r="DHB5" s="107"/>
      <c r="DHC5" s="107"/>
      <c r="DHD5" s="107"/>
      <c r="DHE5" s="107"/>
      <c r="DHF5" s="107"/>
      <c r="DHG5" s="107"/>
      <c r="DHH5" s="107"/>
      <c r="DHI5" s="107"/>
      <c r="DHJ5" s="107"/>
      <c r="DHK5" s="107"/>
      <c r="DHL5" s="107"/>
      <c r="DHM5" s="107"/>
      <c r="DHN5" s="107"/>
      <c r="DHO5" s="107"/>
      <c r="DHP5" s="107"/>
      <c r="DHQ5" s="107"/>
      <c r="DHR5" s="107"/>
      <c r="DHS5" s="107"/>
      <c r="DHT5" s="107"/>
      <c r="DHU5" s="107"/>
      <c r="DHV5" s="107"/>
      <c r="DHW5" s="107"/>
      <c r="DHX5" s="107"/>
      <c r="DHY5" s="107"/>
      <c r="DHZ5" s="107"/>
      <c r="DIA5" s="107"/>
      <c r="DIB5" s="107"/>
      <c r="DIC5" s="107"/>
      <c r="DID5" s="107"/>
      <c r="DIE5" s="107"/>
      <c r="DIF5" s="107"/>
      <c r="DIG5" s="107"/>
      <c r="DIH5" s="107"/>
      <c r="DII5" s="107"/>
      <c r="DIJ5" s="107"/>
      <c r="DIK5" s="107"/>
      <c r="DIL5" s="107"/>
      <c r="DIM5" s="107"/>
      <c r="DIN5" s="107"/>
      <c r="DIO5" s="107"/>
      <c r="DIP5" s="107"/>
      <c r="DIQ5" s="107"/>
      <c r="DIR5" s="107"/>
      <c r="DIS5" s="107"/>
      <c r="DIT5" s="107"/>
      <c r="DIU5" s="107"/>
      <c r="DIV5" s="107"/>
      <c r="DIW5" s="107"/>
      <c r="DIX5" s="107"/>
      <c r="DIY5" s="107"/>
      <c r="DIZ5" s="107"/>
      <c r="DJA5" s="107"/>
      <c r="DJB5" s="107"/>
      <c r="DJC5" s="107"/>
      <c r="DJD5" s="107"/>
      <c r="DJE5" s="107"/>
      <c r="DJF5" s="107"/>
      <c r="DJG5" s="107"/>
      <c r="DJH5" s="107"/>
      <c r="DJI5" s="107"/>
      <c r="DJJ5" s="107"/>
      <c r="DJK5" s="107"/>
      <c r="DJL5" s="107"/>
      <c r="DJM5" s="107"/>
      <c r="DJN5" s="107"/>
      <c r="DJO5" s="107"/>
      <c r="DJP5" s="107"/>
      <c r="DJQ5" s="107"/>
      <c r="DJR5" s="107"/>
      <c r="DJS5" s="107"/>
      <c r="DJT5" s="107"/>
      <c r="DJU5" s="107"/>
      <c r="DJV5" s="107"/>
      <c r="DJW5" s="107"/>
      <c r="DJX5" s="107"/>
      <c r="DJY5" s="107"/>
      <c r="DJZ5" s="107"/>
      <c r="DKA5" s="107"/>
      <c r="DKB5" s="107"/>
      <c r="DKC5" s="107"/>
      <c r="DKD5" s="107"/>
      <c r="DKE5" s="107"/>
      <c r="DKF5" s="107"/>
      <c r="DKG5" s="107"/>
      <c r="DKH5" s="107"/>
      <c r="DKI5" s="107"/>
      <c r="DKJ5" s="107"/>
      <c r="DKK5" s="107"/>
      <c r="DKL5" s="107"/>
      <c r="DKM5" s="107"/>
      <c r="DKN5" s="107"/>
      <c r="DKO5" s="107"/>
      <c r="DKP5" s="107"/>
      <c r="DKQ5" s="107"/>
      <c r="DKR5" s="107"/>
      <c r="DKS5" s="107"/>
      <c r="DKT5" s="107"/>
      <c r="DKU5" s="107"/>
      <c r="DKV5" s="107"/>
      <c r="DKW5" s="107"/>
      <c r="DKX5" s="107"/>
      <c r="DKY5" s="107"/>
      <c r="DKZ5" s="107"/>
      <c r="DLA5" s="107"/>
      <c r="DLB5" s="107"/>
      <c r="DLC5" s="107"/>
      <c r="DLD5" s="107"/>
      <c r="DLE5" s="107"/>
      <c r="DLF5" s="107"/>
      <c r="DLG5" s="107"/>
      <c r="DLH5" s="107"/>
      <c r="DLI5" s="107"/>
      <c r="DLJ5" s="107"/>
      <c r="DLK5" s="107"/>
      <c r="DLL5" s="107"/>
      <c r="DLM5" s="107"/>
      <c r="DLN5" s="107"/>
      <c r="DLO5" s="107"/>
      <c r="DLP5" s="107"/>
      <c r="DLQ5" s="107"/>
      <c r="DLR5" s="107"/>
      <c r="DLS5" s="107"/>
      <c r="DLT5" s="107"/>
      <c r="DLU5" s="107"/>
      <c r="DLV5" s="107"/>
      <c r="DLW5" s="107"/>
      <c r="DLX5" s="107"/>
      <c r="DLY5" s="107"/>
      <c r="DLZ5" s="107"/>
      <c r="DMA5" s="107"/>
      <c r="DMB5" s="107"/>
      <c r="DMC5" s="107"/>
      <c r="DMD5" s="107"/>
      <c r="DME5" s="107"/>
      <c r="DMF5" s="107"/>
      <c r="DMG5" s="107"/>
      <c r="DMH5" s="107"/>
      <c r="DMI5" s="107"/>
      <c r="DMJ5" s="107"/>
      <c r="DMK5" s="107"/>
      <c r="DML5" s="107"/>
      <c r="DMM5" s="107"/>
      <c r="DMN5" s="107"/>
      <c r="DMO5" s="107"/>
      <c r="DMP5" s="107"/>
      <c r="DMQ5" s="107"/>
      <c r="DMR5" s="107"/>
      <c r="DMS5" s="107"/>
      <c r="DMT5" s="107"/>
      <c r="DMU5" s="107"/>
      <c r="DMV5" s="107"/>
      <c r="DMW5" s="107"/>
      <c r="DMX5" s="107"/>
      <c r="DMY5" s="107"/>
      <c r="DMZ5" s="107"/>
      <c r="DNA5" s="107"/>
      <c r="DNB5" s="107"/>
      <c r="DNC5" s="107"/>
      <c r="DND5" s="107"/>
      <c r="DNE5" s="107"/>
      <c r="DNF5" s="107"/>
      <c r="DNG5" s="107"/>
      <c r="DNH5" s="107"/>
      <c r="DNI5" s="107"/>
      <c r="DNJ5" s="107"/>
      <c r="DNK5" s="107"/>
      <c r="DNL5" s="107"/>
      <c r="DNM5" s="107"/>
      <c r="DNN5" s="107"/>
      <c r="DNO5" s="107"/>
      <c r="DNP5" s="107"/>
      <c r="DNQ5" s="107"/>
      <c r="DNR5" s="107"/>
      <c r="DNS5" s="107"/>
      <c r="DNT5" s="107"/>
      <c r="DNU5" s="107"/>
      <c r="DNV5" s="107"/>
      <c r="DNW5" s="107"/>
      <c r="DNX5" s="107"/>
      <c r="DNY5" s="107"/>
      <c r="DNZ5" s="107"/>
      <c r="DOA5" s="107"/>
      <c r="DOB5" s="107"/>
      <c r="DOC5" s="107"/>
      <c r="DOD5" s="107"/>
      <c r="DOE5" s="107"/>
      <c r="DOF5" s="107"/>
      <c r="DOG5" s="107"/>
      <c r="DOH5" s="107"/>
      <c r="DOI5" s="107"/>
      <c r="DOJ5" s="107"/>
      <c r="DOK5" s="107"/>
      <c r="DOL5" s="107"/>
      <c r="DOM5" s="107"/>
      <c r="DON5" s="107"/>
      <c r="DOO5" s="107"/>
      <c r="DOP5" s="107"/>
      <c r="DOQ5" s="107"/>
      <c r="DOR5" s="107"/>
      <c r="DOS5" s="107"/>
      <c r="DOT5" s="107"/>
      <c r="DOU5" s="107"/>
      <c r="DOV5" s="107"/>
      <c r="DOW5" s="107"/>
      <c r="DOX5" s="107"/>
      <c r="DOY5" s="107"/>
      <c r="DOZ5" s="107"/>
      <c r="DPA5" s="107"/>
      <c r="DPB5" s="107"/>
      <c r="DPC5" s="107"/>
      <c r="DPD5" s="107"/>
      <c r="DPE5" s="107"/>
      <c r="DPF5" s="107"/>
      <c r="DPG5" s="107"/>
      <c r="DPH5" s="107"/>
      <c r="DPI5" s="107"/>
      <c r="DPJ5" s="107"/>
      <c r="DPK5" s="107"/>
      <c r="DPL5" s="107"/>
      <c r="DPM5" s="107"/>
      <c r="DPN5" s="107"/>
      <c r="DPO5" s="107"/>
      <c r="DPP5" s="107"/>
      <c r="DPQ5" s="107"/>
      <c r="DPR5" s="107"/>
      <c r="DPS5" s="107"/>
      <c r="DPT5" s="107"/>
      <c r="DPU5" s="107"/>
      <c r="DPV5" s="107"/>
      <c r="DPW5" s="107"/>
      <c r="DPX5" s="107"/>
      <c r="DPY5" s="107"/>
      <c r="DPZ5" s="107"/>
      <c r="DQA5" s="107"/>
      <c r="DQB5" s="107"/>
      <c r="DQC5" s="107"/>
      <c r="DQD5" s="107"/>
      <c r="DQE5" s="107"/>
      <c r="DQF5" s="107"/>
      <c r="DQG5" s="107"/>
      <c r="DQH5" s="107"/>
      <c r="DQI5" s="107"/>
      <c r="DQJ5" s="107"/>
      <c r="DQK5" s="107"/>
      <c r="DQL5" s="107"/>
      <c r="DQM5" s="107"/>
      <c r="DQN5" s="107"/>
      <c r="DQO5" s="107"/>
      <c r="DQP5" s="107"/>
      <c r="DQQ5" s="107"/>
      <c r="DQR5" s="107"/>
      <c r="DQS5" s="107"/>
      <c r="DQT5" s="107"/>
      <c r="DQU5" s="107"/>
      <c r="DQV5" s="107"/>
      <c r="DQW5" s="107"/>
      <c r="DQX5" s="107"/>
      <c r="DQY5" s="107"/>
      <c r="DQZ5" s="107"/>
      <c r="DRA5" s="107"/>
      <c r="DRB5" s="107"/>
      <c r="DRC5" s="107"/>
      <c r="DRD5" s="107"/>
      <c r="DRE5" s="107"/>
      <c r="DRF5" s="107"/>
      <c r="DRG5" s="107"/>
      <c r="DRH5" s="107"/>
      <c r="DRI5" s="107"/>
      <c r="DRJ5" s="107"/>
      <c r="DRK5" s="107"/>
      <c r="DRL5" s="107"/>
      <c r="DRM5" s="107"/>
      <c r="DRN5" s="107"/>
      <c r="DRO5" s="107"/>
      <c r="DRP5" s="107"/>
      <c r="DRQ5" s="107"/>
      <c r="DRR5" s="107"/>
      <c r="DRS5" s="107"/>
      <c r="DRT5" s="107"/>
      <c r="DRU5" s="107"/>
      <c r="DRV5" s="107"/>
      <c r="DRW5" s="107"/>
      <c r="DRX5" s="107"/>
      <c r="DRY5" s="107"/>
      <c r="DRZ5" s="107"/>
      <c r="DSA5" s="107"/>
      <c r="DSB5" s="107"/>
      <c r="DSC5" s="107"/>
      <c r="DSD5" s="107"/>
      <c r="DSE5" s="107"/>
      <c r="DSF5" s="107"/>
      <c r="DSG5" s="107"/>
      <c r="DSH5" s="107"/>
      <c r="DSI5" s="107"/>
      <c r="DSJ5" s="107"/>
      <c r="DSK5" s="107"/>
      <c r="DSL5" s="107"/>
      <c r="DSM5" s="107"/>
      <c r="DSN5" s="107"/>
      <c r="DSO5" s="107"/>
      <c r="DSP5" s="107"/>
      <c r="DSQ5" s="107"/>
      <c r="DSR5" s="107"/>
      <c r="DSS5" s="107"/>
      <c r="DST5" s="107"/>
      <c r="DSU5" s="107"/>
      <c r="DSV5" s="107"/>
      <c r="DSW5" s="107"/>
      <c r="DSX5" s="107"/>
      <c r="DSY5" s="107"/>
      <c r="DSZ5" s="107"/>
      <c r="DTA5" s="107"/>
      <c r="DTB5" s="107"/>
      <c r="DTC5" s="107"/>
      <c r="DTD5" s="107"/>
      <c r="DTE5" s="107"/>
      <c r="DTF5" s="107"/>
      <c r="DTG5" s="107"/>
      <c r="DTH5" s="107"/>
      <c r="DTI5" s="107"/>
      <c r="DTJ5" s="107"/>
      <c r="DTK5" s="107"/>
      <c r="DTL5" s="107"/>
      <c r="DTM5" s="107"/>
      <c r="DTN5" s="107"/>
      <c r="DTO5" s="107"/>
      <c r="DTP5" s="107"/>
      <c r="DTQ5" s="107"/>
      <c r="DTR5" s="107"/>
      <c r="DTS5" s="107"/>
      <c r="DTT5" s="107"/>
      <c r="DTU5" s="107"/>
      <c r="DTV5" s="107"/>
      <c r="DTW5" s="107"/>
      <c r="DTX5" s="107"/>
      <c r="DTY5" s="107"/>
      <c r="DTZ5" s="107"/>
      <c r="DUA5" s="107"/>
      <c r="DUB5" s="107"/>
      <c r="DUC5" s="107"/>
      <c r="DUD5" s="107"/>
      <c r="DUE5" s="107"/>
      <c r="DUF5" s="107"/>
      <c r="DUG5" s="107"/>
      <c r="DUH5" s="107"/>
      <c r="DUI5" s="107"/>
      <c r="DUJ5" s="107"/>
      <c r="DUK5" s="107"/>
      <c r="DUL5" s="107"/>
      <c r="DUM5" s="107"/>
      <c r="DUN5" s="107"/>
      <c r="DUO5" s="107"/>
      <c r="DUP5" s="107"/>
      <c r="DUQ5" s="107"/>
      <c r="DUR5" s="107"/>
      <c r="DUS5" s="107"/>
      <c r="DUT5" s="107"/>
      <c r="DUU5" s="107"/>
      <c r="DUV5" s="107"/>
      <c r="DUW5" s="107"/>
      <c r="DUX5" s="107"/>
      <c r="DUY5" s="107"/>
      <c r="DUZ5" s="107"/>
      <c r="DVA5" s="107"/>
      <c r="DVB5" s="107"/>
      <c r="DVC5" s="107"/>
      <c r="DVD5" s="107"/>
      <c r="DVE5" s="107"/>
      <c r="DVF5" s="107"/>
      <c r="DVG5" s="107"/>
      <c r="DVH5" s="107"/>
      <c r="DVI5" s="107"/>
      <c r="DVJ5" s="107"/>
      <c r="DVK5" s="107"/>
      <c r="DVL5" s="107"/>
      <c r="DVM5" s="107"/>
      <c r="DVN5" s="107"/>
      <c r="DVO5" s="107"/>
      <c r="DVP5" s="107"/>
      <c r="DVQ5" s="107"/>
      <c r="DVR5" s="107"/>
      <c r="DVS5" s="107"/>
      <c r="DVT5" s="107"/>
      <c r="DVU5" s="107"/>
      <c r="DVV5" s="107"/>
      <c r="DVW5" s="107"/>
      <c r="DVX5" s="107"/>
      <c r="DVY5" s="107"/>
      <c r="DVZ5" s="107"/>
      <c r="DWA5" s="107"/>
      <c r="DWB5" s="107"/>
      <c r="DWC5" s="107"/>
      <c r="DWD5" s="107"/>
      <c r="DWE5" s="107"/>
      <c r="DWF5" s="107"/>
      <c r="DWG5" s="107"/>
      <c r="DWH5" s="107"/>
      <c r="DWI5" s="107"/>
      <c r="DWJ5" s="107"/>
      <c r="DWK5" s="107"/>
      <c r="DWL5" s="107"/>
      <c r="DWM5" s="107"/>
      <c r="DWN5" s="107"/>
      <c r="DWO5" s="107"/>
      <c r="DWP5" s="107"/>
      <c r="DWQ5" s="107"/>
      <c r="DWR5" s="107"/>
      <c r="DWS5" s="107"/>
      <c r="DWT5" s="107"/>
      <c r="DWU5" s="107"/>
      <c r="DWV5" s="107"/>
      <c r="DWW5" s="107"/>
      <c r="DWX5" s="107"/>
      <c r="DWY5" s="107"/>
      <c r="DWZ5" s="107"/>
      <c r="DXA5" s="107"/>
      <c r="DXB5" s="107"/>
      <c r="DXC5" s="107"/>
      <c r="DXD5" s="107"/>
      <c r="DXE5" s="107"/>
      <c r="DXF5" s="107"/>
      <c r="DXG5" s="107"/>
      <c r="DXH5" s="107"/>
      <c r="DXI5" s="107"/>
      <c r="DXJ5" s="107"/>
      <c r="DXK5" s="107"/>
      <c r="DXL5" s="107"/>
      <c r="DXM5" s="107"/>
      <c r="DXN5" s="107"/>
      <c r="DXO5" s="107"/>
      <c r="DXP5" s="107"/>
      <c r="DXQ5" s="107"/>
      <c r="DXR5" s="107"/>
      <c r="DXS5" s="107"/>
      <c r="DXT5" s="107"/>
      <c r="DXU5" s="107"/>
      <c r="DXV5" s="107"/>
      <c r="DXW5" s="107"/>
      <c r="DXX5" s="107"/>
      <c r="DXY5" s="107"/>
      <c r="DXZ5" s="107"/>
      <c r="DYA5" s="107"/>
      <c r="DYB5" s="107"/>
      <c r="DYC5" s="107"/>
      <c r="DYD5" s="107"/>
      <c r="DYE5" s="107"/>
      <c r="DYF5" s="107"/>
      <c r="DYG5" s="107"/>
      <c r="DYH5" s="107"/>
      <c r="DYI5" s="107"/>
      <c r="DYJ5" s="107"/>
      <c r="DYK5" s="107"/>
      <c r="DYL5" s="107"/>
      <c r="DYM5" s="107"/>
      <c r="DYN5" s="107"/>
      <c r="DYO5" s="107"/>
      <c r="DYP5" s="107"/>
      <c r="DYQ5" s="107"/>
      <c r="DYR5" s="107"/>
      <c r="DYS5" s="107"/>
      <c r="DYT5" s="107"/>
      <c r="DYU5" s="107"/>
      <c r="DYV5" s="107"/>
      <c r="DYW5" s="107"/>
      <c r="DYX5" s="107"/>
      <c r="DYY5" s="107"/>
      <c r="DYZ5" s="107"/>
      <c r="DZA5" s="107"/>
      <c r="DZB5" s="107"/>
      <c r="DZC5" s="107"/>
      <c r="DZD5" s="107"/>
      <c r="DZE5" s="107"/>
      <c r="DZF5" s="107"/>
      <c r="DZG5" s="107"/>
      <c r="DZH5" s="107"/>
      <c r="DZI5" s="107"/>
      <c r="DZJ5" s="107"/>
      <c r="DZK5" s="107"/>
      <c r="DZL5" s="107"/>
      <c r="DZM5" s="107"/>
      <c r="DZN5" s="107"/>
      <c r="DZO5" s="107"/>
      <c r="DZP5" s="107"/>
      <c r="DZQ5" s="107"/>
      <c r="DZR5" s="107"/>
      <c r="DZS5" s="107"/>
      <c r="DZT5" s="107"/>
      <c r="DZU5" s="107"/>
      <c r="DZV5" s="107"/>
      <c r="DZW5" s="107"/>
      <c r="DZX5" s="107"/>
      <c r="DZY5" s="107"/>
      <c r="DZZ5" s="107"/>
      <c r="EAA5" s="107"/>
      <c r="EAB5" s="107"/>
      <c r="EAC5" s="107"/>
      <c r="EAD5" s="107"/>
      <c r="EAE5" s="107"/>
      <c r="EAF5" s="107"/>
      <c r="EAG5" s="107"/>
      <c r="EAH5" s="107"/>
      <c r="EAI5" s="107"/>
      <c r="EAJ5" s="107"/>
      <c r="EAK5" s="107"/>
      <c r="EAL5" s="107"/>
      <c r="EAM5" s="107"/>
      <c r="EAN5" s="107"/>
      <c r="EAO5" s="107"/>
      <c r="EAP5" s="107"/>
      <c r="EAQ5" s="107"/>
      <c r="EAR5" s="107"/>
      <c r="EAS5" s="107"/>
      <c r="EAT5" s="107"/>
      <c r="EAU5" s="107"/>
      <c r="EAV5" s="107"/>
      <c r="EAW5" s="107"/>
      <c r="EAX5" s="107"/>
      <c r="EAY5" s="107"/>
      <c r="EAZ5" s="107"/>
      <c r="EBA5" s="107"/>
      <c r="EBB5" s="107"/>
      <c r="EBC5" s="107"/>
      <c r="EBD5" s="107"/>
      <c r="EBE5" s="107"/>
      <c r="EBF5" s="107"/>
      <c r="EBG5" s="107"/>
      <c r="EBH5" s="107"/>
      <c r="EBI5" s="107"/>
      <c r="EBJ5" s="107"/>
      <c r="EBK5" s="107"/>
      <c r="EBL5" s="107"/>
      <c r="EBM5" s="107"/>
      <c r="EBN5" s="107"/>
      <c r="EBO5" s="107"/>
      <c r="EBP5" s="107"/>
      <c r="EBQ5" s="107"/>
      <c r="EBR5" s="107"/>
      <c r="EBS5" s="107"/>
      <c r="EBT5" s="107"/>
      <c r="EBU5" s="107"/>
      <c r="EBV5" s="107"/>
      <c r="EBW5" s="107"/>
      <c r="EBX5" s="107"/>
      <c r="EBY5" s="107"/>
      <c r="EBZ5" s="107"/>
      <c r="ECA5" s="107"/>
      <c r="ECB5" s="107"/>
      <c r="ECC5" s="107"/>
      <c r="ECD5" s="107"/>
      <c r="ECE5" s="107"/>
      <c r="ECF5" s="107"/>
      <c r="ECG5" s="107"/>
      <c r="ECH5" s="107"/>
      <c r="ECI5" s="107"/>
      <c r="ECJ5" s="107"/>
      <c r="ECK5" s="107"/>
      <c r="ECL5" s="107"/>
      <c r="ECM5" s="107"/>
      <c r="ECN5" s="107"/>
      <c r="ECO5" s="107"/>
      <c r="ECP5" s="107"/>
      <c r="ECQ5" s="107"/>
      <c r="ECR5" s="107"/>
      <c r="ECS5" s="107"/>
      <c r="ECT5" s="107"/>
      <c r="ECU5" s="107"/>
      <c r="ECV5" s="107"/>
      <c r="ECW5" s="107"/>
      <c r="ECX5" s="107"/>
      <c r="ECY5" s="107"/>
      <c r="ECZ5" s="107"/>
      <c r="EDA5" s="107"/>
      <c r="EDB5" s="107"/>
      <c r="EDC5" s="107"/>
      <c r="EDD5" s="107"/>
      <c r="EDE5" s="107"/>
      <c r="EDF5" s="107"/>
      <c r="EDG5" s="107"/>
      <c r="EDH5" s="107"/>
      <c r="EDI5" s="107"/>
      <c r="EDJ5" s="107"/>
      <c r="EDK5" s="107"/>
      <c r="EDL5" s="107"/>
      <c r="EDM5" s="107"/>
      <c r="EDN5" s="107"/>
      <c r="EDO5" s="107"/>
      <c r="EDP5" s="107"/>
      <c r="EDQ5" s="107"/>
      <c r="EDR5" s="107"/>
      <c r="EDS5" s="107"/>
      <c r="EDT5" s="107"/>
      <c r="EDU5" s="107"/>
      <c r="EDV5" s="107"/>
      <c r="EDW5" s="107"/>
      <c r="EDX5" s="107"/>
      <c r="EDY5" s="107"/>
      <c r="EDZ5" s="107"/>
      <c r="EEA5" s="107"/>
      <c r="EEB5" s="107"/>
      <c r="EEC5" s="107"/>
      <c r="EED5" s="107"/>
      <c r="EEE5" s="107"/>
      <c r="EEF5" s="107"/>
      <c r="EEG5" s="107"/>
      <c r="EEH5" s="107"/>
      <c r="EEI5" s="107"/>
      <c r="EEJ5" s="107"/>
      <c r="EEK5" s="107"/>
      <c r="EEL5" s="107"/>
      <c r="EEM5" s="107"/>
      <c r="EEN5" s="107"/>
      <c r="EEO5" s="107"/>
      <c r="EEP5" s="107"/>
      <c r="EEQ5" s="107"/>
      <c r="EER5" s="107"/>
      <c r="EES5" s="107"/>
      <c r="EET5" s="107"/>
      <c r="EEU5" s="107"/>
      <c r="EEV5" s="107"/>
      <c r="EEW5" s="107"/>
      <c r="EEX5" s="107"/>
      <c r="EEY5" s="107"/>
      <c r="EEZ5" s="107"/>
      <c r="EFA5" s="107"/>
      <c r="EFB5" s="107"/>
      <c r="EFC5" s="107"/>
      <c r="EFD5" s="107"/>
      <c r="EFE5" s="107"/>
      <c r="EFF5" s="107"/>
      <c r="EFG5" s="107"/>
      <c r="EFH5" s="107"/>
      <c r="EFI5" s="107"/>
      <c r="EFJ5" s="107"/>
      <c r="EFK5" s="107"/>
      <c r="EFL5" s="107"/>
      <c r="EFM5" s="107"/>
      <c r="EFN5" s="107"/>
      <c r="EFO5" s="107"/>
      <c r="EFP5" s="107"/>
      <c r="EFQ5" s="107"/>
      <c r="EFR5" s="107"/>
      <c r="EFS5" s="107"/>
      <c r="EFT5" s="107"/>
      <c r="EFU5" s="107"/>
      <c r="EFV5" s="107"/>
      <c r="EFW5" s="107"/>
      <c r="EFX5" s="107"/>
      <c r="EFY5" s="107"/>
      <c r="EFZ5" s="107"/>
      <c r="EGA5" s="107"/>
      <c r="EGB5" s="107"/>
      <c r="EGC5" s="107"/>
      <c r="EGD5" s="107"/>
      <c r="EGE5" s="107"/>
      <c r="EGF5" s="107"/>
      <c r="EGG5" s="107"/>
      <c r="EGH5" s="107"/>
      <c r="EGI5" s="107"/>
      <c r="EGJ5" s="107"/>
      <c r="EGK5" s="107"/>
      <c r="EGL5" s="107"/>
      <c r="EGM5" s="107"/>
      <c r="EGN5" s="107"/>
      <c r="EGO5" s="107"/>
      <c r="EGP5" s="107"/>
      <c r="EGQ5" s="107"/>
      <c r="EGR5" s="107"/>
      <c r="EGS5" s="107"/>
      <c r="EGT5" s="107"/>
      <c r="EGU5" s="107"/>
      <c r="EGV5" s="107"/>
      <c r="EGW5" s="107"/>
      <c r="EGX5" s="107"/>
      <c r="EGY5" s="107"/>
      <c r="EGZ5" s="107"/>
      <c r="EHA5" s="107"/>
      <c r="EHB5" s="107"/>
      <c r="EHC5" s="107"/>
      <c r="EHD5" s="107"/>
      <c r="EHE5" s="107"/>
      <c r="EHF5" s="107"/>
      <c r="EHG5" s="107"/>
      <c r="EHH5" s="107"/>
      <c r="EHI5" s="107"/>
      <c r="EHJ5" s="107"/>
      <c r="EHK5" s="107"/>
      <c r="EHL5" s="107"/>
      <c r="EHM5" s="107"/>
      <c r="EHN5" s="107"/>
      <c r="EHO5" s="107"/>
      <c r="EHP5" s="107"/>
      <c r="EHQ5" s="107"/>
      <c r="EHR5" s="107"/>
      <c r="EHS5" s="107"/>
      <c r="EHT5" s="107"/>
      <c r="EHU5" s="107"/>
      <c r="EHV5" s="107"/>
      <c r="EHW5" s="107"/>
      <c r="EHX5" s="107"/>
      <c r="EHY5" s="107"/>
      <c r="EHZ5" s="107"/>
      <c r="EIA5" s="107"/>
      <c r="EIB5" s="107"/>
      <c r="EIC5" s="107"/>
      <c r="EID5" s="107"/>
      <c r="EIE5" s="107"/>
      <c r="EIF5" s="107"/>
      <c r="EIG5" s="107"/>
      <c r="EIH5" s="107"/>
      <c r="EII5" s="107"/>
      <c r="EIJ5" s="107"/>
      <c r="EIK5" s="107"/>
      <c r="EIL5" s="107"/>
      <c r="EIM5" s="107"/>
      <c r="EIN5" s="107"/>
      <c r="EIO5" s="107"/>
      <c r="EIP5" s="107"/>
      <c r="EIQ5" s="107"/>
      <c r="EIR5" s="107"/>
      <c r="EIS5" s="107"/>
      <c r="EIT5" s="107"/>
      <c r="EIU5" s="107"/>
      <c r="EIV5" s="107"/>
      <c r="EIW5" s="107"/>
      <c r="EIX5" s="107"/>
      <c r="EIY5" s="107"/>
      <c r="EIZ5" s="107"/>
      <c r="EJA5" s="107"/>
      <c r="EJB5" s="107"/>
      <c r="EJC5" s="107"/>
      <c r="EJD5" s="107"/>
      <c r="EJE5" s="107"/>
      <c r="EJF5" s="107"/>
      <c r="EJG5" s="107"/>
      <c r="EJH5" s="107"/>
      <c r="EJI5" s="107"/>
      <c r="EJJ5" s="107"/>
      <c r="EJK5" s="107"/>
      <c r="EJL5" s="107"/>
      <c r="EJM5" s="107"/>
      <c r="EJN5" s="107"/>
      <c r="EJO5" s="107"/>
      <c r="EJP5" s="107"/>
      <c r="EJQ5" s="107"/>
      <c r="EJR5" s="107"/>
      <c r="EJS5" s="107"/>
      <c r="EJT5" s="107"/>
      <c r="EJU5" s="107"/>
      <c r="EJV5" s="107"/>
      <c r="EJW5" s="107"/>
      <c r="EJX5" s="107"/>
      <c r="EJY5" s="107"/>
      <c r="EJZ5" s="107"/>
      <c r="EKA5" s="107"/>
      <c r="EKB5" s="107"/>
      <c r="EKC5" s="107"/>
      <c r="EKD5" s="107"/>
      <c r="EKE5" s="107"/>
      <c r="EKF5" s="107"/>
      <c r="EKG5" s="107"/>
      <c r="EKH5" s="107"/>
      <c r="EKI5" s="107"/>
      <c r="EKJ5" s="107"/>
      <c r="EKK5" s="107"/>
      <c r="EKL5" s="107"/>
      <c r="EKM5" s="107"/>
      <c r="EKN5" s="107"/>
      <c r="EKO5" s="107"/>
      <c r="EKP5" s="107"/>
      <c r="EKQ5" s="107"/>
      <c r="EKR5" s="107"/>
      <c r="EKS5" s="107"/>
      <c r="EKT5" s="107"/>
      <c r="EKU5" s="107"/>
      <c r="EKV5" s="107"/>
      <c r="EKW5" s="107"/>
      <c r="EKX5" s="107"/>
      <c r="EKY5" s="107"/>
      <c r="EKZ5" s="107"/>
      <c r="ELA5" s="107"/>
      <c r="ELB5" s="107"/>
      <c r="ELC5" s="107"/>
      <c r="ELD5" s="107"/>
      <c r="ELE5" s="107"/>
      <c r="ELF5" s="107"/>
      <c r="ELG5" s="107"/>
      <c r="ELH5" s="107"/>
      <c r="ELI5" s="107"/>
      <c r="ELJ5" s="107"/>
      <c r="ELK5" s="107"/>
      <c r="ELL5" s="107"/>
      <c r="ELM5" s="107"/>
      <c r="ELN5" s="107"/>
      <c r="ELO5" s="107"/>
      <c r="ELP5" s="107"/>
      <c r="ELQ5" s="107"/>
      <c r="ELR5" s="107"/>
      <c r="ELS5" s="107"/>
      <c r="ELT5" s="107"/>
      <c r="ELU5" s="107"/>
      <c r="ELV5" s="107"/>
      <c r="ELW5" s="107"/>
      <c r="ELX5" s="107"/>
      <c r="ELY5" s="107"/>
      <c r="ELZ5" s="107"/>
      <c r="EMA5" s="107"/>
      <c r="EMB5" s="107"/>
      <c r="EMC5" s="107"/>
      <c r="EMD5" s="107"/>
      <c r="EME5" s="107"/>
      <c r="EMF5" s="107"/>
      <c r="EMG5" s="107"/>
      <c r="EMH5" s="107"/>
      <c r="EMI5" s="107"/>
      <c r="EMJ5" s="107"/>
      <c r="EMK5" s="107"/>
      <c r="EML5" s="107"/>
      <c r="EMM5" s="107"/>
      <c r="EMN5" s="107"/>
      <c r="EMO5" s="107"/>
      <c r="EMP5" s="107"/>
      <c r="EMQ5" s="107"/>
      <c r="EMR5" s="107"/>
      <c r="EMS5" s="107"/>
      <c r="EMT5" s="107"/>
      <c r="EMU5" s="107"/>
      <c r="EMV5" s="107"/>
      <c r="EMW5" s="107"/>
      <c r="EMX5" s="107"/>
      <c r="EMY5" s="107"/>
      <c r="EMZ5" s="107"/>
      <c r="ENA5" s="107"/>
      <c r="ENB5" s="107"/>
      <c r="ENC5" s="107"/>
      <c r="END5" s="107"/>
      <c r="ENE5" s="107"/>
      <c r="ENF5" s="107"/>
      <c r="ENG5" s="107"/>
      <c r="ENH5" s="107"/>
      <c r="ENI5" s="107"/>
      <c r="ENJ5" s="107"/>
      <c r="ENK5" s="107"/>
      <c r="ENL5" s="107"/>
      <c r="ENM5" s="107"/>
      <c r="ENN5" s="107"/>
      <c r="ENO5" s="107"/>
      <c r="ENP5" s="107"/>
      <c r="ENQ5" s="107"/>
      <c r="ENR5" s="107"/>
      <c r="ENS5" s="107"/>
      <c r="ENT5" s="107"/>
      <c r="ENU5" s="107"/>
      <c r="ENV5" s="107"/>
      <c r="ENW5" s="107"/>
      <c r="ENX5" s="107"/>
      <c r="ENY5" s="107"/>
      <c r="ENZ5" s="107"/>
      <c r="EOA5" s="107"/>
      <c r="EOB5" s="107"/>
      <c r="EOC5" s="107"/>
      <c r="EOD5" s="107"/>
      <c r="EOE5" s="107"/>
      <c r="EOF5" s="107"/>
      <c r="EOG5" s="107"/>
      <c r="EOH5" s="107"/>
      <c r="EOI5" s="107"/>
      <c r="EOJ5" s="107"/>
      <c r="EOK5" s="107"/>
      <c r="EOL5" s="107"/>
      <c r="EOM5" s="107"/>
      <c r="EON5" s="107"/>
      <c r="EOO5" s="107"/>
      <c r="EOP5" s="107"/>
      <c r="EOQ5" s="107"/>
      <c r="EOR5" s="107"/>
      <c r="EOS5" s="107"/>
      <c r="EOT5" s="107"/>
      <c r="EOU5" s="107"/>
      <c r="EOV5" s="107"/>
      <c r="EOW5" s="107"/>
      <c r="EOX5" s="107"/>
      <c r="EOY5" s="107"/>
      <c r="EOZ5" s="107"/>
      <c r="EPA5" s="107"/>
      <c r="EPB5" s="107"/>
      <c r="EPC5" s="107"/>
      <c r="EPD5" s="107"/>
      <c r="EPE5" s="107"/>
      <c r="EPF5" s="107"/>
      <c r="EPG5" s="107"/>
      <c r="EPH5" s="107"/>
      <c r="EPI5" s="107"/>
      <c r="EPJ5" s="107"/>
      <c r="EPK5" s="107"/>
      <c r="EPL5" s="107"/>
      <c r="EPM5" s="107"/>
      <c r="EPN5" s="107"/>
      <c r="EPO5" s="107"/>
      <c r="EPP5" s="107"/>
      <c r="EPQ5" s="107"/>
      <c r="EPR5" s="107"/>
      <c r="EPS5" s="107"/>
      <c r="EPT5" s="107"/>
      <c r="EPU5" s="107"/>
      <c r="EPV5" s="107"/>
      <c r="EPW5" s="107"/>
      <c r="EPX5" s="107"/>
      <c r="EPY5" s="107"/>
      <c r="EPZ5" s="107"/>
      <c r="EQA5" s="107"/>
      <c r="EQB5" s="107"/>
      <c r="EQC5" s="107"/>
      <c r="EQD5" s="107"/>
      <c r="EQE5" s="107"/>
      <c r="EQF5" s="107"/>
      <c r="EQG5" s="107"/>
      <c r="EQH5" s="107"/>
      <c r="EQI5" s="107"/>
      <c r="EQJ5" s="107"/>
      <c r="EQK5" s="107"/>
      <c r="EQL5" s="107"/>
      <c r="EQM5" s="107"/>
      <c r="EQN5" s="107"/>
      <c r="EQO5" s="107"/>
      <c r="EQP5" s="107"/>
      <c r="EQQ5" s="107"/>
      <c r="EQR5" s="107"/>
      <c r="EQS5" s="107"/>
      <c r="EQT5" s="107"/>
      <c r="EQU5" s="107"/>
      <c r="EQV5" s="107"/>
      <c r="EQW5" s="107"/>
      <c r="EQX5" s="107"/>
      <c r="EQY5" s="107"/>
      <c r="EQZ5" s="107"/>
      <c r="ERA5" s="107"/>
      <c r="ERB5" s="107"/>
      <c r="ERC5" s="107"/>
      <c r="ERD5" s="107"/>
      <c r="ERE5" s="107"/>
      <c r="ERF5" s="107"/>
      <c r="ERG5" s="107"/>
      <c r="ERH5" s="107"/>
      <c r="ERI5" s="107"/>
      <c r="ERJ5" s="107"/>
      <c r="ERK5" s="107"/>
      <c r="ERL5" s="107"/>
      <c r="ERM5" s="107"/>
      <c r="ERN5" s="107"/>
      <c r="ERO5" s="107"/>
      <c r="ERP5" s="107"/>
      <c r="ERQ5" s="107"/>
      <c r="ERR5" s="107"/>
      <c r="ERS5" s="107"/>
      <c r="ERT5" s="107"/>
      <c r="ERU5" s="107"/>
      <c r="ERV5" s="107"/>
      <c r="ERW5" s="107"/>
      <c r="ERX5" s="107"/>
      <c r="ERY5" s="107"/>
      <c r="ERZ5" s="107"/>
      <c r="ESA5" s="107"/>
      <c r="ESB5" s="107"/>
      <c r="ESC5" s="107"/>
      <c r="ESD5" s="107"/>
      <c r="ESE5" s="107"/>
      <c r="ESF5" s="107"/>
      <c r="ESG5" s="107"/>
      <c r="ESH5" s="107"/>
      <c r="ESI5" s="107"/>
      <c r="ESJ5" s="107"/>
      <c r="ESK5" s="107"/>
      <c r="ESL5" s="107"/>
      <c r="ESM5" s="107"/>
      <c r="ESN5" s="107"/>
      <c r="ESO5" s="107"/>
      <c r="ESP5" s="107"/>
      <c r="ESQ5" s="107"/>
      <c r="ESR5" s="107"/>
      <c r="ESS5" s="107"/>
      <c r="EST5" s="107"/>
      <c r="ESU5" s="107"/>
      <c r="ESV5" s="107"/>
      <c r="ESW5" s="107"/>
      <c r="ESX5" s="107"/>
      <c r="ESY5" s="107"/>
      <c r="ESZ5" s="107"/>
      <c r="ETA5" s="107"/>
      <c r="ETB5" s="107"/>
      <c r="ETC5" s="107"/>
      <c r="ETD5" s="107"/>
      <c r="ETE5" s="107"/>
      <c r="ETF5" s="107"/>
      <c r="ETG5" s="107"/>
      <c r="ETH5" s="107"/>
      <c r="ETI5" s="107"/>
      <c r="ETJ5" s="107"/>
      <c r="ETK5" s="107"/>
      <c r="ETL5" s="107"/>
      <c r="ETM5" s="107"/>
      <c r="ETN5" s="107"/>
      <c r="ETO5" s="107"/>
      <c r="ETP5" s="107"/>
      <c r="ETQ5" s="107"/>
      <c r="ETR5" s="107"/>
      <c r="ETS5" s="107"/>
      <c r="ETT5" s="107"/>
      <c r="ETU5" s="107"/>
      <c r="ETV5" s="107"/>
      <c r="ETW5" s="107"/>
      <c r="ETX5" s="107"/>
      <c r="ETY5" s="107"/>
      <c r="ETZ5" s="107"/>
      <c r="EUA5" s="107"/>
      <c r="EUB5" s="107"/>
      <c r="EUC5" s="107"/>
      <c r="EUD5" s="107"/>
      <c r="EUE5" s="107"/>
      <c r="EUF5" s="107"/>
      <c r="EUG5" s="107"/>
      <c r="EUH5" s="107"/>
      <c r="EUI5" s="107"/>
      <c r="EUJ5" s="107"/>
      <c r="EUK5" s="107"/>
      <c r="EUL5" s="107"/>
      <c r="EUM5" s="107"/>
      <c r="EUN5" s="107"/>
      <c r="EUO5" s="107"/>
      <c r="EUP5" s="107"/>
      <c r="EUQ5" s="107"/>
      <c r="EUR5" s="107"/>
      <c r="EUS5" s="107"/>
      <c r="EUT5" s="107"/>
      <c r="EUU5" s="107"/>
      <c r="EUV5" s="107"/>
      <c r="EUW5" s="107"/>
      <c r="EUX5" s="107"/>
      <c r="EUY5" s="107"/>
      <c r="EUZ5" s="107"/>
      <c r="EVA5" s="107"/>
      <c r="EVB5" s="107"/>
      <c r="EVC5" s="107"/>
      <c r="EVD5" s="107"/>
      <c r="EVE5" s="107"/>
      <c r="EVF5" s="107"/>
      <c r="EVG5" s="107"/>
      <c r="EVH5" s="107"/>
      <c r="EVI5" s="107"/>
      <c r="EVJ5" s="107"/>
      <c r="EVK5" s="107"/>
      <c r="EVL5" s="107"/>
      <c r="EVM5" s="107"/>
      <c r="EVN5" s="107"/>
      <c r="EVO5" s="107"/>
      <c r="EVP5" s="107"/>
      <c r="EVQ5" s="107"/>
      <c r="EVR5" s="107"/>
      <c r="EVS5" s="107"/>
      <c r="EVT5" s="107"/>
      <c r="EVU5" s="107"/>
      <c r="EVV5" s="107"/>
      <c r="EVW5" s="107"/>
      <c r="EVX5" s="107"/>
      <c r="EVY5" s="107"/>
      <c r="EVZ5" s="107"/>
      <c r="EWA5" s="107"/>
      <c r="EWB5" s="107"/>
      <c r="EWC5" s="107"/>
      <c r="EWD5" s="107"/>
      <c r="EWE5" s="107"/>
      <c r="EWF5" s="107"/>
      <c r="EWG5" s="107"/>
      <c r="EWH5" s="107"/>
      <c r="EWI5" s="107"/>
      <c r="EWJ5" s="107"/>
      <c r="EWK5" s="107"/>
      <c r="EWL5" s="107"/>
      <c r="EWM5" s="107"/>
      <c r="EWN5" s="107"/>
      <c r="EWO5" s="107"/>
      <c r="EWP5" s="107"/>
      <c r="EWQ5" s="107"/>
      <c r="EWR5" s="107"/>
      <c r="EWS5" s="107"/>
      <c r="EWT5" s="107"/>
      <c r="EWU5" s="107"/>
      <c r="EWV5" s="107"/>
      <c r="EWW5" s="107"/>
      <c r="EWX5" s="107"/>
      <c r="EWY5" s="107"/>
      <c r="EWZ5" s="107"/>
      <c r="EXA5" s="107"/>
      <c r="EXB5" s="107"/>
      <c r="EXC5" s="107"/>
      <c r="EXD5" s="107"/>
      <c r="EXE5" s="107"/>
      <c r="EXF5" s="107"/>
      <c r="EXG5" s="107"/>
      <c r="EXH5" s="107"/>
      <c r="EXI5" s="107"/>
      <c r="EXJ5" s="107"/>
      <c r="EXK5" s="107"/>
      <c r="EXL5" s="107"/>
      <c r="EXM5" s="107"/>
      <c r="EXN5" s="107"/>
      <c r="EXO5" s="107"/>
      <c r="EXP5" s="107"/>
      <c r="EXQ5" s="107"/>
      <c r="EXR5" s="107"/>
      <c r="EXS5" s="107"/>
      <c r="EXT5" s="107"/>
      <c r="EXU5" s="107"/>
      <c r="EXV5" s="107"/>
      <c r="EXW5" s="107"/>
      <c r="EXX5" s="107"/>
      <c r="EXY5" s="107"/>
      <c r="EXZ5" s="107"/>
      <c r="EYA5" s="107"/>
      <c r="EYB5" s="107"/>
      <c r="EYC5" s="107"/>
      <c r="EYD5" s="107"/>
      <c r="EYE5" s="107"/>
      <c r="EYF5" s="107"/>
      <c r="EYG5" s="107"/>
      <c r="EYH5" s="107"/>
      <c r="EYI5" s="107"/>
      <c r="EYJ5" s="107"/>
      <c r="EYK5" s="107"/>
      <c r="EYL5" s="107"/>
      <c r="EYM5" s="107"/>
      <c r="EYN5" s="107"/>
      <c r="EYO5" s="107"/>
      <c r="EYP5" s="107"/>
      <c r="EYQ5" s="107"/>
      <c r="EYR5" s="107"/>
      <c r="EYS5" s="107"/>
      <c r="EYT5" s="107"/>
      <c r="EYU5" s="107"/>
      <c r="EYV5" s="107"/>
      <c r="EYW5" s="107"/>
      <c r="EYX5" s="107"/>
      <c r="EYY5" s="107"/>
      <c r="EYZ5" s="107"/>
      <c r="EZA5" s="107"/>
      <c r="EZB5" s="107"/>
      <c r="EZC5" s="107"/>
      <c r="EZD5" s="107"/>
      <c r="EZE5" s="107"/>
      <c r="EZF5" s="107"/>
      <c r="EZG5" s="107"/>
      <c r="EZH5" s="107"/>
      <c r="EZI5" s="107"/>
      <c r="EZJ5" s="107"/>
      <c r="EZK5" s="107"/>
      <c r="EZL5" s="107"/>
      <c r="EZM5" s="107"/>
      <c r="EZN5" s="107"/>
      <c r="EZO5" s="107"/>
      <c r="EZP5" s="107"/>
      <c r="EZQ5" s="107"/>
      <c r="EZR5" s="107"/>
      <c r="EZS5" s="107"/>
      <c r="EZT5" s="107"/>
      <c r="EZU5" s="107"/>
      <c r="EZV5" s="107"/>
      <c r="EZW5" s="107"/>
      <c r="EZX5" s="107"/>
      <c r="EZY5" s="107"/>
      <c r="EZZ5" s="107"/>
      <c r="FAA5" s="107"/>
      <c r="FAB5" s="107"/>
      <c r="FAC5" s="107"/>
      <c r="FAD5" s="107"/>
      <c r="FAE5" s="107"/>
      <c r="FAF5" s="107"/>
      <c r="FAG5" s="107"/>
      <c r="FAH5" s="107"/>
      <c r="FAI5" s="107"/>
      <c r="FAJ5" s="107"/>
      <c r="FAK5" s="107"/>
      <c r="FAL5" s="107"/>
      <c r="FAM5" s="107"/>
      <c r="FAN5" s="107"/>
      <c r="FAO5" s="107"/>
      <c r="FAP5" s="107"/>
      <c r="FAQ5" s="107"/>
      <c r="FAR5" s="107"/>
      <c r="FAS5" s="107"/>
      <c r="FAT5" s="107"/>
      <c r="FAU5" s="107"/>
      <c r="FAV5" s="107"/>
      <c r="FAW5" s="107"/>
      <c r="FAX5" s="107"/>
      <c r="FAY5" s="107"/>
      <c r="FAZ5" s="107"/>
      <c r="FBA5" s="107"/>
      <c r="FBB5" s="107"/>
      <c r="FBC5" s="107"/>
      <c r="FBD5" s="107"/>
      <c r="FBE5" s="107"/>
      <c r="FBF5" s="107"/>
      <c r="FBG5" s="107"/>
      <c r="FBH5" s="107"/>
      <c r="FBI5" s="107"/>
      <c r="FBJ5" s="107"/>
      <c r="FBK5" s="107"/>
      <c r="FBL5" s="107"/>
      <c r="FBM5" s="107"/>
      <c r="FBN5" s="107"/>
      <c r="FBO5" s="107"/>
      <c r="FBP5" s="107"/>
      <c r="FBQ5" s="107"/>
      <c r="FBR5" s="107"/>
      <c r="FBS5" s="107"/>
      <c r="FBT5" s="107"/>
      <c r="FBU5" s="107"/>
      <c r="FBV5" s="107"/>
      <c r="FBW5" s="107"/>
      <c r="FBX5" s="107"/>
      <c r="FBY5" s="107"/>
      <c r="FBZ5" s="107"/>
      <c r="FCA5" s="107"/>
      <c r="FCB5" s="107"/>
      <c r="FCC5" s="107"/>
      <c r="FCD5" s="107"/>
      <c r="FCE5" s="107"/>
      <c r="FCF5" s="107"/>
      <c r="FCG5" s="107"/>
      <c r="FCH5" s="107"/>
      <c r="FCI5" s="107"/>
      <c r="FCJ5" s="107"/>
      <c r="FCK5" s="107"/>
      <c r="FCL5" s="107"/>
      <c r="FCM5" s="107"/>
      <c r="FCN5" s="107"/>
      <c r="FCO5" s="107"/>
      <c r="FCP5" s="107"/>
      <c r="FCQ5" s="107"/>
      <c r="FCR5" s="107"/>
      <c r="FCS5" s="107"/>
      <c r="FCT5" s="107"/>
      <c r="FCU5" s="107"/>
      <c r="FCV5" s="107"/>
      <c r="FCW5" s="107"/>
      <c r="FCX5" s="107"/>
      <c r="FCY5" s="107"/>
      <c r="FCZ5" s="107"/>
      <c r="FDA5" s="107"/>
      <c r="FDB5" s="107"/>
      <c r="FDC5" s="107"/>
      <c r="FDD5" s="107"/>
      <c r="FDE5" s="107"/>
      <c r="FDF5" s="107"/>
      <c r="FDG5" s="107"/>
      <c r="FDH5" s="107"/>
      <c r="FDI5" s="107"/>
      <c r="FDJ5" s="107"/>
      <c r="FDK5" s="107"/>
      <c r="FDL5" s="107"/>
      <c r="FDM5" s="107"/>
      <c r="FDN5" s="107"/>
      <c r="FDO5" s="107"/>
      <c r="FDP5" s="107"/>
      <c r="FDQ5" s="107"/>
      <c r="FDR5" s="107"/>
      <c r="FDS5" s="107"/>
      <c r="FDT5" s="107"/>
      <c r="FDU5" s="107"/>
      <c r="FDV5" s="107"/>
      <c r="FDW5" s="107"/>
      <c r="FDX5" s="107"/>
      <c r="FDY5" s="107"/>
      <c r="FDZ5" s="107"/>
      <c r="FEA5" s="107"/>
      <c r="FEB5" s="107"/>
      <c r="FEC5" s="107"/>
      <c r="FED5" s="107"/>
      <c r="FEE5" s="107"/>
      <c r="FEF5" s="107"/>
      <c r="FEG5" s="107"/>
      <c r="FEH5" s="107"/>
      <c r="FEI5" s="107"/>
      <c r="FEJ5" s="107"/>
      <c r="FEK5" s="107"/>
      <c r="FEL5" s="107"/>
      <c r="FEM5" s="107"/>
      <c r="FEN5" s="107"/>
      <c r="FEO5" s="107"/>
      <c r="FEP5" s="107"/>
      <c r="FEQ5" s="107"/>
      <c r="FER5" s="107"/>
      <c r="FES5" s="107"/>
      <c r="FET5" s="107"/>
      <c r="FEU5" s="107"/>
      <c r="FEV5" s="107"/>
      <c r="FEW5" s="107"/>
      <c r="FEX5" s="107"/>
      <c r="FEY5" s="107"/>
      <c r="FEZ5" s="107"/>
      <c r="FFA5" s="107"/>
      <c r="FFB5" s="107"/>
      <c r="FFC5" s="107"/>
      <c r="FFD5" s="107"/>
      <c r="FFE5" s="107"/>
      <c r="FFF5" s="107"/>
      <c r="FFG5" s="107"/>
      <c r="FFH5" s="107"/>
      <c r="FFI5" s="107"/>
      <c r="FFJ5" s="107"/>
      <c r="FFK5" s="107"/>
      <c r="FFL5" s="107"/>
      <c r="FFM5" s="107"/>
      <c r="FFN5" s="107"/>
      <c r="FFO5" s="107"/>
      <c r="FFP5" s="107"/>
      <c r="FFQ5" s="107"/>
      <c r="FFR5" s="107"/>
      <c r="FFS5" s="107"/>
      <c r="FFT5" s="107"/>
      <c r="FFU5" s="107"/>
      <c r="FFV5" s="107"/>
      <c r="FFW5" s="107"/>
      <c r="FFX5" s="107"/>
      <c r="FFY5" s="107"/>
      <c r="FFZ5" s="107"/>
      <c r="FGA5" s="107"/>
      <c r="FGB5" s="107"/>
      <c r="FGC5" s="107"/>
      <c r="FGD5" s="107"/>
      <c r="FGE5" s="107"/>
      <c r="FGF5" s="107"/>
      <c r="FGG5" s="107"/>
      <c r="FGH5" s="107"/>
      <c r="FGI5" s="107"/>
      <c r="FGJ5" s="107"/>
      <c r="FGK5" s="107"/>
      <c r="FGL5" s="107"/>
      <c r="FGM5" s="107"/>
      <c r="FGN5" s="107"/>
      <c r="FGO5" s="107"/>
      <c r="FGP5" s="107"/>
      <c r="FGQ5" s="107"/>
      <c r="FGR5" s="107"/>
      <c r="FGS5" s="107"/>
      <c r="FGT5" s="107"/>
      <c r="FGU5" s="107"/>
      <c r="FGV5" s="107"/>
      <c r="FGW5" s="107"/>
      <c r="FGX5" s="107"/>
      <c r="FGY5" s="107"/>
      <c r="FGZ5" s="107"/>
      <c r="FHA5" s="107"/>
      <c r="FHB5" s="107"/>
      <c r="FHC5" s="107"/>
      <c r="FHD5" s="107"/>
      <c r="FHE5" s="107"/>
      <c r="FHF5" s="107"/>
      <c r="FHG5" s="107"/>
      <c r="FHH5" s="107"/>
      <c r="FHI5" s="107"/>
      <c r="FHJ5" s="107"/>
      <c r="FHK5" s="107"/>
      <c r="FHL5" s="107"/>
      <c r="FHM5" s="107"/>
      <c r="FHN5" s="107"/>
      <c r="FHO5" s="107"/>
      <c r="FHP5" s="107"/>
      <c r="FHQ5" s="107"/>
      <c r="FHR5" s="107"/>
      <c r="FHS5" s="107"/>
      <c r="FHT5" s="107"/>
      <c r="FHU5" s="107"/>
      <c r="FHV5" s="107"/>
      <c r="FHW5" s="107"/>
      <c r="FHX5" s="107"/>
      <c r="FHY5" s="107"/>
      <c r="FHZ5" s="107"/>
      <c r="FIA5" s="107"/>
      <c r="FIB5" s="107"/>
      <c r="FIC5" s="107"/>
      <c r="FID5" s="107"/>
      <c r="FIE5" s="107"/>
      <c r="FIF5" s="107"/>
      <c r="FIG5" s="107"/>
      <c r="FIH5" s="107"/>
      <c r="FII5" s="107"/>
      <c r="FIJ5" s="107"/>
      <c r="FIK5" s="107"/>
      <c r="FIL5" s="107"/>
      <c r="FIM5" s="107"/>
      <c r="FIN5" s="107"/>
      <c r="FIO5" s="107"/>
      <c r="FIP5" s="107"/>
      <c r="FIQ5" s="107"/>
      <c r="FIR5" s="107"/>
      <c r="FIS5" s="107"/>
      <c r="FIT5" s="107"/>
      <c r="FIU5" s="107"/>
      <c r="FIV5" s="107"/>
      <c r="FIW5" s="107"/>
      <c r="FIX5" s="107"/>
      <c r="FIY5" s="107"/>
      <c r="FIZ5" s="107"/>
      <c r="FJA5" s="107"/>
      <c r="FJB5" s="107"/>
      <c r="FJC5" s="107"/>
      <c r="FJD5" s="107"/>
      <c r="FJE5" s="107"/>
      <c r="FJF5" s="107"/>
      <c r="FJG5" s="107"/>
      <c r="FJH5" s="107"/>
      <c r="FJI5" s="107"/>
      <c r="FJJ5" s="107"/>
      <c r="FJK5" s="107"/>
      <c r="FJL5" s="107"/>
      <c r="FJM5" s="107"/>
      <c r="FJN5" s="107"/>
      <c r="FJO5" s="107"/>
      <c r="FJP5" s="107"/>
      <c r="FJQ5" s="107"/>
      <c r="FJR5" s="107"/>
      <c r="FJS5" s="107"/>
      <c r="FJT5" s="107"/>
      <c r="FJU5" s="107"/>
      <c r="FJV5" s="107"/>
      <c r="FJW5" s="107"/>
      <c r="FJX5" s="107"/>
      <c r="FJY5" s="107"/>
      <c r="FJZ5" s="107"/>
      <c r="FKA5" s="107"/>
      <c r="FKB5" s="107"/>
      <c r="FKC5" s="107"/>
      <c r="FKD5" s="107"/>
      <c r="FKE5" s="107"/>
      <c r="FKF5" s="107"/>
      <c r="FKG5" s="107"/>
      <c r="FKH5" s="107"/>
      <c r="FKI5" s="107"/>
      <c r="FKJ5" s="107"/>
      <c r="FKK5" s="107"/>
      <c r="FKL5" s="107"/>
      <c r="FKM5" s="107"/>
      <c r="FKN5" s="107"/>
      <c r="FKO5" s="107"/>
      <c r="FKP5" s="107"/>
      <c r="FKQ5" s="107"/>
      <c r="FKR5" s="107"/>
      <c r="FKS5" s="107"/>
      <c r="FKT5" s="107"/>
      <c r="FKU5" s="107"/>
      <c r="FKV5" s="107"/>
      <c r="FKW5" s="107"/>
      <c r="FKX5" s="107"/>
      <c r="FKY5" s="107"/>
      <c r="FKZ5" s="107"/>
      <c r="FLA5" s="107"/>
      <c r="FLB5" s="107"/>
      <c r="FLC5" s="107"/>
      <c r="FLD5" s="107"/>
      <c r="FLE5" s="107"/>
      <c r="FLF5" s="107"/>
      <c r="FLG5" s="107"/>
      <c r="FLH5" s="107"/>
      <c r="FLI5" s="107"/>
      <c r="FLJ5" s="107"/>
      <c r="FLK5" s="107"/>
      <c r="FLL5" s="107"/>
      <c r="FLM5" s="107"/>
      <c r="FLN5" s="107"/>
      <c r="FLO5" s="107"/>
      <c r="FLP5" s="107"/>
      <c r="FLQ5" s="107"/>
      <c r="FLR5" s="107"/>
      <c r="FLS5" s="107"/>
      <c r="FLT5" s="107"/>
      <c r="FLU5" s="107"/>
      <c r="FLV5" s="107"/>
      <c r="FLW5" s="107"/>
      <c r="FLX5" s="107"/>
      <c r="FLY5" s="107"/>
      <c r="FLZ5" s="107"/>
      <c r="FMA5" s="107"/>
      <c r="FMB5" s="107"/>
      <c r="FMC5" s="107"/>
      <c r="FMD5" s="107"/>
      <c r="FME5" s="107"/>
      <c r="FMF5" s="107"/>
      <c r="FMG5" s="107"/>
      <c r="FMH5" s="107"/>
      <c r="FMI5" s="107"/>
      <c r="FMJ5" s="107"/>
      <c r="FMK5" s="107"/>
      <c r="FML5" s="107"/>
      <c r="FMM5" s="107"/>
      <c r="FMN5" s="107"/>
      <c r="FMO5" s="107"/>
      <c r="FMP5" s="107"/>
      <c r="FMQ5" s="107"/>
      <c r="FMR5" s="107"/>
      <c r="FMS5" s="107"/>
      <c r="FMT5" s="107"/>
      <c r="FMU5" s="107"/>
      <c r="FMV5" s="107"/>
      <c r="FMW5" s="107"/>
      <c r="FMX5" s="107"/>
      <c r="FMY5" s="107"/>
      <c r="FMZ5" s="107"/>
      <c r="FNA5" s="107"/>
      <c r="FNB5" s="107"/>
      <c r="FNC5" s="107"/>
      <c r="FND5" s="107"/>
      <c r="FNE5" s="107"/>
      <c r="FNF5" s="107"/>
      <c r="FNG5" s="107"/>
      <c r="FNH5" s="107"/>
      <c r="FNI5" s="107"/>
      <c r="FNJ5" s="107"/>
      <c r="FNK5" s="107"/>
      <c r="FNL5" s="107"/>
      <c r="FNM5" s="107"/>
      <c r="FNN5" s="107"/>
      <c r="FNO5" s="107"/>
      <c r="FNP5" s="107"/>
      <c r="FNQ5" s="107"/>
      <c r="FNR5" s="107"/>
      <c r="FNS5" s="107"/>
      <c r="FNT5" s="107"/>
      <c r="FNU5" s="107"/>
      <c r="FNV5" s="107"/>
      <c r="FNW5" s="107"/>
      <c r="FNX5" s="107"/>
      <c r="FNY5" s="107"/>
      <c r="FNZ5" s="107"/>
      <c r="FOA5" s="107"/>
      <c r="FOB5" s="107"/>
      <c r="FOC5" s="107"/>
      <c r="FOD5" s="107"/>
      <c r="FOE5" s="107"/>
      <c r="FOF5" s="107"/>
      <c r="FOG5" s="107"/>
      <c r="FOH5" s="107"/>
      <c r="FOI5" s="107"/>
      <c r="FOJ5" s="107"/>
      <c r="FOK5" s="107"/>
      <c r="FOL5" s="107"/>
      <c r="FOM5" s="107"/>
      <c r="FON5" s="107"/>
      <c r="FOO5" s="107"/>
      <c r="FOP5" s="107"/>
      <c r="FOQ5" s="107"/>
      <c r="FOR5" s="107"/>
      <c r="FOS5" s="107"/>
      <c r="FOT5" s="107"/>
      <c r="FOU5" s="107"/>
      <c r="FOV5" s="107"/>
      <c r="FOW5" s="107"/>
      <c r="FOX5" s="107"/>
      <c r="FOY5" s="107"/>
      <c r="FOZ5" s="107"/>
      <c r="FPA5" s="107"/>
      <c r="FPB5" s="107"/>
      <c r="FPC5" s="107"/>
      <c r="FPD5" s="107"/>
      <c r="FPE5" s="107"/>
      <c r="FPF5" s="107"/>
      <c r="FPG5" s="107"/>
      <c r="FPH5" s="107"/>
      <c r="FPI5" s="107"/>
      <c r="FPJ5" s="107"/>
      <c r="FPK5" s="107"/>
      <c r="FPL5" s="107"/>
      <c r="FPM5" s="107"/>
      <c r="FPN5" s="107"/>
      <c r="FPO5" s="107"/>
      <c r="FPP5" s="107"/>
      <c r="FPQ5" s="107"/>
      <c r="FPR5" s="107"/>
      <c r="FPS5" s="107"/>
      <c r="FPT5" s="107"/>
      <c r="FPU5" s="107"/>
      <c r="FPV5" s="107"/>
      <c r="FPW5" s="107"/>
      <c r="FPX5" s="107"/>
      <c r="FPY5" s="107"/>
      <c r="FPZ5" s="107"/>
      <c r="FQA5" s="107"/>
      <c r="FQB5" s="107"/>
      <c r="FQC5" s="107"/>
      <c r="FQD5" s="107"/>
      <c r="FQE5" s="107"/>
      <c r="FQF5" s="107"/>
      <c r="FQG5" s="107"/>
      <c r="FQH5" s="107"/>
      <c r="FQI5" s="107"/>
      <c r="FQJ5" s="107"/>
      <c r="FQK5" s="107"/>
      <c r="FQL5" s="107"/>
      <c r="FQM5" s="107"/>
      <c r="FQN5" s="107"/>
      <c r="FQO5" s="107"/>
      <c r="FQP5" s="107"/>
      <c r="FQQ5" s="107"/>
      <c r="FQR5" s="107"/>
      <c r="FQS5" s="107"/>
      <c r="FQT5" s="107"/>
      <c r="FQU5" s="107"/>
      <c r="FQV5" s="107"/>
      <c r="FQW5" s="107"/>
      <c r="FQX5" s="107"/>
      <c r="FQY5" s="107"/>
      <c r="FQZ5" s="107"/>
      <c r="FRA5" s="107"/>
      <c r="FRB5" s="107"/>
      <c r="FRC5" s="107"/>
      <c r="FRD5" s="107"/>
      <c r="FRE5" s="107"/>
      <c r="FRF5" s="107"/>
      <c r="FRG5" s="107"/>
      <c r="FRH5" s="107"/>
      <c r="FRI5" s="107"/>
      <c r="FRJ5" s="107"/>
      <c r="FRK5" s="107"/>
      <c r="FRL5" s="107"/>
      <c r="FRM5" s="107"/>
      <c r="FRN5" s="107"/>
      <c r="FRO5" s="107"/>
      <c r="FRP5" s="107"/>
      <c r="FRQ5" s="107"/>
      <c r="FRR5" s="107"/>
      <c r="FRS5" s="107"/>
      <c r="FRT5" s="107"/>
      <c r="FRU5" s="107"/>
      <c r="FRV5" s="107"/>
      <c r="FRW5" s="107"/>
      <c r="FRX5" s="107"/>
      <c r="FRY5" s="107"/>
      <c r="FRZ5" s="107"/>
      <c r="FSA5" s="107"/>
      <c r="FSB5" s="107"/>
      <c r="FSC5" s="107"/>
      <c r="FSD5" s="107"/>
      <c r="FSE5" s="107"/>
      <c r="FSF5" s="107"/>
      <c r="FSG5" s="107"/>
      <c r="FSH5" s="107"/>
      <c r="FSI5" s="107"/>
      <c r="FSJ5" s="107"/>
      <c r="FSK5" s="107"/>
      <c r="FSL5" s="107"/>
      <c r="FSM5" s="107"/>
      <c r="FSN5" s="107"/>
      <c r="FSO5" s="107"/>
      <c r="FSP5" s="107"/>
      <c r="FSQ5" s="107"/>
      <c r="FSR5" s="107"/>
      <c r="FSS5" s="107"/>
      <c r="FST5" s="107"/>
      <c r="FSU5" s="107"/>
      <c r="FSV5" s="107"/>
      <c r="FSW5" s="107"/>
      <c r="FSX5" s="107"/>
      <c r="FSY5" s="107"/>
      <c r="FSZ5" s="107"/>
      <c r="FTA5" s="107"/>
      <c r="FTB5" s="107"/>
      <c r="FTC5" s="107"/>
      <c r="FTD5" s="107"/>
      <c r="FTE5" s="107"/>
      <c r="FTF5" s="107"/>
      <c r="FTG5" s="107"/>
      <c r="FTH5" s="107"/>
      <c r="FTI5" s="107"/>
      <c r="FTJ5" s="107"/>
      <c r="FTK5" s="107"/>
      <c r="FTL5" s="107"/>
      <c r="FTM5" s="107"/>
      <c r="FTN5" s="107"/>
      <c r="FTO5" s="107"/>
      <c r="FTP5" s="107"/>
      <c r="FTQ5" s="107"/>
      <c r="FTR5" s="107"/>
      <c r="FTS5" s="107"/>
      <c r="FTT5" s="107"/>
      <c r="FTU5" s="107"/>
      <c r="FTV5" s="107"/>
      <c r="FTW5" s="107"/>
      <c r="FTX5" s="107"/>
      <c r="FTY5" s="107"/>
      <c r="FTZ5" s="107"/>
      <c r="FUA5" s="107"/>
      <c r="FUB5" s="107"/>
      <c r="FUC5" s="107"/>
      <c r="FUD5" s="107"/>
      <c r="FUE5" s="107"/>
      <c r="FUF5" s="107"/>
      <c r="FUG5" s="107"/>
      <c r="FUH5" s="107"/>
      <c r="FUI5" s="107"/>
      <c r="FUJ5" s="107"/>
      <c r="FUK5" s="107"/>
      <c r="FUL5" s="107"/>
      <c r="FUM5" s="107"/>
      <c r="FUN5" s="107"/>
      <c r="FUO5" s="107"/>
      <c r="FUP5" s="107"/>
      <c r="FUQ5" s="107"/>
      <c r="FUR5" s="107"/>
      <c r="FUS5" s="107"/>
      <c r="FUT5" s="107"/>
      <c r="FUU5" s="107"/>
      <c r="FUV5" s="107"/>
      <c r="FUW5" s="107"/>
      <c r="FUX5" s="107"/>
      <c r="FUY5" s="107"/>
      <c r="FUZ5" s="107"/>
      <c r="FVA5" s="107"/>
      <c r="FVB5" s="107"/>
      <c r="FVC5" s="107"/>
      <c r="FVD5" s="107"/>
      <c r="FVE5" s="107"/>
      <c r="FVF5" s="107"/>
      <c r="FVG5" s="107"/>
      <c r="FVH5" s="107"/>
      <c r="FVI5" s="107"/>
      <c r="FVJ5" s="107"/>
      <c r="FVK5" s="107"/>
      <c r="FVL5" s="107"/>
      <c r="FVM5" s="107"/>
      <c r="FVN5" s="107"/>
      <c r="FVO5" s="107"/>
      <c r="FVP5" s="107"/>
      <c r="FVQ5" s="107"/>
      <c r="FVR5" s="107"/>
      <c r="FVS5" s="107"/>
      <c r="FVT5" s="107"/>
      <c r="FVU5" s="107"/>
      <c r="FVV5" s="107"/>
      <c r="FVW5" s="107"/>
      <c r="FVX5" s="107"/>
      <c r="FVY5" s="107"/>
      <c r="FVZ5" s="107"/>
      <c r="FWA5" s="107"/>
      <c r="FWB5" s="107"/>
      <c r="FWC5" s="107"/>
      <c r="FWD5" s="107"/>
      <c r="FWE5" s="107"/>
      <c r="FWF5" s="107"/>
      <c r="FWG5" s="107"/>
      <c r="FWH5" s="107"/>
      <c r="FWI5" s="107"/>
      <c r="FWJ5" s="107"/>
      <c r="FWK5" s="107"/>
      <c r="FWL5" s="107"/>
      <c r="FWM5" s="107"/>
      <c r="FWN5" s="107"/>
      <c r="FWO5" s="107"/>
      <c r="FWP5" s="107"/>
      <c r="FWQ5" s="107"/>
      <c r="FWR5" s="107"/>
      <c r="FWS5" s="107"/>
      <c r="FWT5" s="107"/>
      <c r="FWU5" s="107"/>
      <c r="FWV5" s="107"/>
      <c r="FWW5" s="107"/>
      <c r="FWX5" s="107"/>
      <c r="FWY5" s="107"/>
      <c r="FWZ5" s="107"/>
      <c r="FXA5" s="107"/>
      <c r="FXB5" s="107"/>
      <c r="FXC5" s="107"/>
      <c r="FXD5" s="107"/>
      <c r="FXE5" s="107"/>
      <c r="FXF5" s="107"/>
      <c r="FXG5" s="107"/>
      <c r="FXH5" s="107"/>
      <c r="FXI5" s="107"/>
      <c r="FXJ5" s="107"/>
      <c r="FXK5" s="107"/>
      <c r="FXL5" s="107"/>
      <c r="FXM5" s="107"/>
      <c r="FXN5" s="107"/>
      <c r="FXO5" s="107"/>
      <c r="FXP5" s="107"/>
      <c r="FXQ5" s="107"/>
      <c r="FXR5" s="107"/>
      <c r="FXS5" s="107"/>
      <c r="FXT5" s="107"/>
      <c r="FXU5" s="107"/>
      <c r="FXV5" s="107"/>
      <c r="FXW5" s="107"/>
      <c r="FXX5" s="107"/>
      <c r="FXY5" s="107"/>
      <c r="FXZ5" s="107"/>
      <c r="FYA5" s="107"/>
      <c r="FYB5" s="107"/>
      <c r="FYC5" s="107"/>
      <c r="FYD5" s="107"/>
      <c r="FYE5" s="107"/>
      <c r="FYF5" s="107"/>
      <c r="FYG5" s="107"/>
      <c r="FYH5" s="107"/>
      <c r="FYI5" s="107"/>
      <c r="FYJ5" s="107"/>
      <c r="FYK5" s="107"/>
      <c r="FYL5" s="107"/>
      <c r="FYM5" s="107"/>
      <c r="FYN5" s="107"/>
      <c r="FYO5" s="107"/>
      <c r="FYP5" s="107"/>
      <c r="FYQ5" s="107"/>
      <c r="FYR5" s="107"/>
      <c r="FYS5" s="107"/>
      <c r="FYT5" s="107"/>
      <c r="FYU5" s="107"/>
      <c r="FYV5" s="107"/>
      <c r="FYW5" s="107"/>
      <c r="FYX5" s="107"/>
      <c r="FYY5" s="107"/>
      <c r="FYZ5" s="107"/>
      <c r="FZA5" s="107"/>
      <c r="FZB5" s="107"/>
      <c r="FZC5" s="107"/>
      <c r="FZD5" s="107"/>
      <c r="FZE5" s="107"/>
      <c r="FZF5" s="107"/>
      <c r="FZG5" s="107"/>
      <c r="FZH5" s="107"/>
      <c r="FZI5" s="107"/>
      <c r="FZJ5" s="107"/>
      <c r="FZK5" s="107"/>
      <c r="FZL5" s="107"/>
      <c r="FZM5" s="107"/>
      <c r="FZN5" s="107"/>
      <c r="FZO5" s="107"/>
      <c r="FZP5" s="107"/>
      <c r="FZQ5" s="107"/>
      <c r="FZR5" s="107"/>
      <c r="FZS5" s="107"/>
      <c r="FZT5" s="107"/>
      <c r="FZU5" s="107"/>
      <c r="FZV5" s="107"/>
      <c r="FZW5" s="107"/>
      <c r="FZX5" s="107"/>
      <c r="FZY5" s="107"/>
      <c r="FZZ5" s="107"/>
      <c r="GAA5" s="107"/>
      <c r="GAB5" s="107"/>
      <c r="GAC5" s="107"/>
      <c r="GAD5" s="107"/>
      <c r="GAE5" s="107"/>
      <c r="GAF5" s="107"/>
      <c r="GAG5" s="107"/>
      <c r="GAH5" s="107"/>
      <c r="GAI5" s="107"/>
      <c r="GAJ5" s="107"/>
      <c r="GAK5" s="107"/>
      <c r="GAL5" s="107"/>
      <c r="GAM5" s="107"/>
      <c r="GAN5" s="107"/>
      <c r="GAO5" s="107"/>
      <c r="GAP5" s="107"/>
      <c r="GAQ5" s="107"/>
      <c r="GAR5" s="107"/>
      <c r="GAS5" s="107"/>
      <c r="GAT5" s="107"/>
      <c r="GAU5" s="107"/>
      <c r="GAV5" s="107"/>
      <c r="GAW5" s="107"/>
      <c r="GAX5" s="107"/>
      <c r="GAY5" s="107"/>
      <c r="GAZ5" s="107"/>
      <c r="GBA5" s="107"/>
      <c r="GBB5" s="107"/>
      <c r="GBC5" s="107"/>
      <c r="GBD5" s="107"/>
      <c r="GBE5" s="107"/>
      <c r="GBF5" s="107"/>
      <c r="GBG5" s="107"/>
      <c r="GBH5" s="107"/>
      <c r="GBI5" s="107"/>
      <c r="GBJ5" s="107"/>
      <c r="GBK5" s="107"/>
      <c r="GBL5" s="107"/>
      <c r="GBM5" s="107"/>
      <c r="GBN5" s="107"/>
      <c r="GBO5" s="107"/>
      <c r="GBP5" s="107"/>
      <c r="GBQ5" s="107"/>
      <c r="GBR5" s="107"/>
      <c r="GBS5" s="107"/>
      <c r="GBT5" s="107"/>
      <c r="GBU5" s="107"/>
      <c r="GBV5" s="107"/>
      <c r="GBW5" s="107"/>
      <c r="GBX5" s="107"/>
      <c r="GBY5" s="107"/>
      <c r="GBZ5" s="107"/>
      <c r="GCA5" s="107"/>
      <c r="GCB5" s="107"/>
      <c r="GCC5" s="107"/>
      <c r="GCD5" s="107"/>
      <c r="GCE5" s="107"/>
      <c r="GCF5" s="107"/>
      <c r="GCG5" s="107"/>
      <c r="GCH5" s="107"/>
      <c r="GCI5" s="107"/>
      <c r="GCJ5" s="107"/>
      <c r="GCK5" s="107"/>
      <c r="GCL5" s="107"/>
      <c r="GCM5" s="107"/>
      <c r="GCN5" s="107"/>
      <c r="GCO5" s="107"/>
      <c r="GCP5" s="107"/>
      <c r="GCQ5" s="107"/>
      <c r="GCR5" s="107"/>
      <c r="GCS5" s="107"/>
      <c r="GCT5" s="107"/>
      <c r="GCU5" s="107"/>
      <c r="GCV5" s="107"/>
      <c r="GCW5" s="107"/>
      <c r="GCX5" s="107"/>
      <c r="GCY5" s="107"/>
      <c r="GCZ5" s="107"/>
      <c r="GDA5" s="107"/>
      <c r="GDB5" s="107"/>
      <c r="GDC5" s="107"/>
      <c r="GDD5" s="107"/>
      <c r="GDE5" s="107"/>
      <c r="GDF5" s="107"/>
      <c r="GDG5" s="107"/>
      <c r="GDH5" s="107"/>
      <c r="GDI5" s="107"/>
      <c r="GDJ5" s="107"/>
      <c r="GDK5" s="107"/>
      <c r="GDL5" s="107"/>
      <c r="GDM5" s="107"/>
      <c r="GDN5" s="107"/>
      <c r="GDO5" s="107"/>
      <c r="GDP5" s="107"/>
      <c r="GDQ5" s="107"/>
      <c r="GDR5" s="107"/>
      <c r="GDS5" s="107"/>
      <c r="GDT5" s="107"/>
      <c r="GDU5" s="107"/>
      <c r="GDV5" s="107"/>
      <c r="GDW5" s="107"/>
      <c r="GDX5" s="107"/>
      <c r="GDY5" s="107"/>
      <c r="GDZ5" s="107"/>
      <c r="GEA5" s="107"/>
      <c r="GEB5" s="107"/>
      <c r="GEC5" s="107"/>
      <c r="GED5" s="107"/>
      <c r="GEE5" s="107"/>
      <c r="GEF5" s="107"/>
      <c r="GEG5" s="107"/>
      <c r="GEH5" s="107"/>
      <c r="GEI5" s="107"/>
      <c r="GEJ5" s="107"/>
      <c r="GEK5" s="107"/>
      <c r="GEL5" s="107"/>
      <c r="GEM5" s="107"/>
      <c r="GEN5" s="107"/>
      <c r="GEO5" s="107"/>
      <c r="GEP5" s="107"/>
      <c r="GEQ5" s="107"/>
      <c r="GER5" s="107"/>
      <c r="GES5" s="107"/>
      <c r="GET5" s="107"/>
      <c r="GEU5" s="107"/>
      <c r="GEV5" s="107"/>
      <c r="GEW5" s="107"/>
      <c r="GEX5" s="107"/>
      <c r="GEY5" s="107"/>
      <c r="GEZ5" s="107"/>
      <c r="GFA5" s="107"/>
      <c r="GFB5" s="107"/>
      <c r="GFC5" s="107"/>
      <c r="GFD5" s="107"/>
      <c r="GFE5" s="107"/>
      <c r="GFF5" s="107"/>
      <c r="GFG5" s="107"/>
      <c r="GFH5" s="107"/>
      <c r="GFI5" s="107"/>
      <c r="GFJ5" s="107"/>
      <c r="GFK5" s="107"/>
      <c r="GFL5" s="107"/>
      <c r="GFM5" s="107"/>
      <c r="GFN5" s="107"/>
      <c r="GFO5" s="107"/>
      <c r="GFP5" s="107"/>
      <c r="GFQ5" s="107"/>
      <c r="GFR5" s="107"/>
      <c r="GFS5" s="107"/>
      <c r="GFT5" s="107"/>
      <c r="GFU5" s="107"/>
      <c r="GFV5" s="107"/>
      <c r="GFW5" s="107"/>
      <c r="GFX5" s="107"/>
      <c r="GFY5" s="107"/>
      <c r="GFZ5" s="107"/>
      <c r="GGA5" s="107"/>
      <c r="GGB5" s="107"/>
      <c r="GGC5" s="107"/>
      <c r="GGD5" s="107"/>
      <c r="GGE5" s="107"/>
      <c r="GGF5" s="107"/>
      <c r="GGG5" s="107"/>
      <c r="GGH5" s="107"/>
      <c r="GGI5" s="107"/>
      <c r="GGJ5" s="107"/>
      <c r="GGK5" s="107"/>
      <c r="GGL5" s="107"/>
      <c r="GGM5" s="107"/>
      <c r="GGN5" s="107"/>
      <c r="GGO5" s="107"/>
      <c r="GGP5" s="107"/>
      <c r="GGQ5" s="107"/>
      <c r="GGR5" s="107"/>
      <c r="GGS5" s="107"/>
      <c r="GGT5" s="107"/>
      <c r="GGU5" s="107"/>
      <c r="GGV5" s="107"/>
      <c r="GGW5" s="107"/>
      <c r="GGX5" s="107"/>
      <c r="GGY5" s="107"/>
      <c r="GGZ5" s="107"/>
      <c r="GHA5" s="107"/>
      <c r="GHB5" s="107"/>
      <c r="GHC5" s="107"/>
      <c r="GHD5" s="107"/>
      <c r="GHE5" s="107"/>
      <c r="GHF5" s="107"/>
      <c r="GHG5" s="107"/>
      <c r="GHH5" s="107"/>
      <c r="GHI5" s="107"/>
      <c r="GHJ5" s="107"/>
      <c r="GHK5" s="107"/>
      <c r="GHL5" s="107"/>
      <c r="GHM5" s="107"/>
      <c r="GHN5" s="107"/>
      <c r="GHO5" s="107"/>
      <c r="GHP5" s="107"/>
      <c r="GHQ5" s="107"/>
      <c r="GHR5" s="107"/>
      <c r="GHS5" s="107"/>
      <c r="GHT5" s="107"/>
      <c r="GHU5" s="107"/>
      <c r="GHV5" s="107"/>
      <c r="GHW5" s="107"/>
      <c r="GHX5" s="107"/>
      <c r="GHY5" s="107"/>
      <c r="GHZ5" s="107"/>
      <c r="GIA5" s="107"/>
      <c r="GIB5" s="107"/>
      <c r="GIC5" s="107"/>
      <c r="GID5" s="107"/>
      <c r="GIE5" s="107"/>
      <c r="GIF5" s="107"/>
      <c r="GIG5" s="107"/>
      <c r="GIH5" s="107"/>
      <c r="GII5" s="107"/>
      <c r="GIJ5" s="107"/>
      <c r="GIK5" s="107"/>
      <c r="GIL5" s="107"/>
      <c r="GIM5" s="107"/>
      <c r="GIN5" s="107"/>
      <c r="GIO5" s="107"/>
      <c r="GIP5" s="107"/>
      <c r="GIQ5" s="107"/>
      <c r="GIR5" s="107"/>
      <c r="GIS5" s="107"/>
      <c r="GIT5" s="107"/>
      <c r="GIU5" s="107"/>
      <c r="GIV5" s="107"/>
      <c r="GIW5" s="107"/>
      <c r="GIX5" s="107"/>
      <c r="GIY5" s="107"/>
      <c r="GIZ5" s="107"/>
      <c r="GJA5" s="107"/>
      <c r="GJB5" s="107"/>
      <c r="GJC5" s="107"/>
      <c r="GJD5" s="107"/>
      <c r="GJE5" s="107"/>
      <c r="GJF5" s="107"/>
      <c r="GJG5" s="107"/>
      <c r="GJH5" s="107"/>
      <c r="GJI5" s="107"/>
      <c r="GJJ5" s="107"/>
      <c r="GJK5" s="107"/>
      <c r="GJL5" s="107"/>
      <c r="GJM5" s="107"/>
      <c r="GJN5" s="107"/>
      <c r="GJO5" s="107"/>
      <c r="GJP5" s="107"/>
      <c r="GJQ5" s="107"/>
      <c r="GJR5" s="107"/>
      <c r="GJS5" s="107"/>
      <c r="GJT5" s="107"/>
      <c r="GJU5" s="107"/>
      <c r="GJV5" s="107"/>
      <c r="GJW5" s="107"/>
      <c r="GJX5" s="107"/>
      <c r="GJY5" s="107"/>
      <c r="GJZ5" s="107"/>
      <c r="GKA5" s="107"/>
      <c r="GKB5" s="107"/>
      <c r="GKC5" s="107"/>
      <c r="GKD5" s="107"/>
      <c r="GKE5" s="107"/>
      <c r="GKF5" s="107"/>
      <c r="GKG5" s="107"/>
      <c r="GKH5" s="107"/>
      <c r="GKI5" s="107"/>
      <c r="GKJ5" s="107"/>
      <c r="GKK5" s="107"/>
      <c r="GKL5" s="107"/>
      <c r="GKM5" s="107"/>
      <c r="GKN5" s="107"/>
      <c r="GKO5" s="107"/>
      <c r="GKP5" s="107"/>
      <c r="GKQ5" s="107"/>
      <c r="GKR5" s="107"/>
      <c r="GKS5" s="107"/>
      <c r="GKT5" s="107"/>
      <c r="GKU5" s="107"/>
      <c r="GKV5" s="107"/>
      <c r="GKW5" s="107"/>
      <c r="GKX5" s="107"/>
      <c r="GKY5" s="107"/>
      <c r="GKZ5" s="107"/>
      <c r="GLA5" s="107"/>
      <c r="GLB5" s="107"/>
      <c r="GLC5" s="107"/>
      <c r="GLD5" s="107"/>
      <c r="GLE5" s="107"/>
      <c r="GLF5" s="107"/>
      <c r="GLG5" s="107"/>
      <c r="GLH5" s="107"/>
      <c r="GLI5" s="107"/>
      <c r="GLJ5" s="107"/>
      <c r="GLK5" s="107"/>
      <c r="GLL5" s="107"/>
      <c r="GLM5" s="107"/>
      <c r="GLN5" s="107"/>
      <c r="GLO5" s="107"/>
      <c r="GLP5" s="107"/>
      <c r="GLQ5" s="107"/>
      <c r="GLR5" s="107"/>
      <c r="GLS5" s="107"/>
      <c r="GLT5" s="107"/>
      <c r="GLU5" s="107"/>
      <c r="GLV5" s="107"/>
      <c r="GLW5" s="107"/>
      <c r="GLX5" s="107"/>
      <c r="GLY5" s="107"/>
      <c r="GLZ5" s="107"/>
      <c r="GMA5" s="107"/>
      <c r="GMB5" s="107"/>
      <c r="GMC5" s="107"/>
      <c r="GMD5" s="107"/>
      <c r="GME5" s="107"/>
      <c r="GMF5" s="107"/>
      <c r="GMG5" s="107"/>
      <c r="GMH5" s="107"/>
      <c r="GMI5" s="107"/>
      <c r="GMJ5" s="107"/>
      <c r="GMK5" s="107"/>
      <c r="GML5" s="107"/>
      <c r="GMM5" s="107"/>
      <c r="GMN5" s="107"/>
      <c r="GMO5" s="107"/>
      <c r="GMP5" s="107"/>
      <c r="GMQ5" s="107"/>
      <c r="GMR5" s="107"/>
      <c r="GMS5" s="107"/>
      <c r="GMT5" s="107"/>
      <c r="GMU5" s="107"/>
      <c r="GMV5" s="107"/>
      <c r="GMW5" s="107"/>
      <c r="GMX5" s="107"/>
      <c r="GMY5" s="107"/>
      <c r="GMZ5" s="107"/>
      <c r="GNA5" s="107"/>
      <c r="GNB5" s="107"/>
      <c r="GNC5" s="107"/>
      <c r="GND5" s="107"/>
      <c r="GNE5" s="107"/>
      <c r="GNF5" s="107"/>
      <c r="GNG5" s="107"/>
      <c r="GNH5" s="107"/>
      <c r="GNI5" s="107"/>
      <c r="GNJ5" s="107"/>
      <c r="GNK5" s="107"/>
      <c r="GNL5" s="107"/>
      <c r="GNM5" s="107"/>
      <c r="GNN5" s="107"/>
      <c r="GNO5" s="107"/>
      <c r="GNP5" s="107"/>
      <c r="GNQ5" s="107"/>
      <c r="GNR5" s="107"/>
      <c r="GNS5" s="107"/>
      <c r="GNT5" s="107"/>
      <c r="GNU5" s="107"/>
      <c r="GNV5" s="107"/>
      <c r="GNW5" s="107"/>
      <c r="GNX5" s="107"/>
      <c r="GNY5" s="107"/>
      <c r="GNZ5" s="107"/>
      <c r="GOA5" s="107"/>
      <c r="GOB5" s="107"/>
      <c r="GOC5" s="107"/>
      <c r="GOD5" s="107"/>
      <c r="GOE5" s="107"/>
      <c r="GOF5" s="107"/>
      <c r="GOG5" s="107"/>
      <c r="GOH5" s="107"/>
      <c r="GOI5" s="107"/>
      <c r="GOJ5" s="107"/>
      <c r="GOK5" s="107"/>
      <c r="GOL5" s="107"/>
      <c r="GOM5" s="107"/>
      <c r="GON5" s="107"/>
      <c r="GOO5" s="107"/>
      <c r="GOP5" s="107"/>
      <c r="GOQ5" s="107"/>
      <c r="GOR5" s="107"/>
      <c r="GOS5" s="107"/>
      <c r="GOT5" s="107"/>
      <c r="GOU5" s="107"/>
      <c r="GOV5" s="107"/>
      <c r="GOW5" s="107"/>
      <c r="GOX5" s="107"/>
      <c r="GOY5" s="107"/>
      <c r="GOZ5" s="107"/>
      <c r="GPA5" s="107"/>
      <c r="GPB5" s="107"/>
      <c r="GPC5" s="107"/>
      <c r="GPD5" s="107"/>
      <c r="GPE5" s="107"/>
      <c r="GPF5" s="107"/>
      <c r="GPG5" s="107"/>
      <c r="GPH5" s="107"/>
      <c r="GPI5" s="107"/>
      <c r="GPJ5" s="107"/>
      <c r="GPK5" s="107"/>
      <c r="GPL5" s="107"/>
      <c r="GPM5" s="107"/>
      <c r="GPN5" s="107"/>
      <c r="GPO5" s="107"/>
      <c r="GPP5" s="107"/>
      <c r="GPQ5" s="107"/>
      <c r="GPR5" s="107"/>
      <c r="GPS5" s="107"/>
      <c r="GPT5" s="107"/>
      <c r="GPU5" s="107"/>
      <c r="GPV5" s="107"/>
      <c r="GPW5" s="107"/>
      <c r="GPX5" s="107"/>
      <c r="GPY5" s="107"/>
      <c r="GPZ5" s="107"/>
      <c r="GQA5" s="107"/>
      <c r="GQB5" s="107"/>
      <c r="GQC5" s="107"/>
      <c r="GQD5" s="107"/>
      <c r="GQE5" s="107"/>
      <c r="GQF5" s="107"/>
      <c r="GQG5" s="107"/>
      <c r="GQH5" s="107"/>
      <c r="GQI5" s="107"/>
      <c r="GQJ5" s="107"/>
      <c r="GQK5" s="107"/>
      <c r="GQL5" s="107"/>
      <c r="GQM5" s="107"/>
      <c r="GQN5" s="107"/>
      <c r="GQO5" s="107"/>
      <c r="GQP5" s="107"/>
      <c r="GQQ5" s="107"/>
      <c r="GQR5" s="107"/>
      <c r="GQS5" s="107"/>
      <c r="GQT5" s="107"/>
      <c r="GQU5" s="107"/>
      <c r="GQV5" s="107"/>
      <c r="GQW5" s="107"/>
      <c r="GQX5" s="107"/>
      <c r="GQY5" s="107"/>
      <c r="GQZ5" s="107"/>
      <c r="GRA5" s="107"/>
      <c r="GRB5" s="107"/>
      <c r="GRC5" s="107"/>
      <c r="GRD5" s="107"/>
      <c r="GRE5" s="107"/>
      <c r="GRF5" s="107"/>
      <c r="GRG5" s="107"/>
      <c r="GRH5" s="107"/>
      <c r="GRI5" s="107"/>
      <c r="GRJ5" s="107"/>
      <c r="GRK5" s="107"/>
      <c r="GRL5" s="107"/>
      <c r="GRM5" s="107"/>
      <c r="GRN5" s="107"/>
      <c r="GRO5" s="107"/>
      <c r="GRP5" s="107"/>
      <c r="GRQ5" s="107"/>
      <c r="GRR5" s="107"/>
      <c r="GRS5" s="107"/>
      <c r="GRT5" s="107"/>
      <c r="GRU5" s="107"/>
      <c r="GRV5" s="107"/>
      <c r="GRW5" s="107"/>
      <c r="GRX5" s="107"/>
      <c r="GRY5" s="107"/>
      <c r="GRZ5" s="107"/>
      <c r="GSA5" s="107"/>
      <c r="GSB5" s="107"/>
      <c r="GSC5" s="107"/>
      <c r="GSD5" s="107"/>
      <c r="GSE5" s="107"/>
      <c r="GSF5" s="107"/>
      <c r="GSG5" s="107"/>
      <c r="GSH5" s="107"/>
      <c r="GSI5" s="107"/>
      <c r="GSJ5" s="107"/>
      <c r="GSK5" s="107"/>
      <c r="GSL5" s="107"/>
      <c r="GSM5" s="107"/>
      <c r="GSN5" s="107"/>
      <c r="GSO5" s="107"/>
      <c r="GSP5" s="107"/>
      <c r="GSQ5" s="107"/>
      <c r="GSR5" s="107"/>
      <c r="GSS5" s="107"/>
      <c r="GST5" s="107"/>
      <c r="GSU5" s="107"/>
      <c r="GSV5" s="107"/>
      <c r="GSW5" s="107"/>
      <c r="GSX5" s="107"/>
      <c r="GSY5" s="107"/>
      <c r="GSZ5" s="107"/>
      <c r="GTA5" s="107"/>
      <c r="GTB5" s="107"/>
      <c r="GTC5" s="107"/>
      <c r="GTD5" s="107"/>
      <c r="GTE5" s="107"/>
      <c r="GTF5" s="107"/>
      <c r="GTG5" s="107"/>
      <c r="GTH5" s="107"/>
      <c r="GTI5" s="107"/>
      <c r="GTJ5" s="107"/>
      <c r="GTK5" s="107"/>
      <c r="GTL5" s="107"/>
      <c r="GTM5" s="107"/>
      <c r="GTN5" s="107"/>
      <c r="GTO5" s="107"/>
      <c r="GTP5" s="107"/>
      <c r="GTQ5" s="107"/>
      <c r="GTR5" s="107"/>
      <c r="GTS5" s="107"/>
      <c r="GTT5" s="107"/>
      <c r="GTU5" s="107"/>
      <c r="GTV5" s="107"/>
      <c r="GTW5" s="107"/>
      <c r="GTX5" s="107"/>
      <c r="GTY5" s="107"/>
      <c r="GTZ5" s="107"/>
      <c r="GUA5" s="107"/>
      <c r="GUB5" s="107"/>
      <c r="GUC5" s="107"/>
      <c r="GUD5" s="107"/>
      <c r="GUE5" s="107"/>
      <c r="GUF5" s="107"/>
      <c r="GUG5" s="107"/>
      <c r="GUH5" s="107"/>
      <c r="GUI5" s="107"/>
      <c r="GUJ5" s="107"/>
      <c r="GUK5" s="107"/>
      <c r="GUL5" s="107"/>
      <c r="GUM5" s="107"/>
      <c r="GUN5" s="107"/>
      <c r="GUO5" s="107"/>
      <c r="GUP5" s="107"/>
      <c r="GUQ5" s="107"/>
      <c r="GUR5" s="107"/>
      <c r="GUS5" s="107"/>
      <c r="GUT5" s="107"/>
      <c r="GUU5" s="107"/>
      <c r="GUV5" s="107"/>
      <c r="GUW5" s="107"/>
      <c r="GUX5" s="107"/>
      <c r="GUY5" s="107"/>
      <c r="GUZ5" s="107"/>
      <c r="GVA5" s="107"/>
      <c r="GVB5" s="107"/>
      <c r="GVC5" s="107"/>
      <c r="GVD5" s="107"/>
      <c r="GVE5" s="107"/>
      <c r="GVF5" s="107"/>
      <c r="GVG5" s="107"/>
      <c r="GVH5" s="107"/>
      <c r="GVI5" s="107"/>
      <c r="GVJ5" s="107"/>
      <c r="GVK5" s="107"/>
      <c r="GVL5" s="107"/>
      <c r="GVM5" s="107"/>
      <c r="GVN5" s="107"/>
      <c r="GVO5" s="107"/>
      <c r="GVP5" s="107"/>
      <c r="GVQ5" s="107"/>
      <c r="GVR5" s="107"/>
      <c r="GVS5" s="107"/>
      <c r="GVT5" s="107"/>
      <c r="GVU5" s="107"/>
      <c r="GVV5" s="107"/>
      <c r="GVW5" s="107"/>
      <c r="GVX5" s="107"/>
      <c r="GVY5" s="107"/>
      <c r="GVZ5" s="107"/>
      <c r="GWA5" s="107"/>
      <c r="GWB5" s="107"/>
      <c r="GWC5" s="107"/>
      <c r="GWD5" s="107"/>
      <c r="GWE5" s="107"/>
      <c r="GWF5" s="107"/>
      <c r="GWG5" s="107"/>
      <c r="GWH5" s="107"/>
      <c r="GWI5" s="107"/>
      <c r="GWJ5" s="107"/>
      <c r="GWK5" s="107"/>
      <c r="GWL5" s="107"/>
      <c r="GWM5" s="107"/>
      <c r="GWN5" s="107"/>
      <c r="GWO5" s="107"/>
      <c r="GWP5" s="107"/>
      <c r="GWQ5" s="107"/>
      <c r="GWR5" s="107"/>
      <c r="GWS5" s="107"/>
      <c r="GWT5" s="107"/>
      <c r="GWU5" s="107"/>
      <c r="GWV5" s="107"/>
      <c r="GWW5" s="107"/>
      <c r="GWX5" s="107"/>
      <c r="GWY5" s="107"/>
      <c r="GWZ5" s="107"/>
      <c r="GXA5" s="107"/>
      <c r="GXB5" s="107"/>
      <c r="GXC5" s="107"/>
      <c r="GXD5" s="107"/>
      <c r="GXE5" s="107"/>
      <c r="GXF5" s="107"/>
      <c r="GXG5" s="107"/>
      <c r="GXH5" s="107"/>
      <c r="GXI5" s="107"/>
      <c r="GXJ5" s="107"/>
      <c r="GXK5" s="107"/>
      <c r="GXL5" s="107"/>
      <c r="GXM5" s="107"/>
      <c r="GXN5" s="107"/>
      <c r="GXO5" s="107"/>
      <c r="GXP5" s="107"/>
      <c r="GXQ5" s="107"/>
      <c r="GXR5" s="107"/>
      <c r="GXS5" s="107"/>
      <c r="GXT5" s="107"/>
      <c r="GXU5" s="107"/>
      <c r="GXV5" s="107"/>
      <c r="GXW5" s="107"/>
      <c r="GXX5" s="107"/>
      <c r="GXY5" s="107"/>
      <c r="GXZ5" s="107"/>
      <c r="GYA5" s="107"/>
      <c r="GYB5" s="107"/>
      <c r="GYC5" s="107"/>
      <c r="GYD5" s="107"/>
      <c r="GYE5" s="107"/>
      <c r="GYF5" s="107"/>
      <c r="GYG5" s="107"/>
      <c r="GYH5" s="107"/>
      <c r="GYI5" s="107"/>
      <c r="GYJ5" s="107"/>
      <c r="GYK5" s="107"/>
      <c r="GYL5" s="107"/>
      <c r="GYM5" s="107"/>
      <c r="GYN5" s="107"/>
      <c r="GYO5" s="107"/>
      <c r="GYP5" s="107"/>
      <c r="GYQ5" s="107"/>
      <c r="GYR5" s="107"/>
      <c r="GYS5" s="107"/>
      <c r="GYT5" s="107"/>
      <c r="GYU5" s="107"/>
      <c r="GYV5" s="107"/>
      <c r="GYW5" s="107"/>
      <c r="GYX5" s="107"/>
      <c r="GYY5" s="107"/>
      <c r="GYZ5" s="107"/>
      <c r="GZA5" s="107"/>
      <c r="GZB5" s="107"/>
      <c r="GZC5" s="107"/>
      <c r="GZD5" s="107"/>
      <c r="GZE5" s="107"/>
      <c r="GZF5" s="107"/>
      <c r="GZG5" s="107"/>
      <c r="GZH5" s="107"/>
      <c r="GZI5" s="107"/>
      <c r="GZJ5" s="107"/>
      <c r="GZK5" s="107"/>
      <c r="GZL5" s="107"/>
      <c r="GZM5" s="107"/>
      <c r="GZN5" s="107"/>
      <c r="GZO5" s="107"/>
      <c r="GZP5" s="107"/>
      <c r="GZQ5" s="107"/>
      <c r="GZR5" s="107"/>
      <c r="GZS5" s="107"/>
      <c r="GZT5" s="107"/>
      <c r="GZU5" s="107"/>
      <c r="GZV5" s="107"/>
      <c r="GZW5" s="107"/>
      <c r="GZX5" s="107"/>
      <c r="GZY5" s="107"/>
      <c r="GZZ5" s="107"/>
      <c r="HAA5" s="107"/>
      <c r="HAB5" s="107"/>
      <c r="HAC5" s="107"/>
      <c r="HAD5" s="107"/>
      <c r="HAE5" s="107"/>
      <c r="HAF5" s="107"/>
      <c r="HAG5" s="107"/>
      <c r="HAH5" s="107"/>
      <c r="HAI5" s="107"/>
      <c r="HAJ5" s="107"/>
      <c r="HAK5" s="107"/>
      <c r="HAL5" s="107"/>
      <c r="HAM5" s="107"/>
      <c r="HAN5" s="107"/>
      <c r="HAO5" s="107"/>
      <c r="HAP5" s="107"/>
      <c r="HAQ5" s="107"/>
      <c r="HAR5" s="107"/>
      <c r="HAS5" s="107"/>
      <c r="HAT5" s="107"/>
      <c r="HAU5" s="107"/>
      <c r="HAV5" s="107"/>
      <c r="HAW5" s="107"/>
      <c r="HAX5" s="107"/>
      <c r="HAY5" s="107"/>
      <c r="HAZ5" s="107"/>
      <c r="HBA5" s="107"/>
      <c r="HBB5" s="107"/>
      <c r="HBC5" s="107"/>
      <c r="HBD5" s="107"/>
      <c r="HBE5" s="107"/>
      <c r="HBF5" s="107"/>
      <c r="HBG5" s="107"/>
      <c r="HBH5" s="107"/>
      <c r="HBI5" s="107"/>
      <c r="HBJ5" s="107"/>
      <c r="HBK5" s="107"/>
      <c r="HBL5" s="107"/>
      <c r="HBM5" s="107"/>
      <c r="HBN5" s="107"/>
      <c r="HBO5" s="107"/>
      <c r="HBP5" s="107"/>
      <c r="HBQ5" s="107"/>
      <c r="HBR5" s="107"/>
      <c r="HBS5" s="107"/>
      <c r="HBT5" s="107"/>
      <c r="HBU5" s="107"/>
      <c r="HBV5" s="107"/>
      <c r="HBW5" s="107"/>
      <c r="HBX5" s="107"/>
      <c r="HBY5" s="107"/>
      <c r="HBZ5" s="107"/>
      <c r="HCA5" s="107"/>
      <c r="HCB5" s="107"/>
      <c r="HCC5" s="107"/>
      <c r="HCD5" s="107"/>
      <c r="HCE5" s="107"/>
      <c r="HCF5" s="107"/>
      <c r="HCG5" s="107"/>
      <c r="HCH5" s="107"/>
      <c r="HCI5" s="107"/>
      <c r="HCJ5" s="107"/>
      <c r="HCK5" s="107"/>
      <c r="HCL5" s="107"/>
      <c r="HCM5" s="107"/>
      <c r="HCN5" s="107"/>
      <c r="HCO5" s="107"/>
      <c r="HCP5" s="107"/>
      <c r="HCQ5" s="107"/>
      <c r="HCR5" s="107"/>
      <c r="HCS5" s="107"/>
      <c r="HCT5" s="107"/>
      <c r="HCU5" s="107"/>
      <c r="HCV5" s="107"/>
      <c r="HCW5" s="107"/>
      <c r="HCX5" s="107"/>
      <c r="HCY5" s="107"/>
      <c r="HCZ5" s="107"/>
      <c r="HDA5" s="107"/>
      <c r="HDB5" s="107"/>
      <c r="HDC5" s="107"/>
      <c r="HDD5" s="107"/>
      <c r="HDE5" s="107"/>
      <c r="HDF5" s="107"/>
      <c r="HDG5" s="107"/>
      <c r="HDH5" s="107"/>
      <c r="HDI5" s="107"/>
      <c r="HDJ5" s="107"/>
      <c r="HDK5" s="107"/>
      <c r="HDL5" s="107"/>
      <c r="HDM5" s="107"/>
      <c r="HDN5" s="107"/>
      <c r="HDO5" s="107"/>
      <c r="HDP5" s="107"/>
      <c r="HDQ5" s="107"/>
      <c r="HDR5" s="107"/>
      <c r="HDS5" s="107"/>
      <c r="HDT5" s="107"/>
      <c r="HDU5" s="107"/>
      <c r="HDV5" s="107"/>
      <c r="HDW5" s="107"/>
      <c r="HDX5" s="107"/>
      <c r="HDY5" s="107"/>
      <c r="HDZ5" s="107"/>
      <c r="HEA5" s="107"/>
      <c r="HEB5" s="107"/>
      <c r="HEC5" s="107"/>
      <c r="HED5" s="107"/>
      <c r="HEE5" s="107"/>
      <c r="HEF5" s="107"/>
      <c r="HEG5" s="107"/>
      <c r="HEH5" s="107"/>
      <c r="HEI5" s="107"/>
      <c r="HEJ5" s="107"/>
      <c r="HEK5" s="107"/>
      <c r="HEL5" s="107"/>
      <c r="HEM5" s="107"/>
      <c r="HEN5" s="107"/>
      <c r="HEO5" s="107"/>
      <c r="HEP5" s="107"/>
      <c r="HEQ5" s="107"/>
      <c r="HER5" s="107"/>
      <c r="HES5" s="107"/>
      <c r="HET5" s="107"/>
      <c r="HEU5" s="107"/>
      <c r="HEV5" s="107"/>
      <c r="HEW5" s="107"/>
      <c r="HEX5" s="107"/>
      <c r="HEY5" s="107"/>
      <c r="HEZ5" s="107"/>
      <c r="HFA5" s="107"/>
      <c r="HFB5" s="107"/>
      <c r="HFC5" s="107"/>
      <c r="HFD5" s="107"/>
      <c r="HFE5" s="107"/>
      <c r="HFF5" s="107"/>
      <c r="HFG5" s="107"/>
      <c r="HFH5" s="107"/>
      <c r="HFI5" s="107"/>
      <c r="HFJ5" s="107"/>
      <c r="HFK5" s="107"/>
      <c r="HFL5" s="107"/>
      <c r="HFM5" s="107"/>
      <c r="HFN5" s="107"/>
      <c r="HFO5" s="107"/>
      <c r="HFP5" s="107"/>
      <c r="HFQ5" s="107"/>
      <c r="HFR5" s="107"/>
      <c r="HFS5" s="107"/>
      <c r="HFT5" s="107"/>
      <c r="HFU5" s="107"/>
      <c r="HFV5" s="107"/>
      <c r="HFW5" s="107"/>
      <c r="HFX5" s="107"/>
      <c r="HFY5" s="107"/>
      <c r="HFZ5" s="107"/>
      <c r="HGA5" s="107"/>
      <c r="HGB5" s="107"/>
      <c r="HGC5" s="107"/>
      <c r="HGD5" s="107"/>
      <c r="HGE5" s="107"/>
      <c r="HGF5" s="107"/>
      <c r="HGG5" s="107"/>
      <c r="HGH5" s="107"/>
      <c r="HGI5" s="107"/>
      <c r="HGJ5" s="107"/>
      <c r="HGK5" s="107"/>
      <c r="HGL5" s="107"/>
      <c r="HGM5" s="107"/>
      <c r="HGN5" s="107"/>
      <c r="HGO5" s="107"/>
      <c r="HGP5" s="107"/>
      <c r="HGQ5" s="107"/>
      <c r="HGR5" s="107"/>
      <c r="HGS5" s="107"/>
      <c r="HGT5" s="107"/>
      <c r="HGU5" s="107"/>
      <c r="HGV5" s="107"/>
      <c r="HGW5" s="107"/>
      <c r="HGX5" s="107"/>
      <c r="HGY5" s="107"/>
      <c r="HGZ5" s="107"/>
      <c r="HHA5" s="107"/>
      <c r="HHB5" s="107"/>
      <c r="HHC5" s="107"/>
      <c r="HHD5" s="107"/>
      <c r="HHE5" s="107"/>
      <c r="HHF5" s="107"/>
      <c r="HHG5" s="107"/>
      <c r="HHH5" s="107"/>
      <c r="HHI5" s="107"/>
      <c r="HHJ5" s="107"/>
      <c r="HHK5" s="107"/>
      <c r="HHL5" s="107"/>
      <c r="HHM5" s="107"/>
      <c r="HHN5" s="107"/>
      <c r="HHO5" s="107"/>
      <c r="HHP5" s="107"/>
      <c r="HHQ5" s="107"/>
      <c r="HHR5" s="107"/>
      <c r="HHS5" s="107"/>
      <c r="HHT5" s="107"/>
      <c r="HHU5" s="107"/>
      <c r="HHV5" s="107"/>
      <c r="HHW5" s="107"/>
      <c r="HHX5" s="107"/>
      <c r="HHY5" s="107"/>
      <c r="HHZ5" s="107"/>
      <c r="HIA5" s="107"/>
      <c r="HIB5" s="107"/>
      <c r="HIC5" s="107"/>
      <c r="HID5" s="107"/>
      <c r="HIE5" s="107"/>
      <c r="HIF5" s="107"/>
      <c r="HIG5" s="107"/>
      <c r="HIH5" s="107"/>
      <c r="HII5" s="107"/>
      <c r="HIJ5" s="107"/>
      <c r="HIK5" s="107"/>
      <c r="HIL5" s="107"/>
      <c r="HIM5" s="107"/>
      <c r="HIN5" s="107"/>
      <c r="HIO5" s="107"/>
      <c r="HIP5" s="107"/>
      <c r="HIQ5" s="107"/>
      <c r="HIR5" s="107"/>
      <c r="HIS5" s="107"/>
      <c r="HIT5" s="107"/>
      <c r="HIU5" s="107"/>
      <c r="HIV5" s="107"/>
      <c r="HIW5" s="107"/>
      <c r="HIX5" s="107"/>
      <c r="HIY5" s="107"/>
      <c r="HIZ5" s="107"/>
      <c r="HJA5" s="107"/>
      <c r="HJB5" s="107"/>
      <c r="HJC5" s="107"/>
      <c r="HJD5" s="107"/>
      <c r="HJE5" s="107"/>
      <c r="HJF5" s="107"/>
      <c r="HJG5" s="107"/>
      <c r="HJH5" s="107"/>
      <c r="HJI5" s="107"/>
      <c r="HJJ5" s="107"/>
      <c r="HJK5" s="107"/>
      <c r="HJL5" s="107"/>
      <c r="HJM5" s="107"/>
      <c r="HJN5" s="107"/>
      <c r="HJO5" s="107"/>
      <c r="HJP5" s="107"/>
      <c r="HJQ5" s="107"/>
      <c r="HJR5" s="107"/>
      <c r="HJS5" s="107"/>
      <c r="HJT5" s="107"/>
      <c r="HJU5" s="107"/>
      <c r="HJV5" s="107"/>
      <c r="HJW5" s="107"/>
      <c r="HJX5" s="107"/>
      <c r="HJY5" s="107"/>
      <c r="HJZ5" s="107"/>
      <c r="HKA5" s="107"/>
      <c r="HKB5" s="107"/>
      <c r="HKC5" s="107"/>
      <c r="HKD5" s="107"/>
      <c r="HKE5" s="107"/>
      <c r="HKF5" s="107"/>
      <c r="HKG5" s="107"/>
      <c r="HKH5" s="107"/>
      <c r="HKI5" s="107"/>
      <c r="HKJ5" s="107"/>
      <c r="HKK5" s="107"/>
      <c r="HKL5" s="107"/>
      <c r="HKM5" s="107"/>
      <c r="HKN5" s="107"/>
      <c r="HKO5" s="107"/>
      <c r="HKP5" s="107"/>
      <c r="HKQ5" s="107"/>
      <c r="HKR5" s="107"/>
      <c r="HKS5" s="107"/>
      <c r="HKT5" s="107"/>
      <c r="HKU5" s="107"/>
      <c r="HKV5" s="107"/>
      <c r="HKW5" s="107"/>
      <c r="HKX5" s="107"/>
      <c r="HKY5" s="107"/>
      <c r="HKZ5" s="107"/>
      <c r="HLA5" s="107"/>
      <c r="HLB5" s="107"/>
      <c r="HLC5" s="107"/>
      <c r="HLD5" s="107"/>
      <c r="HLE5" s="107"/>
      <c r="HLF5" s="107"/>
      <c r="HLG5" s="107"/>
      <c r="HLH5" s="107"/>
      <c r="HLI5" s="107"/>
      <c r="HLJ5" s="107"/>
      <c r="HLK5" s="107"/>
      <c r="HLL5" s="107"/>
      <c r="HLM5" s="107"/>
      <c r="HLN5" s="107"/>
      <c r="HLO5" s="107"/>
      <c r="HLP5" s="107"/>
      <c r="HLQ5" s="107"/>
      <c r="HLR5" s="107"/>
      <c r="HLS5" s="107"/>
      <c r="HLT5" s="107"/>
      <c r="HLU5" s="107"/>
      <c r="HLV5" s="107"/>
      <c r="HLW5" s="107"/>
      <c r="HLX5" s="107"/>
      <c r="HLY5" s="107"/>
      <c r="HLZ5" s="107"/>
      <c r="HMA5" s="107"/>
      <c r="HMB5" s="107"/>
      <c r="HMC5" s="107"/>
      <c r="HMD5" s="107"/>
      <c r="HME5" s="107"/>
      <c r="HMF5" s="107"/>
      <c r="HMG5" s="107"/>
      <c r="HMH5" s="107"/>
      <c r="HMI5" s="107"/>
      <c r="HMJ5" s="107"/>
      <c r="HMK5" s="107"/>
      <c r="HML5" s="107"/>
      <c r="HMM5" s="107"/>
      <c r="HMN5" s="107"/>
      <c r="HMO5" s="107"/>
      <c r="HMP5" s="107"/>
      <c r="HMQ5" s="107"/>
      <c r="HMR5" s="107"/>
      <c r="HMS5" s="107"/>
      <c r="HMT5" s="107"/>
      <c r="HMU5" s="107"/>
      <c r="HMV5" s="107"/>
      <c r="HMW5" s="107"/>
      <c r="HMX5" s="107"/>
      <c r="HMY5" s="107"/>
      <c r="HMZ5" s="107"/>
      <c r="HNA5" s="107"/>
      <c r="HNB5" s="107"/>
      <c r="HNC5" s="107"/>
      <c r="HND5" s="107"/>
      <c r="HNE5" s="107"/>
      <c r="HNF5" s="107"/>
      <c r="HNG5" s="107"/>
      <c r="HNH5" s="107"/>
      <c r="HNI5" s="107"/>
      <c r="HNJ5" s="107"/>
      <c r="HNK5" s="107"/>
      <c r="HNL5" s="107"/>
      <c r="HNM5" s="107"/>
      <c r="HNN5" s="107"/>
      <c r="HNO5" s="107"/>
      <c r="HNP5" s="107"/>
      <c r="HNQ5" s="107"/>
      <c r="HNR5" s="107"/>
      <c r="HNS5" s="107"/>
      <c r="HNT5" s="107"/>
      <c r="HNU5" s="107"/>
      <c r="HNV5" s="107"/>
      <c r="HNW5" s="107"/>
      <c r="HNX5" s="107"/>
      <c r="HNY5" s="107"/>
      <c r="HNZ5" s="107"/>
      <c r="HOA5" s="107"/>
      <c r="HOB5" s="107"/>
      <c r="HOC5" s="107"/>
      <c r="HOD5" s="107"/>
      <c r="HOE5" s="107"/>
      <c r="HOF5" s="107"/>
      <c r="HOG5" s="107"/>
      <c r="HOH5" s="107"/>
      <c r="HOI5" s="107"/>
      <c r="HOJ5" s="107"/>
      <c r="HOK5" s="107"/>
      <c r="HOL5" s="107"/>
      <c r="HOM5" s="107"/>
      <c r="HON5" s="107"/>
      <c r="HOO5" s="107"/>
      <c r="HOP5" s="107"/>
      <c r="HOQ5" s="107"/>
      <c r="HOR5" s="107"/>
      <c r="HOS5" s="107"/>
      <c r="HOT5" s="107"/>
      <c r="HOU5" s="107"/>
      <c r="HOV5" s="107"/>
      <c r="HOW5" s="107"/>
      <c r="HOX5" s="107"/>
      <c r="HOY5" s="107"/>
      <c r="HOZ5" s="107"/>
      <c r="HPA5" s="107"/>
      <c r="HPB5" s="107"/>
      <c r="HPC5" s="107"/>
      <c r="HPD5" s="107"/>
      <c r="HPE5" s="107"/>
      <c r="HPF5" s="107"/>
      <c r="HPG5" s="107"/>
      <c r="HPH5" s="107"/>
      <c r="HPI5" s="107"/>
      <c r="HPJ5" s="107"/>
      <c r="HPK5" s="107"/>
      <c r="HPL5" s="107"/>
      <c r="HPM5" s="107"/>
      <c r="HPN5" s="107"/>
      <c r="HPO5" s="107"/>
      <c r="HPP5" s="107"/>
      <c r="HPQ5" s="107"/>
      <c r="HPR5" s="107"/>
      <c r="HPS5" s="107"/>
      <c r="HPT5" s="107"/>
      <c r="HPU5" s="107"/>
      <c r="HPV5" s="107"/>
      <c r="HPW5" s="107"/>
      <c r="HPX5" s="107"/>
      <c r="HPY5" s="107"/>
      <c r="HPZ5" s="107"/>
      <c r="HQA5" s="107"/>
      <c r="HQB5" s="107"/>
      <c r="HQC5" s="107"/>
      <c r="HQD5" s="107"/>
      <c r="HQE5" s="107"/>
      <c r="HQF5" s="107"/>
      <c r="HQG5" s="107"/>
      <c r="HQH5" s="107"/>
      <c r="HQI5" s="107"/>
      <c r="HQJ5" s="107"/>
      <c r="HQK5" s="107"/>
      <c r="HQL5" s="107"/>
      <c r="HQM5" s="107"/>
      <c r="HQN5" s="107"/>
      <c r="HQO5" s="107"/>
      <c r="HQP5" s="107"/>
      <c r="HQQ5" s="107"/>
      <c r="HQR5" s="107"/>
      <c r="HQS5" s="107"/>
      <c r="HQT5" s="107"/>
      <c r="HQU5" s="107"/>
      <c r="HQV5" s="107"/>
      <c r="HQW5" s="107"/>
      <c r="HQX5" s="107"/>
      <c r="HQY5" s="107"/>
      <c r="HQZ5" s="107"/>
      <c r="HRA5" s="107"/>
      <c r="HRB5" s="107"/>
      <c r="HRC5" s="107"/>
      <c r="HRD5" s="107"/>
      <c r="HRE5" s="107"/>
      <c r="HRF5" s="107"/>
      <c r="HRG5" s="107"/>
      <c r="HRH5" s="107"/>
      <c r="HRI5" s="107"/>
      <c r="HRJ5" s="107"/>
      <c r="HRK5" s="107"/>
      <c r="HRL5" s="107"/>
      <c r="HRM5" s="107"/>
      <c r="HRN5" s="107"/>
      <c r="HRO5" s="107"/>
      <c r="HRP5" s="107"/>
      <c r="HRQ5" s="107"/>
      <c r="HRR5" s="107"/>
      <c r="HRS5" s="107"/>
      <c r="HRT5" s="107"/>
      <c r="HRU5" s="107"/>
      <c r="HRV5" s="107"/>
      <c r="HRW5" s="107"/>
      <c r="HRX5" s="107"/>
      <c r="HRY5" s="107"/>
      <c r="HRZ5" s="107"/>
      <c r="HSA5" s="107"/>
      <c r="HSB5" s="107"/>
      <c r="HSC5" s="107"/>
      <c r="HSD5" s="107"/>
      <c r="HSE5" s="107"/>
      <c r="HSF5" s="107"/>
      <c r="HSG5" s="107"/>
      <c r="HSH5" s="107"/>
      <c r="HSI5" s="107"/>
      <c r="HSJ5" s="107"/>
      <c r="HSK5" s="107"/>
      <c r="HSL5" s="107"/>
      <c r="HSM5" s="107"/>
      <c r="HSN5" s="107"/>
      <c r="HSO5" s="107"/>
      <c r="HSP5" s="107"/>
      <c r="HSQ5" s="107"/>
      <c r="HSR5" s="107"/>
      <c r="HSS5" s="107"/>
      <c r="HST5" s="107"/>
      <c r="HSU5" s="107"/>
      <c r="HSV5" s="107"/>
      <c r="HSW5" s="107"/>
      <c r="HSX5" s="107"/>
      <c r="HSY5" s="107"/>
      <c r="HSZ5" s="107"/>
      <c r="HTA5" s="107"/>
      <c r="HTB5" s="107"/>
      <c r="HTC5" s="107"/>
      <c r="HTD5" s="107"/>
      <c r="HTE5" s="107"/>
      <c r="HTF5" s="107"/>
      <c r="HTG5" s="107"/>
      <c r="HTH5" s="107"/>
      <c r="HTI5" s="107"/>
      <c r="HTJ5" s="107"/>
      <c r="HTK5" s="107"/>
      <c r="HTL5" s="107"/>
      <c r="HTM5" s="107"/>
      <c r="HTN5" s="107"/>
      <c r="HTO5" s="107"/>
      <c r="HTP5" s="107"/>
      <c r="HTQ5" s="107"/>
      <c r="HTR5" s="107"/>
      <c r="HTS5" s="107"/>
      <c r="HTT5" s="107"/>
      <c r="HTU5" s="107"/>
      <c r="HTV5" s="107"/>
      <c r="HTW5" s="107"/>
      <c r="HTX5" s="107"/>
      <c r="HTY5" s="107"/>
      <c r="HTZ5" s="107"/>
      <c r="HUA5" s="107"/>
      <c r="HUB5" s="107"/>
      <c r="HUC5" s="107"/>
      <c r="HUD5" s="107"/>
      <c r="HUE5" s="107"/>
      <c r="HUF5" s="107"/>
      <c r="HUG5" s="107"/>
      <c r="HUH5" s="107"/>
      <c r="HUI5" s="107"/>
      <c r="HUJ5" s="107"/>
      <c r="HUK5" s="107"/>
      <c r="HUL5" s="107"/>
      <c r="HUM5" s="107"/>
      <c r="HUN5" s="107"/>
      <c r="HUO5" s="107"/>
      <c r="HUP5" s="107"/>
      <c r="HUQ5" s="107"/>
      <c r="HUR5" s="107"/>
      <c r="HUS5" s="107"/>
      <c r="HUT5" s="107"/>
      <c r="HUU5" s="107"/>
      <c r="HUV5" s="107"/>
      <c r="HUW5" s="107"/>
      <c r="HUX5" s="107"/>
      <c r="HUY5" s="107"/>
      <c r="HUZ5" s="107"/>
      <c r="HVA5" s="107"/>
      <c r="HVB5" s="107"/>
      <c r="HVC5" s="107"/>
      <c r="HVD5" s="107"/>
      <c r="HVE5" s="107"/>
      <c r="HVF5" s="107"/>
      <c r="HVG5" s="107"/>
      <c r="HVH5" s="107"/>
      <c r="HVI5" s="107"/>
      <c r="HVJ5" s="107"/>
      <c r="HVK5" s="107"/>
      <c r="HVL5" s="107"/>
      <c r="HVM5" s="107"/>
      <c r="HVN5" s="107"/>
      <c r="HVO5" s="107"/>
      <c r="HVP5" s="107"/>
      <c r="HVQ5" s="107"/>
      <c r="HVR5" s="107"/>
      <c r="HVS5" s="107"/>
      <c r="HVT5" s="107"/>
      <c r="HVU5" s="107"/>
      <c r="HVV5" s="107"/>
      <c r="HVW5" s="107"/>
      <c r="HVX5" s="107"/>
      <c r="HVY5" s="107"/>
      <c r="HVZ5" s="107"/>
      <c r="HWA5" s="107"/>
      <c r="HWB5" s="107"/>
      <c r="HWC5" s="107"/>
      <c r="HWD5" s="107"/>
      <c r="HWE5" s="107"/>
      <c r="HWF5" s="107"/>
      <c r="HWG5" s="107"/>
      <c r="HWH5" s="107"/>
      <c r="HWI5" s="107"/>
      <c r="HWJ5" s="107"/>
      <c r="HWK5" s="107"/>
      <c r="HWL5" s="107"/>
      <c r="HWM5" s="107"/>
      <c r="HWN5" s="107"/>
      <c r="HWO5" s="107"/>
      <c r="HWP5" s="107"/>
      <c r="HWQ5" s="107"/>
      <c r="HWR5" s="107"/>
      <c r="HWS5" s="107"/>
      <c r="HWT5" s="107"/>
      <c r="HWU5" s="107"/>
      <c r="HWV5" s="107"/>
      <c r="HWW5" s="107"/>
      <c r="HWX5" s="107"/>
      <c r="HWY5" s="107"/>
      <c r="HWZ5" s="107"/>
      <c r="HXA5" s="107"/>
      <c r="HXB5" s="107"/>
      <c r="HXC5" s="107"/>
      <c r="HXD5" s="107"/>
      <c r="HXE5" s="107"/>
      <c r="HXF5" s="107"/>
      <c r="HXG5" s="107"/>
      <c r="HXH5" s="107"/>
      <c r="HXI5" s="107"/>
      <c r="HXJ5" s="107"/>
      <c r="HXK5" s="107"/>
      <c r="HXL5" s="107"/>
      <c r="HXM5" s="107"/>
      <c r="HXN5" s="107"/>
      <c r="HXO5" s="107"/>
      <c r="HXP5" s="107"/>
      <c r="HXQ5" s="107"/>
      <c r="HXR5" s="107"/>
      <c r="HXS5" s="107"/>
      <c r="HXT5" s="107"/>
      <c r="HXU5" s="107"/>
      <c r="HXV5" s="107"/>
      <c r="HXW5" s="107"/>
      <c r="HXX5" s="107"/>
      <c r="HXY5" s="107"/>
      <c r="HXZ5" s="107"/>
      <c r="HYA5" s="107"/>
      <c r="HYB5" s="107"/>
      <c r="HYC5" s="107"/>
      <c r="HYD5" s="107"/>
      <c r="HYE5" s="107"/>
      <c r="HYF5" s="107"/>
      <c r="HYG5" s="107"/>
      <c r="HYH5" s="107"/>
      <c r="HYI5" s="107"/>
      <c r="HYJ5" s="107"/>
      <c r="HYK5" s="107"/>
      <c r="HYL5" s="107"/>
      <c r="HYM5" s="107"/>
      <c r="HYN5" s="107"/>
      <c r="HYO5" s="107"/>
      <c r="HYP5" s="107"/>
      <c r="HYQ5" s="107"/>
      <c r="HYR5" s="107"/>
      <c r="HYS5" s="107"/>
      <c r="HYT5" s="107"/>
      <c r="HYU5" s="107"/>
      <c r="HYV5" s="107"/>
      <c r="HYW5" s="107"/>
      <c r="HYX5" s="107"/>
      <c r="HYY5" s="107"/>
      <c r="HYZ5" s="107"/>
      <c r="HZA5" s="107"/>
      <c r="HZB5" s="107"/>
      <c r="HZC5" s="107"/>
      <c r="HZD5" s="107"/>
      <c r="HZE5" s="107"/>
      <c r="HZF5" s="107"/>
      <c r="HZG5" s="107"/>
      <c r="HZH5" s="107"/>
      <c r="HZI5" s="107"/>
      <c r="HZJ5" s="107"/>
      <c r="HZK5" s="107"/>
      <c r="HZL5" s="107"/>
      <c r="HZM5" s="107"/>
      <c r="HZN5" s="107"/>
      <c r="HZO5" s="107"/>
      <c r="HZP5" s="107"/>
      <c r="HZQ5" s="107"/>
      <c r="HZR5" s="107"/>
      <c r="HZS5" s="107"/>
      <c r="HZT5" s="107"/>
      <c r="HZU5" s="107"/>
      <c r="HZV5" s="107"/>
      <c r="HZW5" s="107"/>
      <c r="HZX5" s="107"/>
      <c r="HZY5" s="107"/>
      <c r="HZZ5" s="107"/>
      <c r="IAA5" s="107"/>
      <c r="IAB5" s="107"/>
      <c r="IAC5" s="107"/>
      <c r="IAD5" s="107"/>
      <c r="IAE5" s="107"/>
      <c r="IAF5" s="107"/>
      <c r="IAG5" s="107"/>
      <c r="IAH5" s="107"/>
      <c r="IAI5" s="107"/>
      <c r="IAJ5" s="107"/>
      <c r="IAK5" s="107"/>
      <c r="IAL5" s="107"/>
      <c r="IAM5" s="107"/>
      <c r="IAN5" s="107"/>
      <c r="IAO5" s="107"/>
      <c r="IAP5" s="107"/>
      <c r="IAQ5" s="107"/>
      <c r="IAR5" s="107"/>
      <c r="IAS5" s="107"/>
      <c r="IAT5" s="107"/>
      <c r="IAU5" s="107"/>
      <c r="IAV5" s="107"/>
      <c r="IAW5" s="107"/>
      <c r="IAX5" s="107"/>
      <c r="IAY5" s="107"/>
      <c r="IAZ5" s="107"/>
      <c r="IBA5" s="107"/>
      <c r="IBB5" s="107"/>
      <c r="IBC5" s="107"/>
      <c r="IBD5" s="107"/>
      <c r="IBE5" s="107"/>
      <c r="IBF5" s="107"/>
      <c r="IBG5" s="107"/>
      <c r="IBH5" s="107"/>
      <c r="IBI5" s="107"/>
      <c r="IBJ5" s="107"/>
      <c r="IBK5" s="107"/>
      <c r="IBL5" s="107"/>
      <c r="IBM5" s="107"/>
      <c r="IBN5" s="107"/>
      <c r="IBO5" s="107"/>
      <c r="IBP5" s="107"/>
      <c r="IBQ5" s="107"/>
      <c r="IBR5" s="107"/>
      <c r="IBS5" s="107"/>
      <c r="IBT5" s="107"/>
      <c r="IBU5" s="107"/>
      <c r="IBV5" s="107"/>
      <c r="IBW5" s="107"/>
      <c r="IBX5" s="107"/>
      <c r="IBY5" s="107"/>
      <c r="IBZ5" s="107"/>
      <c r="ICA5" s="107"/>
      <c r="ICB5" s="107"/>
      <c r="ICC5" s="107"/>
      <c r="ICD5" s="107"/>
      <c r="ICE5" s="107"/>
      <c r="ICF5" s="107"/>
      <c r="ICG5" s="107"/>
      <c r="ICH5" s="107"/>
      <c r="ICI5" s="107"/>
      <c r="ICJ5" s="107"/>
      <c r="ICK5" s="107"/>
      <c r="ICL5" s="107"/>
      <c r="ICM5" s="107"/>
      <c r="ICN5" s="107"/>
      <c r="ICO5" s="107"/>
      <c r="ICP5" s="107"/>
      <c r="ICQ5" s="107"/>
      <c r="ICR5" s="107"/>
      <c r="ICS5" s="107"/>
      <c r="ICT5" s="107"/>
      <c r="ICU5" s="107"/>
      <c r="ICV5" s="107"/>
      <c r="ICW5" s="107"/>
      <c r="ICX5" s="107"/>
      <c r="ICY5" s="107"/>
      <c r="ICZ5" s="107"/>
      <c r="IDA5" s="107"/>
      <c r="IDB5" s="107"/>
      <c r="IDC5" s="107"/>
      <c r="IDD5" s="107"/>
      <c r="IDE5" s="107"/>
      <c r="IDF5" s="107"/>
      <c r="IDG5" s="107"/>
      <c r="IDH5" s="107"/>
      <c r="IDI5" s="107"/>
      <c r="IDJ5" s="107"/>
      <c r="IDK5" s="107"/>
      <c r="IDL5" s="107"/>
      <c r="IDM5" s="107"/>
      <c r="IDN5" s="107"/>
      <c r="IDO5" s="107"/>
      <c r="IDP5" s="107"/>
      <c r="IDQ5" s="107"/>
      <c r="IDR5" s="107"/>
      <c r="IDS5" s="107"/>
      <c r="IDT5" s="107"/>
      <c r="IDU5" s="107"/>
      <c r="IDV5" s="107"/>
      <c r="IDW5" s="107"/>
      <c r="IDX5" s="107"/>
      <c r="IDY5" s="107"/>
      <c r="IDZ5" s="107"/>
      <c r="IEA5" s="107"/>
      <c r="IEB5" s="107"/>
      <c r="IEC5" s="107"/>
      <c r="IED5" s="107"/>
      <c r="IEE5" s="107"/>
      <c r="IEF5" s="107"/>
      <c r="IEG5" s="107"/>
      <c r="IEH5" s="107"/>
      <c r="IEI5" s="107"/>
      <c r="IEJ5" s="107"/>
      <c r="IEK5" s="107"/>
      <c r="IEL5" s="107"/>
      <c r="IEM5" s="107"/>
      <c r="IEN5" s="107"/>
      <c r="IEO5" s="107"/>
      <c r="IEP5" s="107"/>
      <c r="IEQ5" s="107"/>
      <c r="IER5" s="107"/>
      <c r="IES5" s="107"/>
      <c r="IET5" s="107"/>
      <c r="IEU5" s="107"/>
      <c r="IEV5" s="107"/>
      <c r="IEW5" s="107"/>
      <c r="IEX5" s="107"/>
      <c r="IEY5" s="107"/>
      <c r="IEZ5" s="107"/>
      <c r="IFA5" s="107"/>
      <c r="IFB5" s="107"/>
      <c r="IFC5" s="107"/>
      <c r="IFD5" s="107"/>
      <c r="IFE5" s="107"/>
      <c r="IFF5" s="107"/>
      <c r="IFG5" s="107"/>
      <c r="IFH5" s="107"/>
      <c r="IFI5" s="107"/>
      <c r="IFJ5" s="107"/>
      <c r="IFK5" s="107"/>
      <c r="IFL5" s="107"/>
      <c r="IFM5" s="107"/>
      <c r="IFN5" s="107"/>
      <c r="IFO5" s="107"/>
      <c r="IFP5" s="107"/>
      <c r="IFQ5" s="107"/>
      <c r="IFR5" s="107"/>
      <c r="IFS5" s="107"/>
      <c r="IFT5" s="107"/>
      <c r="IFU5" s="107"/>
      <c r="IFV5" s="107"/>
      <c r="IFW5" s="107"/>
      <c r="IFX5" s="107"/>
      <c r="IFY5" s="107"/>
      <c r="IFZ5" s="107"/>
      <c r="IGA5" s="107"/>
      <c r="IGB5" s="107"/>
      <c r="IGC5" s="107"/>
      <c r="IGD5" s="107"/>
      <c r="IGE5" s="107"/>
      <c r="IGF5" s="107"/>
      <c r="IGG5" s="107"/>
      <c r="IGH5" s="107"/>
      <c r="IGI5" s="107"/>
      <c r="IGJ5" s="107"/>
      <c r="IGK5" s="107"/>
      <c r="IGL5" s="107"/>
      <c r="IGM5" s="107"/>
      <c r="IGN5" s="107"/>
      <c r="IGO5" s="107"/>
      <c r="IGP5" s="107"/>
      <c r="IGQ5" s="107"/>
      <c r="IGR5" s="107"/>
      <c r="IGS5" s="107"/>
      <c r="IGT5" s="107"/>
      <c r="IGU5" s="107"/>
      <c r="IGV5" s="107"/>
      <c r="IGW5" s="107"/>
      <c r="IGX5" s="107"/>
      <c r="IGY5" s="107"/>
      <c r="IGZ5" s="107"/>
      <c r="IHA5" s="107"/>
      <c r="IHB5" s="107"/>
      <c r="IHC5" s="107"/>
      <c r="IHD5" s="107"/>
      <c r="IHE5" s="107"/>
      <c r="IHF5" s="107"/>
      <c r="IHG5" s="107"/>
      <c r="IHH5" s="107"/>
      <c r="IHI5" s="107"/>
      <c r="IHJ5" s="107"/>
      <c r="IHK5" s="107"/>
      <c r="IHL5" s="107"/>
      <c r="IHM5" s="107"/>
      <c r="IHN5" s="107"/>
      <c r="IHO5" s="107"/>
      <c r="IHP5" s="107"/>
      <c r="IHQ5" s="107"/>
      <c r="IHR5" s="107"/>
      <c r="IHS5" s="107"/>
      <c r="IHT5" s="107"/>
      <c r="IHU5" s="107"/>
      <c r="IHV5" s="107"/>
      <c r="IHW5" s="107"/>
      <c r="IHX5" s="107"/>
      <c r="IHY5" s="107"/>
      <c r="IHZ5" s="107"/>
      <c r="IIA5" s="107"/>
      <c r="IIB5" s="107"/>
      <c r="IIC5" s="107"/>
      <c r="IID5" s="107"/>
      <c r="IIE5" s="107"/>
      <c r="IIF5" s="107"/>
      <c r="IIG5" s="107"/>
      <c r="IIH5" s="107"/>
      <c r="III5" s="107"/>
      <c r="IIJ5" s="107"/>
      <c r="IIK5" s="107"/>
      <c r="IIL5" s="107"/>
      <c r="IIM5" s="107"/>
      <c r="IIN5" s="107"/>
      <c r="IIO5" s="107"/>
      <c r="IIP5" s="107"/>
      <c r="IIQ5" s="107"/>
      <c r="IIR5" s="107"/>
      <c r="IIS5" s="107"/>
      <c r="IIT5" s="107"/>
      <c r="IIU5" s="107"/>
      <c r="IIV5" s="107"/>
      <c r="IIW5" s="107"/>
      <c r="IIX5" s="107"/>
      <c r="IIY5" s="107"/>
      <c r="IIZ5" s="107"/>
      <c r="IJA5" s="107"/>
      <c r="IJB5" s="107"/>
      <c r="IJC5" s="107"/>
      <c r="IJD5" s="107"/>
      <c r="IJE5" s="107"/>
      <c r="IJF5" s="107"/>
      <c r="IJG5" s="107"/>
      <c r="IJH5" s="107"/>
      <c r="IJI5" s="107"/>
      <c r="IJJ5" s="107"/>
      <c r="IJK5" s="107"/>
      <c r="IJL5" s="107"/>
      <c r="IJM5" s="107"/>
      <c r="IJN5" s="107"/>
      <c r="IJO5" s="107"/>
      <c r="IJP5" s="107"/>
      <c r="IJQ5" s="107"/>
      <c r="IJR5" s="107"/>
      <c r="IJS5" s="107"/>
      <c r="IJT5" s="107"/>
      <c r="IJU5" s="107"/>
      <c r="IJV5" s="107"/>
      <c r="IJW5" s="107"/>
      <c r="IJX5" s="107"/>
      <c r="IJY5" s="107"/>
      <c r="IJZ5" s="107"/>
      <c r="IKA5" s="107"/>
      <c r="IKB5" s="107"/>
      <c r="IKC5" s="107"/>
      <c r="IKD5" s="107"/>
      <c r="IKE5" s="107"/>
      <c r="IKF5" s="107"/>
      <c r="IKG5" s="107"/>
      <c r="IKH5" s="107"/>
      <c r="IKI5" s="107"/>
      <c r="IKJ5" s="107"/>
      <c r="IKK5" s="107"/>
      <c r="IKL5" s="107"/>
      <c r="IKM5" s="107"/>
      <c r="IKN5" s="107"/>
      <c r="IKO5" s="107"/>
      <c r="IKP5" s="107"/>
      <c r="IKQ5" s="107"/>
      <c r="IKR5" s="107"/>
      <c r="IKS5" s="107"/>
      <c r="IKT5" s="107"/>
      <c r="IKU5" s="107"/>
      <c r="IKV5" s="107"/>
      <c r="IKW5" s="107"/>
      <c r="IKX5" s="107"/>
      <c r="IKY5" s="107"/>
      <c r="IKZ5" s="107"/>
      <c r="ILA5" s="107"/>
      <c r="ILB5" s="107"/>
      <c r="ILC5" s="107"/>
      <c r="ILD5" s="107"/>
      <c r="ILE5" s="107"/>
      <c r="ILF5" s="107"/>
      <c r="ILG5" s="107"/>
      <c r="ILH5" s="107"/>
      <c r="ILI5" s="107"/>
      <c r="ILJ5" s="107"/>
      <c r="ILK5" s="107"/>
      <c r="ILL5" s="107"/>
      <c r="ILM5" s="107"/>
      <c r="ILN5" s="107"/>
      <c r="ILO5" s="107"/>
      <c r="ILP5" s="107"/>
      <c r="ILQ5" s="107"/>
      <c r="ILR5" s="107"/>
      <c r="ILS5" s="107"/>
      <c r="ILT5" s="107"/>
      <c r="ILU5" s="107"/>
      <c r="ILV5" s="107"/>
      <c r="ILW5" s="107"/>
      <c r="ILX5" s="107"/>
      <c r="ILY5" s="107"/>
      <c r="ILZ5" s="107"/>
      <c r="IMA5" s="107"/>
      <c r="IMB5" s="107"/>
      <c r="IMC5" s="107"/>
      <c r="IMD5" s="107"/>
      <c r="IME5" s="107"/>
      <c r="IMF5" s="107"/>
      <c r="IMG5" s="107"/>
      <c r="IMH5" s="107"/>
      <c r="IMI5" s="107"/>
      <c r="IMJ5" s="107"/>
      <c r="IMK5" s="107"/>
      <c r="IML5" s="107"/>
      <c r="IMM5" s="107"/>
      <c r="IMN5" s="107"/>
      <c r="IMO5" s="107"/>
      <c r="IMP5" s="107"/>
      <c r="IMQ5" s="107"/>
      <c r="IMR5" s="107"/>
      <c r="IMS5" s="107"/>
      <c r="IMT5" s="107"/>
      <c r="IMU5" s="107"/>
      <c r="IMV5" s="107"/>
      <c r="IMW5" s="107"/>
      <c r="IMX5" s="107"/>
      <c r="IMY5" s="107"/>
      <c r="IMZ5" s="107"/>
      <c r="INA5" s="107"/>
      <c r="INB5" s="107"/>
      <c r="INC5" s="107"/>
      <c r="IND5" s="107"/>
      <c r="INE5" s="107"/>
      <c r="INF5" s="107"/>
      <c r="ING5" s="107"/>
      <c r="INH5" s="107"/>
      <c r="INI5" s="107"/>
      <c r="INJ5" s="107"/>
      <c r="INK5" s="107"/>
      <c r="INL5" s="107"/>
      <c r="INM5" s="107"/>
      <c r="INN5" s="107"/>
      <c r="INO5" s="107"/>
      <c r="INP5" s="107"/>
      <c r="INQ5" s="107"/>
      <c r="INR5" s="107"/>
      <c r="INS5" s="107"/>
      <c r="INT5" s="107"/>
      <c r="INU5" s="107"/>
      <c r="INV5" s="107"/>
      <c r="INW5" s="107"/>
      <c r="INX5" s="107"/>
      <c r="INY5" s="107"/>
      <c r="INZ5" s="107"/>
      <c r="IOA5" s="107"/>
      <c r="IOB5" s="107"/>
      <c r="IOC5" s="107"/>
      <c r="IOD5" s="107"/>
      <c r="IOE5" s="107"/>
      <c r="IOF5" s="107"/>
      <c r="IOG5" s="107"/>
      <c r="IOH5" s="107"/>
      <c r="IOI5" s="107"/>
      <c r="IOJ5" s="107"/>
      <c r="IOK5" s="107"/>
      <c r="IOL5" s="107"/>
      <c r="IOM5" s="107"/>
      <c r="ION5" s="107"/>
      <c r="IOO5" s="107"/>
      <c r="IOP5" s="107"/>
      <c r="IOQ5" s="107"/>
      <c r="IOR5" s="107"/>
      <c r="IOS5" s="107"/>
      <c r="IOT5" s="107"/>
      <c r="IOU5" s="107"/>
      <c r="IOV5" s="107"/>
      <c r="IOW5" s="107"/>
      <c r="IOX5" s="107"/>
      <c r="IOY5" s="107"/>
      <c r="IOZ5" s="107"/>
      <c r="IPA5" s="107"/>
      <c r="IPB5" s="107"/>
      <c r="IPC5" s="107"/>
      <c r="IPD5" s="107"/>
      <c r="IPE5" s="107"/>
      <c r="IPF5" s="107"/>
      <c r="IPG5" s="107"/>
      <c r="IPH5" s="107"/>
      <c r="IPI5" s="107"/>
      <c r="IPJ5" s="107"/>
      <c r="IPK5" s="107"/>
      <c r="IPL5" s="107"/>
      <c r="IPM5" s="107"/>
      <c r="IPN5" s="107"/>
      <c r="IPO5" s="107"/>
      <c r="IPP5" s="107"/>
      <c r="IPQ5" s="107"/>
      <c r="IPR5" s="107"/>
      <c r="IPS5" s="107"/>
      <c r="IPT5" s="107"/>
      <c r="IPU5" s="107"/>
      <c r="IPV5" s="107"/>
      <c r="IPW5" s="107"/>
      <c r="IPX5" s="107"/>
      <c r="IPY5" s="107"/>
      <c r="IPZ5" s="107"/>
      <c r="IQA5" s="107"/>
      <c r="IQB5" s="107"/>
      <c r="IQC5" s="107"/>
      <c r="IQD5" s="107"/>
      <c r="IQE5" s="107"/>
      <c r="IQF5" s="107"/>
      <c r="IQG5" s="107"/>
      <c r="IQH5" s="107"/>
      <c r="IQI5" s="107"/>
      <c r="IQJ5" s="107"/>
      <c r="IQK5" s="107"/>
      <c r="IQL5" s="107"/>
      <c r="IQM5" s="107"/>
      <c r="IQN5" s="107"/>
      <c r="IQO5" s="107"/>
      <c r="IQP5" s="107"/>
      <c r="IQQ5" s="107"/>
      <c r="IQR5" s="107"/>
      <c r="IQS5" s="107"/>
      <c r="IQT5" s="107"/>
      <c r="IQU5" s="107"/>
      <c r="IQV5" s="107"/>
      <c r="IQW5" s="107"/>
      <c r="IQX5" s="107"/>
      <c r="IQY5" s="107"/>
      <c r="IQZ5" s="107"/>
      <c r="IRA5" s="107"/>
      <c r="IRB5" s="107"/>
      <c r="IRC5" s="107"/>
      <c r="IRD5" s="107"/>
      <c r="IRE5" s="107"/>
      <c r="IRF5" s="107"/>
      <c r="IRG5" s="107"/>
      <c r="IRH5" s="107"/>
      <c r="IRI5" s="107"/>
      <c r="IRJ5" s="107"/>
      <c r="IRK5" s="107"/>
      <c r="IRL5" s="107"/>
      <c r="IRM5" s="107"/>
      <c r="IRN5" s="107"/>
      <c r="IRO5" s="107"/>
      <c r="IRP5" s="107"/>
      <c r="IRQ5" s="107"/>
      <c r="IRR5" s="107"/>
      <c r="IRS5" s="107"/>
      <c r="IRT5" s="107"/>
      <c r="IRU5" s="107"/>
      <c r="IRV5" s="107"/>
      <c r="IRW5" s="107"/>
      <c r="IRX5" s="107"/>
      <c r="IRY5" s="107"/>
      <c r="IRZ5" s="107"/>
      <c r="ISA5" s="107"/>
      <c r="ISB5" s="107"/>
      <c r="ISC5" s="107"/>
      <c r="ISD5" s="107"/>
      <c r="ISE5" s="107"/>
      <c r="ISF5" s="107"/>
      <c r="ISG5" s="107"/>
      <c r="ISH5" s="107"/>
      <c r="ISI5" s="107"/>
      <c r="ISJ5" s="107"/>
      <c r="ISK5" s="107"/>
      <c r="ISL5" s="107"/>
      <c r="ISM5" s="107"/>
      <c r="ISN5" s="107"/>
      <c r="ISO5" s="107"/>
      <c r="ISP5" s="107"/>
      <c r="ISQ5" s="107"/>
      <c r="ISR5" s="107"/>
      <c r="ISS5" s="107"/>
      <c r="IST5" s="107"/>
      <c r="ISU5" s="107"/>
      <c r="ISV5" s="107"/>
      <c r="ISW5" s="107"/>
      <c r="ISX5" s="107"/>
      <c r="ISY5" s="107"/>
      <c r="ISZ5" s="107"/>
      <c r="ITA5" s="107"/>
      <c r="ITB5" s="107"/>
      <c r="ITC5" s="107"/>
      <c r="ITD5" s="107"/>
      <c r="ITE5" s="107"/>
      <c r="ITF5" s="107"/>
      <c r="ITG5" s="107"/>
      <c r="ITH5" s="107"/>
      <c r="ITI5" s="107"/>
      <c r="ITJ5" s="107"/>
      <c r="ITK5" s="107"/>
      <c r="ITL5" s="107"/>
      <c r="ITM5" s="107"/>
      <c r="ITN5" s="107"/>
      <c r="ITO5" s="107"/>
      <c r="ITP5" s="107"/>
      <c r="ITQ5" s="107"/>
      <c r="ITR5" s="107"/>
      <c r="ITS5" s="107"/>
      <c r="ITT5" s="107"/>
      <c r="ITU5" s="107"/>
      <c r="ITV5" s="107"/>
      <c r="ITW5" s="107"/>
      <c r="ITX5" s="107"/>
      <c r="ITY5" s="107"/>
      <c r="ITZ5" s="107"/>
      <c r="IUA5" s="107"/>
      <c r="IUB5" s="107"/>
      <c r="IUC5" s="107"/>
      <c r="IUD5" s="107"/>
      <c r="IUE5" s="107"/>
      <c r="IUF5" s="107"/>
      <c r="IUG5" s="107"/>
      <c r="IUH5" s="107"/>
      <c r="IUI5" s="107"/>
      <c r="IUJ5" s="107"/>
      <c r="IUK5" s="107"/>
      <c r="IUL5" s="107"/>
      <c r="IUM5" s="107"/>
      <c r="IUN5" s="107"/>
      <c r="IUO5" s="107"/>
      <c r="IUP5" s="107"/>
      <c r="IUQ5" s="107"/>
      <c r="IUR5" s="107"/>
      <c r="IUS5" s="107"/>
      <c r="IUT5" s="107"/>
      <c r="IUU5" s="107"/>
      <c r="IUV5" s="107"/>
      <c r="IUW5" s="107"/>
      <c r="IUX5" s="107"/>
      <c r="IUY5" s="107"/>
      <c r="IUZ5" s="107"/>
      <c r="IVA5" s="107"/>
      <c r="IVB5" s="107"/>
      <c r="IVC5" s="107"/>
      <c r="IVD5" s="107"/>
      <c r="IVE5" s="107"/>
      <c r="IVF5" s="107"/>
      <c r="IVG5" s="107"/>
      <c r="IVH5" s="107"/>
      <c r="IVI5" s="107"/>
      <c r="IVJ5" s="107"/>
      <c r="IVK5" s="107"/>
      <c r="IVL5" s="107"/>
      <c r="IVM5" s="107"/>
      <c r="IVN5" s="107"/>
      <c r="IVO5" s="107"/>
      <c r="IVP5" s="107"/>
      <c r="IVQ5" s="107"/>
      <c r="IVR5" s="107"/>
      <c r="IVS5" s="107"/>
      <c r="IVT5" s="107"/>
      <c r="IVU5" s="107"/>
      <c r="IVV5" s="107"/>
      <c r="IVW5" s="107"/>
      <c r="IVX5" s="107"/>
      <c r="IVY5" s="107"/>
      <c r="IVZ5" s="107"/>
      <c r="IWA5" s="107"/>
      <c r="IWB5" s="107"/>
      <c r="IWC5" s="107"/>
      <c r="IWD5" s="107"/>
      <c r="IWE5" s="107"/>
      <c r="IWF5" s="107"/>
      <c r="IWG5" s="107"/>
      <c r="IWH5" s="107"/>
      <c r="IWI5" s="107"/>
      <c r="IWJ5" s="107"/>
      <c r="IWK5" s="107"/>
      <c r="IWL5" s="107"/>
      <c r="IWM5" s="107"/>
      <c r="IWN5" s="107"/>
      <c r="IWO5" s="107"/>
      <c r="IWP5" s="107"/>
      <c r="IWQ5" s="107"/>
      <c r="IWR5" s="107"/>
      <c r="IWS5" s="107"/>
      <c r="IWT5" s="107"/>
      <c r="IWU5" s="107"/>
      <c r="IWV5" s="107"/>
      <c r="IWW5" s="107"/>
      <c r="IWX5" s="107"/>
      <c r="IWY5" s="107"/>
      <c r="IWZ5" s="107"/>
      <c r="IXA5" s="107"/>
      <c r="IXB5" s="107"/>
      <c r="IXC5" s="107"/>
      <c r="IXD5" s="107"/>
      <c r="IXE5" s="107"/>
      <c r="IXF5" s="107"/>
      <c r="IXG5" s="107"/>
      <c r="IXH5" s="107"/>
      <c r="IXI5" s="107"/>
      <c r="IXJ5" s="107"/>
      <c r="IXK5" s="107"/>
      <c r="IXL5" s="107"/>
      <c r="IXM5" s="107"/>
      <c r="IXN5" s="107"/>
      <c r="IXO5" s="107"/>
      <c r="IXP5" s="107"/>
      <c r="IXQ5" s="107"/>
      <c r="IXR5" s="107"/>
      <c r="IXS5" s="107"/>
      <c r="IXT5" s="107"/>
      <c r="IXU5" s="107"/>
      <c r="IXV5" s="107"/>
      <c r="IXW5" s="107"/>
      <c r="IXX5" s="107"/>
      <c r="IXY5" s="107"/>
      <c r="IXZ5" s="107"/>
      <c r="IYA5" s="107"/>
      <c r="IYB5" s="107"/>
      <c r="IYC5" s="107"/>
      <c r="IYD5" s="107"/>
      <c r="IYE5" s="107"/>
      <c r="IYF5" s="107"/>
      <c r="IYG5" s="107"/>
      <c r="IYH5" s="107"/>
      <c r="IYI5" s="107"/>
      <c r="IYJ5" s="107"/>
      <c r="IYK5" s="107"/>
      <c r="IYL5" s="107"/>
      <c r="IYM5" s="107"/>
      <c r="IYN5" s="107"/>
      <c r="IYO5" s="107"/>
      <c r="IYP5" s="107"/>
      <c r="IYQ5" s="107"/>
      <c r="IYR5" s="107"/>
      <c r="IYS5" s="107"/>
      <c r="IYT5" s="107"/>
      <c r="IYU5" s="107"/>
      <c r="IYV5" s="107"/>
      <c r="IYW5" s="107"/>
      <c r="IYX5" s="107"/>
      <c r="IYY5" s="107"/>
      <c r="IYZ5" s="107"/>
      <c r="IZA5" s="107"/>
      <c r="IZB5" s="107"/>
      <c r="IZC5" s="107"/>
      <c r="IZD5" s="107"/>
      <c r="IZE5" s="107"/>
      <c r="IZF5" s="107"/>
      <c r="IZG5" s="107"/>
      <c r="IZH5" s="107"/>
      <c r="IZI5" s="107"/>
      <c r="IZJ5" s="107"/>
      <c r="IZK5" s="107"/>
      <c r="IZL5" s="107"/>
      <c r="IZM5" s="107"/>
      <c r="IZN5" s="107"/>
      <c r="IZO5" s="107"/>
      <c r="IZP5" s="107"/>
      <c r="IZQ5" s="107"/>
      <c r="IZR5" s="107"/>
      <c r="IZS5" s="107"/>
      <c r="IZT5" s="107"/>
      <c r="IZU5" s="107"/>
      <c r="IZV5" s="107"/>
      <c r="IZW5" s="107"/>
      <c r="IZX5" s="107"/>
      <c r="IZY5" s="107"/>
      <c r="IZZ5" s="107"/>
      <c r="JAA5" s="107"/>
      <c r="JAB5" s="107"/>
      <c r="JAC5" s="107"/>
      <c r="JAD5" s="107"/>
      <c r="JAE5" s="107"/>
      <c r="JAF5" s="107"/>
      <c r="JAG5" s="107"/>
      <c r="JAH5" s="107"/>
      <c r="JAI5" s="107"/>
      <c r="JAJ5" s="107"/>
      <c r="JAK5" s="107"/>
      <c r="JAL5" s="107"/>
      <c r="JAM5" s="107"/>
      <c r="JAN5" s="107"/>
      <c r="JAO5" s="107"/>
      <c r="JAP5" s="107"/>
      <c r="JAQ5" s="107"/>
      <c r="JAR5" s="107"/>
      <c r="JAS5" s="107"/>
      <c r="JAT5" s="107"/>
      <c r="JAU5" s="107"/>
      <c r="JAV5" s="107"/>
      <c r="JAW5" s="107"/>
      <c r="JAX5" s="107"/>
      <c r="JAY5" s="107"/>
      <c r="JAZ5" s="107"/>
      <c r="JBA5" s="107"/>
      <c r="JBB5" s="107"/>
      <c r="JBC5" s="107"/>
      <c r="JBD5" s="107"/>
      <c r="JBE5" s="107"/>
      <c r="JBF5" s="107"/>
      <c r="JBG5" s="107"/>
      <c r="JBH5" s="107"/>
      <c r="JBI5" s="107"/>
      <c r="JBJ5" s="107"/>
      <c r="JBK5" s="107"/>
      <c r="JBL5" s="107"/>
      <c r="JBM5" s="107"/>
      <c r="JBN5" s="107"/>
      <c r="JBO5" s="107"/>
      <c r="JBP5" s="107"/>
      <c r="JBQ5" s="107"/>
      <c r="JBR5" s="107"/>
      <c r="JBS5" s="107"/>
      <c r="JBT5" s="107"/>
      <c r="JBU5" s="107"/>
      <c r="JBV5" s="107"/>
      <c r="JBW5" s="107"/>
      <c r="JBX5" s="107"/>
      <c r="JBY5" s="107"/>
      <c r="JBZ5" s="107"/>
      <c r="JCA5" s="107"/>
      <c r="JCB5" s="107"/>
      <c r="JCC5" s="107"/>
      <c r="JCD5" s="107"/>
      <c r="JCE5" s="107"/>
      <c r="JCF5" s="107"/>
      <c r="JCG5" s="107"/>
      <c r="JCH5" s="107"/>
      <c r="JCI5" s="107"/>
      <c r="JCJ5" s="107"/>
      <c r="JCK5" s="107"/>
      <c r="JCL5" s="107"/>
      <c r="JCM5" s="107"/>
      <c r="JCN5" s="107"/>
      <c r="JCO5" s="107"/>
      <c r="JCP5" s="107"/>
      <c r="JCQ5" s="107"/>
      <c r="JCR5" s="107"/>
      <c r="JCS5" s="107"/>
      <c r="JCT5" s="107"/>
      <c r="JCU5" s="107"/>
      <c r="JCV5" s="107"/>
      <c r="JCW5" s="107"/>
      <c r="JCX5" s="107"/>
      <c r="JCY5" s="107"/>
      <c r="JCZ5" s="107"/>
      <c r="JDA5" s="107"/>
      <c r="JDB5" s="107"/>
      <c r="JDC5" s="107"/>
      <c r="JDD5" s="107"/>
      <c r="JDE5" s="107"/>
      <c r="JDF5" s="107"/>
      <c r="JDG5" s="107"/>
      <c r="JDH5" s="107"/>
      <c r="JDI5" s="107"/>
      <c r="JDJ5" s="107"/>
      <c r="JDK5" s="107"/>
      <c r="JDL5" s="107"/>
      <c r="JDM5" s="107"/>
      <c r="JDN5" s="107"/>
      <c r="JDO5" s="107"/>
      <c r="JDP5" s="107"/>
      <c r="JDQ5" s="107"/>
      <c r="JDR5" s="107"/>
      <c r="JDS5" s="107"/>
      <c r="JDT5" s="107"/>
      <c r="JDU5" s="107"/>
      <c r="JDV5" s="107"/>
      <c r="JDW5" s="107"/>
      <c r="JDX5" s="107"/>
      <c r="JDY5" s="107"/>
      <c r="JDZ5" s="107"/>
      <c r="JEA5" s="107"/>
      <c r="JEB5" s="107"/>
      <c r="JEC5" s="107"/>
      <c r="JED5" s="107"/>
      <c r="JEE5" s="107"/>
      <c r="JEF5" s="107"/>
      <c r="JEG5" s="107"/>
      <c r="JEH5" s="107"/>
      <c r="JEI5" s="107"/>
      <c r="JEJ5" s="107"/>
      <c r="JEK5" s="107"/>
      <c r="JEL5" s="107"/>
      <c r="JEM5" s="107"/>
      <c r="JEN5" s="107"/>
      <c r="JEO5" s="107"/>
      <c r="JEP5" s="107"/>
      <c r="JEQ5" s="107"/>
      <c r="JER5" s="107"/>
      <c r="JES5" s="107"/>
      <c r="JET5" s="107"/>
      <c r="JEU5" s="107"/>
      <c r="JEV5" s="107"/>
      <c r="JEW5" s="107"/>
      <c r="JEX5" s="107"/>
      <c r="JEY5" s="107"/>
      <c r="JEZ5" s="107"/>
      <c r="JFA5" s="107"/>
      <c r="JFB5" s="107"/>
      <c r="JFC5" s="107"/>
      <c r="JFD5" s="107"/>
      <c r="JFE5" s="107"/>
      <c r="JFF5" s="107"/>
      <c r="JFG5" s="107"/>
      <c r="JFH5" s="107"/>
      <c r="JFI5" s="107"/>
      <c r="JFJ5" s="107"/>
      <c r="JFK5" s="107"/>
      <c r="JFL5" s="107"/>
      <c r="JFM5" s="107"/>
      <c r="JFN5" s="107"/>
      <c r="JFO5" s="107"/>
      <c r="JFP5" s="107"/>
      <c r="JFQ5" s="107"/>
      <c r="JFR5" s="107"/>
      <c r="JFS5" s="107"/>
      <c r="JFT5" s="107"/>
      <c r="JFU5" s="107"/>
      <c r="JFV5" s="107"/>
      <c r="JFW5" s="107"/>
      <c r="JFX5" s="107"/>
      <c r="JFY5" s="107"/>
      <c r="JFZ5" s="107"/>
      <c r="JGA5" s="107"/>
      <c r="JGB5" s="107"/>
      <c r="JGC5" s="107"/>
      <c r="JGD5" s="107"/>
      <c r="JGE5" s="107"/>
      <c r="JGF5" s="107"/>
      <c r="JGG5" s="107"/>
      <c r="JGH5" s="107"/>
      <c r="JGI5" s="107"/>
      <c r="JGJ5" s="107"/>
      <c r="JGK5" s="107"/>
      <c r="JGL5" s="107"/>
      <c r="JGM5" s="107"/>
      <c r="JGN5" s="107"/>
      <c r="JGO5" s="107"/>
      <c r="JGP5" s="107"/>
      <c r="JGQ5" s="107"/>
      <c r="JGR5" s="107"/>
      <c r="JGS5" s="107"/>
      <c r="JGT5" s="107"/>
      <c r="JGU5" s="107"/>
      <c r="JGV5" s="107"/>
      <c r="JGW5" s="107"/>
      <c r="JGX5" s="107"/>
      <c r="JGY5" s="107"/>
      <c r="JGZ5" s="107"/>
      <c r="JHA5" s="107"/>
      <c r="JHB5" s="107"/>
      <c r="JHC5" s="107"/>
      <c r="JHD5" s="107"/>
      <c r="JHE5" s="107"/>
      <c r="JHF5" s="107"/>
      <c r="JHG5" s="107"/>
      <c r="JHH5" s="107"/>
      <c r="JHI5" s="107"/>
      <c r="JHJ5" s="107"/>
      <c r="JHK5" s="107"/>
      <c r="JHL5" s="107"/>
      <c r="JHM5" s="107"/>
      <c r="JHN5" s="107"/>
      <c r="JHO5" s="107"/>
      <c r="JHP5" s="107"/>
      <c r="JHQ5" s="107"/>
      <c r="JHR5" s="107"/>
      <c r="JHS5" s="107"/>
      <c r="JHT5" s="107"/>
      <c r="JHU5" s="107"/>
      <c r="JHV5" s="107"/>
      <c r="JHW5" s="107"/>
      <c r="JHX5" s="107"/>
      <c r="JHY5" s="107"/>
      <c r="JHZ5" s="107"/>
      <c r="JIA5" s="107"/>
      <c r="JIB5" s="107"/>
      <c r="JIC5" s="107"/>
      <c r="JID5" s="107"/>
      <c r="JIE5" s="107"/>
      <c r="JIF5" s="107"/>
      <c r="JIG5" s="107"/>
      <c r="JIH5" s="107"/>
      <c r="JII5" s="107"/>
      <c r="JIJ5" s="107"/>
      <c r="JIK5" s="107"/>
      <c r="JIL5" s="107"/>
      <c r="JIM5" s="107"/>
      <c r="JIN5" s="107"/>
      <c r="JIO5" s="107"/>
      <c r="JIP5" s="107"/>
      <c r="JIQ5" s="107"/>
      <c r="JIR5" s="107"/>
      <c r="JIS5" s="107"/>
      <c r="JIT5" s="107"/>
      <c r="JIU5" s="107"/>
      <c r="JIV5" s="107"/>
      <c r="JIW5" s="107"/>
      <c r="JIX5" s="107"/>
      <c r="JIY5" s="107"/>
      <c r="JIZ5" s="107"/>
      <c r="JJA5" s="107"/>
      <c r="JJB5" s="107"/>
      <c r="JJC5" s="107"/>
      <c r="JJD5" s="107"/>
      <c r="JJE5" s="107"/>
      <c r="JJF5" s="107"/>
      <c r="JJG5" s="107"/>
      <c r="JJH5" s="107"/>
      <c r="JJI5" s="107"/>
      <c r="JJJ5" s="107"/>
      <c r="JJK5" s="107"/>
      <c r="JJL5" s="107"/>
      <c r="JJM5" s="107"/>
      <c r="JJN5" s="107"/>
      <c r="JJO5" s="107"/>
      <c r="JJP5" s="107"/>
      <c r="JJQ5" s="107"/>
      <c r="JJR5" s="107"/>
      <c r="JJS5" s="107"/>
      <c r="JJT5" s="107"/>
      <c r="JJU5" s="107"/>
      <c r="JJV5" s="107"/>
      <c r="JJW5" s="107"/>
      <c r="JJX5" s="107"/>
      <c r="JJY5" s="107"/>
      <c r="JJZ5" s="107"/>
      <c r="JKA5" s="107"/>
      <c r="JKB5" s="107"/>
      <c r="JKC5" s="107"/>
      <c r="JKD5" s="107"/>
      <c r="JKE5" s="107"/>
      <c r="JKF5" s="107"/>
      <c r="JKG5" s="107"/>
      <c r="JKH5" s="107"/>
      <c r="JKI5" s="107"/>
      <c r="JKJ5" s="107"/>
      <c r="JKK5" s="107"/>
      <c r="JKL5" s="107"/>
      <c r="JKM5" s="107"/>
      <c r="JKN5" s="107"/>
      <c r="JKO5" s="107"/>
      <c r="JKP5" s="107"/>
      <c r="JKQ5" s="107"/>
      <c r="JKR5" s="107"/>
      <c r="JKS5" s="107"/>
      <c r="JKT5" s="107"/>
      <c r="JKU5" s="107"/>
      <c r="JKV5" s="107"/>
      <c r="JKW5" s="107"/>
      <c r="JKX5" s="107"/>
      <c r="JKY5" s="107"/>
      <c r="JKZ5" s="107"/>
      <c r="JLA5" s="107"/>
      <c r="JLB5" s="107"/>
      <c r="JLC5" s="107"/>
      <c r="JLD5" s="107"/>
      <c r="JLE5" s="107"/>
      <c r="JLF5" s="107"/>
      <c r="JLG5" s="107"/>
      <c r="JLH5" s="107"/>
      <c r="JLI5" s="107"/>
      <c r="JLJ5" s="107"/>
      <c r="JLK5" s="107"/>
      <c r="JLL5" s="107"/>
      <c r="JLM5" s="107"/>
      <c r="JLN5" s="107"/>
      <c r="JLO5" s="107"/>
      <c r="JLP5" s="107"/>
      <c r="JLQ5" s="107"/>
      <c r="JLR5" s="107"/>
      <c r="JLS5" s="107"/>
      <c r="JLT5" s="107"/>
      <c r="JLU5" s="107"/>
      <c r="JLV5" s="107"/>
      <c r="JLW5" s="107"/>
      <c r="JLX5" s="107"/>
      <c r="JLY5" s="107"/>
      <c r="JLZ5" s="107"/>
      <c r="JMA5" s="107"/>
      <c r="JMB5" s="107"/>
      <c r="JMC5" s="107"/>
      <c r="JMD5" s="107"/>
      <c r="JME5" s="107"/>
      <c r="JMF5" s="107"/>
      <c r="JMG5" s="107"/>
      <c r="JMH5" s="107"/>
      <c r="JMI5" s="107"/>
      <c r="JMJ5" s="107"/>
      <c r="JMK5" s="107"/>
      <c r="JML5" s="107"/>
      <c r="JMM5" s="107"/>
      <c r="JMN5" s="107"/>
      <c r="JMO5" s="107"/>
      <c r="JMP5" s="107"/>
      <c r="JMQ5" s="107"/>
      <c r="JMR5" s="107"/>
      <c r="JMS5" s="107"/>
      <c r="JMT5" s="107"/>
      <c r="JMU5" s="107"/>
      <c r="JMV5" s="107"/>
      <c r="JMW5" s="107"/>
      <c r="JMX5" s="107"/>
      <c r="JMY5" s="107"/>
      <c r="JMZ5" s="107"/>
      <c r="JNA5" s="107"/>
      <c r="JNB5" s="107"/>
      <c r="JNC5" s="107"/>
      <c r="JND5" s="107"/>
      <c r="JNE5" s="107"/>
      <c r="JNF5" s="107"/>
      <c r="JNG5" s="107"/>
      <c r="JNH5" s="107"/>
      <c r="JNI5" s="107"/>
      <c r="JNJ5" s="107"/>
      <c r="JNK5" s="107"/>
      <c r="JNL5" s="107"/>
      <c r="JNM5" s="107"/>
      <c r="JNN5" s="107"/>
      <c r="JNO5" s="107"/>
      <c r="JNP5" s="107"/>
      <c r="JNQ5" s="107"/>
      <c r="JNR5" s="107"/>
      <c r="JNS5" s="107"/>
      <c r="JNT5" s="107"/>
      <c r="JNU5" s="107"/>
      <c r="JNV5" s="107"/>
      <c r="JNW5" s="107"/>
      <c r="JNX5" s="107"/>
      <c r="JNY5" s="107"/>
      <c r="JNZ5" s="107"/>
      <c r="JOA5" s="107"/>
      <c r="JOB5" s="107"/>
      <c r="JOC5" s="107"/>
      <c r="JOD5" s="107"/>
      <c r="JOE5" s="107"/>
      <c r="JOF5" s="107"/>
      <c r="JOG5" s="107"/>
      <c r="JOH5" s="107"/>
      <c r="JOI5" s="107"/>
      <c r="JOJ5" s="107"/>
      <c r="JOK5" s="107"/>
      <c r="JOL5" s="107"/>
      <c r="JOM5" s="107"/>
      <c r="JON5" s="107"/>
      <c r="JOO5" s="107"/>
      <c r="JOP5" s="107"/>
      <c r="JOQ5" s="107"/>
      <c r="JOR5" s="107"/>
      <c r="JOS5" s="107"/>
      <c r="JOT5" s="107"/>
      <c r="JOU5" s="107"/>
      <c r="JOV5" s="107"/>
      <c r="JOW5" s="107"/>
      <c r="JOX5" s="107"/>
      <c r="JOY5" s="107"/>
      <c r="JOZ5" s="107"/>
      <c r="JPA5" s="107"/>
      <c r="JPB5" s="107"/>
      <c r="JPC5" s="107"/>
      <c r="JPD5" s="107"/>
      <c r="JPE5" s="107"/>
      <c r="JPF5" s="107"/>
      <c r="JPG5" s="107"/>
      <c r="JPH5" s="107"/>
      <c r="JPI5" s="107"/>
      <c r="JPJ5" s="107"/>
      <c r="JPK5" s="107"/>
      <c r="JPL5" s="107"/>
      <c r="JPM5" s="107"/>
      <c r="JPN5" s="107"/>
      <c r="JPO5" s="107"/>
      <c r="JPP5" s="107"/>
      <c r="JPQ5" s="107"/>
      <c r="JPR5" s="107"/>
      <c r="JPS5" s="107"/>
      <c r="JPT5" s="107"/>
      <c r="JPU5" s="107"/>
      <c r="JPV5" s="107"/>
      <c r="JPW5" s="107"/>
      <c r="JPX5" s="107"/>
      <c r="JPY5" s="107"/>
      <c r="JPZ5" s="107"/>
      <c r="JQA5" s="107"/>
      <c r="JQB5" s="107"/>
      <c r="JQC5" s="107"/>
      <c r="JQD5" s="107"/>
      <c r="JQE5" s="107"/>
      <c r="JQF5" s="107"/>
      <c r="JQG5" s="107"/>
      <c r="JQH5" s="107"/>
      <c r="JQI5" s="107"/>
      <c r="JQJ5" s="107"/>
      <c r="JQK5" s="107"/>
      <c r="JQL5" s="107"/>
      <c r="JQM5" s="107"/>
      <c r="JQN5" s="107"/>
      <c r="JQO5" s="107"/>
      <c r="JQP5" s="107"/>
      <c r="JQQ5" s="107"/>
      <c r="JQR5" s="107"/>
      <c r="JQS5" s="107"/>
      <c r="JQT5" s="107"/>
      <c r="JQU5" s="107"/>
      <c r="JQV5" s="107"/>
      <c r="JQW5" s="107"/>
      <c r="JQX5" s="107"/>
      <c r="JQY5" s="107"/>
      <c r="JQZ5" s="107"/>
      <c r="JRA5" s="107"/>
      <c r="JRB5" s="107"/>
      <c r="JRC5" s="107"/>
      <c r="JRD5" s="107"/>
      <c r="JRE5" s="107"/>
      <c r="JRF5" s="107"/>
      <c r="JRG5" s="107"/>
      <c r="JRH5" s="107"/>
      <c r="JRI5" s="107"/>
      <c r="JRJ5" s="107"/>
      <c r="JRK5" s="107"/>
      <c r="JRL5" s="107"/>
      <c r="JRM5" s="107"/>
      <c r="JRN5" s="107"/>
      <c r="JRO5" s="107"/>
      <c r="JRP5" s="107"/>
      <c r="JRQ5" s="107"/>
      <c r="JRR5" s="107"/>
      <c r="JRS5" s="107"/>
      <c r="JRT5" s="107"/>
      <c r="JRU5" s="107"/>
      <c r="JRV5" s="107"/>
      <c r="JRW5" s="107"/>
      <c r="JRX5" s="107"/>
      <c r="JRY5" s="107"/>
      <c r="JRZ5" s="107"/>
      <c r="JSA5" s="107"/>
      <c r="JSB5" s="107"/>
      <c r="JSC5" s="107"/>
      <c r="JSD5" s="107"/>
      <c r="JSE5" s="107"/>
      <c r="JSF5" s="107"/>
      <c r="JSG5" s="107"/>
      <c r="JSH5" s="107"/>
      <c r="JSI5" s="107"/>
      <c r="JSJ5" s="107"/>
      <c r="JSK5" s="107"/>
      <c r="JSL5" s="107"/>
      <c r="JSM5" s="107"/>
      <c r="JSN5" s="107"/>
      <c r="JSO5" s="107"/>
      <c r="JSP5" s="107"/>
      <c r="JSQ5" s="107"/>
      <c r="JSR5" s="107"/>
      <c r="JSS5" s="107"/>
      <c r="JST5" s="107"/>
      <c r="JSU5" s="107"/>
      <c r="JSV5" s="107"/>
      <c r="JSW5" s="107"/>
      <c r="JSX5" s="107"/>
      <c r="JSY5" s="107"/>
      <c r="JSZ5" s="107"/>
      <c r="JTA5" s="107"/>
      <c r="JTB5" s="107"/>
      <c r="JTC5" s="107"/>
      <c r="JTD5" s="107"/>
      <c r="JTE5" s="107"/>
      <c r="JTF5" s="107"/>
      <c r="JTG5" s="107"/>
      <c r="JTH5" s="107"/>
      <c r="JTI5" s="107"/>
      <c r="JTJ5" s="107"/>
      <c r="JTK5" s="107"/>
      <c r="JTL5" s="107"/>
      <c r="JTM5" s="107"/>
      <c r="JTN5" s="107"/>
      <c r="JTO5" s="107"/>
      <c r="JTP5" s="107"/>
      <c r="JTQ5" s="107"/>
      <c r="JTR5" s="107"/>
      <c r="JTS5" s="107"/>
      <c r="JTT5" s="107"/>
      <c r="JTU5" s="107"/>
      <c r="JTV5" s="107"/>
      <c r="JTW5" s="107"/>
      <c r="JTX5" s="107"/>
      <c r="JTY5" s="107"/>
      <c r="JTZ5" s="107"/>
      <c r="JUA5" s="107"/>
      <c r="JUB5" s="107"/>
      <c r="JUC5" s="107"/>
      <c r="JUD5" s="107"/>
      <c r="JUE5" s="107"/>
      <c r="JUF5" s="107"/>
      <c r="JUG5" s="107"/>
      <c r="JUH5" s="107"/>
      <c r="JUI5" s="107"/>
      <c r="JUJ5" s="107"/>
      <c r="JUK5" s="107"/>
      <c r="JUL5" s="107"/>
      <c r="JUM5" s="107"/>
      <c r="JUN5" s="107"/>
      <c r="JUO5" s="107"/>
      <c r="JUP5" s="107"/>
      <c r="JUQ5" s="107"/>
      <c r="JUR5" s="107"/>
      <c r="JUS5" s="107"/>
      <c r="JUT5" s="107"/>
      <c r="JUU5" s="107"/>
      <c r="JUV5" s="107"/>
      <c r="JUW5" s="107"/>
      <c r="JUX5" s="107"/>
      <c r="JUY5" s="107"/>
      <c r="JUZ5" s="107"/>
      <c r="JVA5" s="107"/>
      <c r="JVB5" s="107"/>
      <c r="JVC5" s="107"/>
      <c r="JVD5" s="107"/>
      <c r="JVE5" s="107"/>
      <c r="JVF5" s="107"/>
      <c r="JVG5" s="107"/>
      <c r="JVH5" s="107"/>
      <c r="JVI5" s="107"/>
      <c r="JVJ5" s="107"/>
      <c r="JVK5" s="107"/>
      <c r="JVL5" s="107"/>
      <c r="JVM5" s="107"/>
      <c r="JVN5" s="107"/>
      <c r="JVO5" s="107"/>
      <c r="JVP5" s="107"/>
      <c r="JVQ5" s="107"/>
      <c r="JVR5" s="107"/>
      <c r="JVS5" s="107"/>
      <c r="JVT5" s="107"/>
      <c r="JVU5" s="107"/>
      <c r="JVV5" s="107"/>
      <c r="JVW5" s="107"/>
      <c r="JVX5" s="107"/>
      <c r="JVY5" s="107"/>
      <c r="JVZ5" s="107"/>
      <c r="JWA5" s="107"/>
      <c r="JWB5" s="107"/>
      <c r="JWC5" s="107"/>
      <c r="JWD5" s="107"/>
      <c r="JWE5" s="107"/>
      <c r="JWF5" s="107"/>
      <c r="JWG5" s="107"/>
      <c r="JWH5" s="107"/>
      <c r="JWI5" s="107"/>
      <c r="JWJ5" s="107"/>
      <c r="JWK5" s="107"/>
      <c r="JWL5" s="107"/>
      <c r="JWM5" s="107"/>
      <c r="JWN5" s="107"/>
      <c r="JWO5" s="107"/>
      <c r="JWP5" s="107"/>
      <c r="JWQ5" s="107"/>
      <c r="JWR5" s="107"/>
      <c r="JWS5" s="107"/>
      <c r="JWT5" s="107"/>
      <c r="JWU5" s="107"/>
      <c r="JWV5" s="107"/>
      <c r="JWW5" s="107"/>
      <c r="JWX5" s="107"/>
      <c r="JWY5" s="107"/>
      <c r="JWZ5" s="107"/>
      <c r="JXA5" s="107"/>
      <c r="JXB5" s="107"/>
      <c r="JXC5" s="107"/>
      <c r="JXD5" s="107"/>
      <c r="JXE5" s="107"/>
      <c r="JXF5" s="107"/>
      <c r="JXG5" s="107"/>
      <c r="JXH5" s="107"/>
      <c r="JXI5" s="107"/>
      <c r="JXJ5" s="107"/>
      <c r="JXK5" s="107"/>
      <c r="JXL5" s="107"/>
      <c r="JXM5" s="107"/>
      <c r="JXN5" s="107"/>
      <c r="JXO5" s="107"/>
      <c r="JXP5" s="107"/>
      <c r="JXQ5" s="107"/>
      <c r="JXR5" s="107"/>
      <c r="JXS5" s="107"/>
      <c r="JXT5" s="107"/>
      <c r="JXU5" s="107"/>
      <c r="JXV5" s="107"/>
      <c r="JXW5" s="107"/>
      <c r="JXX5" s="107"/>
      <c r="JXY5" s="107"/>
      <c r="JXZ5" s="107"/>
      <c r="JYA5" s="107"/>
      <c r="JYB5" s="107"/>
      <c r="JYC5" s="107"/>
      <c r="JYD5" s="107"/>
      <c r="JYE5" s="107"/>
      <c r="JYF5" s="107"/>
      <c r="JYG5" s="107"/>
      <c r="JYH5" s="107"/>
      <c r="JYI5" s="107"/>
      <c r="JYJ5" s="107"/>
      <c r="JYK5" s="107"/>
      <c r="JYL5" s="107"/>
      <c r="JYM5" s="107"/>
      <c r="JYN5" s="107"/>
      <c r="JYO5" s="107"/>
      <c r="JYP5" s="107"/>
      <c r="JYQ5" s="107"/>
      <c r="JYR5" s="107"/>
      <c r="JYS5" s="107"/>
      <c r="JYT5" s="107"/>
      <c r="JYU5" s="107"/>
      <c r="JYV5" s="107"/>
      <c r="JYW5" s="107"/>
      <c r="JYX5" s="107"/>
      <c r="JYY5" s="107"/>
      <c r="JYZ5" s="107"/>
      <c r="JZA5" s="107"/>
      <c r="JZB5" s="107"/>
      <c r="JZC5" s="107"/>
      <c r="JZD5" s="107"/>
      <c r="JZE5" s="107"/>
      <c r="JZF5" s="107"/>
      <c r="JZG5" s="107"/>
      <c r="JZH5" s="107"/>
      <c r="JZI5" s="107"/>
      <c r="JZJ5" s="107"/>
      <c r="JZK5" s="107"/>
      <c r="JZL5" s="107"/>
      <c r="JZM5" s="107"/>
      <c r="JZN5" s="107"/>
      <c r="JZO5" s="107"/>
      <c r="JZP5" s="107"/>
      <c r="JZQ5" s="107"/>
      <c r="JZR5" s="107"/>
      <c r="JZS5" s="107"/>
      <c r="JZT5" s="107"/>
      <c r="JZU5" s="107"/>
      <c r="JZV5" s="107"/>
      <c r="JZW5" s="107"/>
      <c r="JZX5" s="107"/>
      <c r="JZY5" s="107"/>
      <c r="JZZ5" s="107"/>
      <c r="KAA5" s="107"/>
      <c r="KAB5" s="107"/>
      <c r="KAC5" s="107"/>
      <c r="KAD5" s="107"/>
      <c r="KAE5" s="107"/>
      <c r="KAF5" s="107"/>
      <c r="KAG5" s="107"/>
      <c r="KAH5" s="107"/>
      <c r="KAI5" s="107"/>
      <c r="KAJ5" s="107"/>
      <c r="KAK5" s="107"/>
      <c r="KAL5" s="107"/>
      <c r="KAM5" s="107"/>
      <c r="KAN5" s="107"/>
      <c r="KAO5" s="107"/>
      <c r="KAP5" s="107"/>
      <c r="KAQ5" s="107"/>
      <c r="KAR5" s="107"/>
      <c r="KAS5" s="107"/>
      <c r="KAT5" s="107"/>
      <c r="KAU5" s="107"/>
      <c r="KAV5" s="107"/>
      <c r="KAW5" s="107"/>
      <c r="KAX5" s="107"/>
      <c r="KAY5" s="107"/>
      <c r="KAZ5" s="107"/>
      <c r="KBA5" s="107"/>
      <c r="KBB5" s="107"/>
      <c r="KBC5" s="107"/>
      <c r="KBD5" s="107"/>
      <c r="KBE5" s="107"/>
      <c r="KBF5" s="107"/>
      <c r="KBG5" s="107"/>
      <c r="KBH5" s="107"/>
      <c r="KBI5" s="107"/>
      <c r="KBJ5" s="107"/>
      <c r="KBK5" s="107"/>
      <c r="KBL5" s="107"/>
      <c r="KBM5" s="107"/>
      <c r="KBN5" s="107"/>
      <c r="KBO5" s="107"/>
      <c r="KBP5" s="107"/>
      <c r="KBQ5" s="107"/>
      <c r="KBR5" s="107"/>
      <c r="KBS5" s="107"/>
      <c r="KBT5" s="107"/>
      <c r="KBU5" s="107"/>
      <c r="KBV5" s="107"/>
      <c r="KBW5" s="107"/>
      <c r="KBX5" s="107"/>
      <c r="KBY5" s="107"/>
      <c r="KBZ5" s="107"/>
      <c r="KCA5" s="107"/>
      <c r="KCB5" s="107"/>
      <c r="KCC5" s="107"/>
      <c r="KCD5" s="107"/>
      <c r="KCE5" s="107"/>
      <c r="KCF5" s="107"/>
      <c r="KCG5" s="107"/>
      <c r="KCH5" s="107"/>
      <c r="KCI5" s="107"/>
      <c r="KCJ5" s="107"/>
      <c r="KCK5" s="107"/>
      <c r="KCL5" s="107"/>
      <c r="KCM5" s="107"/>
      <c r="KCN5" s="107"/>
      <c r="KCO5" s="107"/>
      <c r="KCP5" s="107"/>
      <c r="KCQ5" s="107"/>
      <c r="KCR5" s="107"/>
      <c r="KCS5" s="107"/>
      <c r="KCT5" s="107"/>
      <c r="KCU5" s="107"/>
      <c r="KCV5" s="107"/>
      <c r="KCW5" s="107"/>
      <c r="KCX5" s="107"/>
      <c r="KCY5" s="107"/>
      <c r="KCZ5" s="107"/>
      <c r="KDA5" s="107"/>
      <c r="KDB5" s="107"/>
      <c r="KDC5" s="107"/>
      <c r="KDD5" s="107"/>
      <c r="KDE5" s="107"/>
      <c r="KDF5" s="107"/>
      <c r="KDG5" s="107"/>
      <c r="KDH5" s="107"/>
      <c r="KDI5" s="107"/>
      <c r="KDJ5" s="107"/>
      <c r="KDK5" s="107"/>
      <c r="KDL5" s="107"/>
      <c r="KDM5" s="107"/>
      <c r="KDN5" s="107"/>
      <c r="KDO5" s="107"/>
      <c r="KDP5" s="107"/>
      <c r="KDQ5" s="107"/>
      <c r="KDR5" s="107"/>
      <c r="KDS5" s="107"/>
      <c r="KDT5" s="107"/>
      <c r="KDU5" s="107"/>
      <c r="KDV5" s="107"/>
      <c r="KDW5" s="107"/>
      <c r="KDX5" s="107"/>
      <c r="KDY5" s="107"/>
      <c r="KDZ5" s="107"/>
      <c r="KEA5" s="107"/>
      <c r="KEB5" s="107"/>
      <c r="KEC5" s="107"/>
      <c r="KED5" s="107"/>
      <c r="KEE5" s="107"/>
      <c r="KEF5" s="107"/>
      <c r="KEG5" s="107"/>
      <c r="KEH5" s="107"/>
      <c r="KEI5" s="107"/>
      <c r="KEJ5" s="107"/>
      <c r="KEK5" s="107"/>
      <c r="KEL5" s="107"/>
      <c r="KEM5" s="107"/>
      <c r="KEN5" s="107"/>
      <c r="KEO5" s="107"/>
      <c r="KEP5" s="107"/>
      <c r="KEQ5" s="107"/>
      <c r="KER5" s="107"/>
      <c r="KES5" s="107"/>
      <c r="KET5" s="107"/>
      <c r="KEU5" s="107"/>
      <c r="KEV5" s="107"/>
      <c r="KEW5" s="107"/>
      <c r="KEX5" s="107"/>
      <c r="KEY5" s="107"/>
      <c r="KEZ5" s="107"/>
      <c r="KFA5" s="107"/>
      <c r="KFB5" s="107"/>
      <c r="KFC5" s="107"/>
      <c r="KFD5" s="107"/>
      <c r="KFE5" s="107"/>
      <c r="KFF5" s="107"/>
      <c r="KFG5" s="107"/>
      <c r="KFH5" s="107"/>
      <c r="KFI5" s="107"/>
      <c r="KFJ5" s="107"/>
      <c r="KFK5" s="107"/>
      <c r="KFL5" s="107"/>
      <c r="KFM5" s="107"/>
      <c r="KFN5" s="107"/>
      <c r="KFO5" s="107"/>
      <c r="KFP5" s="107"/>
      <c r="KFQ5" s="107"/>
      <c r="KFR5" s="107"/>
      <c r="KFS5" s="107"/>
      <c r="KFT5" s="107"/>
      <c r="KFU5" s="107"/>
      <c r="KFV5" s="107"/>
      <c r="KFW5" s="107"/>
      <c r="KFX5" s="107"/>
      <c r="KFY5" s="107"/>
      <c r="KFZ5" s="107"/>
      <c r="KGA5" s="107"/>
      <c r="KGB5" s="107"/>
      <c r="KGC5" s="107"/>
      <c r="KGD5" s="107"/>
      <c r="KGE5" s="107"/>
      <c r="KGF5" s="107"/>
      <c r="KGG5" s="107"/>
      <c r="KGH5" s="107"/>
      <c r="KGI5" s="107"/>
      <c r="KGJ5" s="107"/>
      <c r="KGK5" s="107"/>
      <c r="KGL5" s="107"/>
      <c r="KGM5" s="107"/>
      <c r="KGN5" s="107"/>
      <c r="KGO5" s="107"/>
      <c r="KGP5" s="107"/>
      <c r="KGQ5" s="107"/>
      <c r="KGR5" s="107"/>
      <c r="KGS5" s="107"/>
      <c r="KGT5" s="107"/>
      <c r="KGU5" s="107"/>
      <c r="KGV5" s="107"/>
      <c r="KGW5" s="107"/>
      <c r="KGX5" s="107"/>
      <c r="KGY5" s="107"/>
      <c r="KGZ5" s="107"/>
      <c r="KHA5" s="107"/>
      <c r="KHB5" s="107"/>
      <c r="KHC5" s="107"/>
      <c r="KHD5" s="107"/>
      <c r="KHE5" s="107"/>
      <c r="KHF5" s="107"/>
      <c r="KHG5" s="107"/>
      <c r="KHH5" s="107"/>
      <c r="KHI5" s="107"/>
      <c r="KHJ5" s="107"/>
      <c r="KHK5" s="107"/>
      <c r="KHL5" s="107"/>
      <c r="KHM5" s="107"/>
      <c r="KHN5" s="107"/>
      <c r="KHO5" s="107"/>
      <c r="KHP5" s="107"/>
      <c r="KHQ5" s="107"/>
      <c r="KHR5" s="107"/>
      <c r="KHS5" s="107"/>
      <c r="KHT5" s="107"/>
      <c r="KHU5" s="107"/>
      <c r="KHV5" s="107"/>
      <c r="KHW5" s="107"/>
      <c r="KHX5" s="107"/>
      <c r="KHY5" s="107"/>
      <c r="KHZ5" s="107"/>
      <c r="KIA5" s="107"/>
      <c r="KIB5" s="107"/>
      <c r="KIC5" s="107"/>
      <c r="KID5" s="107"/>
      <c r="KIE5" s="107"/>
      <c r="KIF5" s="107"/>
      <c r="KIG5" s="107"/>
      <c r="KIH5" s="107"/>
      <c r="KII5" s="107"/>
      <c r="KIJ5" s="107"/>
      <c r="KIK5" s="107"/>
      <c r="KIL5" s="107"/>
      <c r="KIM5" s="107"/>
      <c r="KIN5" s="107"/>
      <c r="KIO5" s="107"/>
      <c r="KIP5" s="107"/>
      <c r="KIQ5" s="107"/>
      <c r="KIR5" s="107"/>
      <c r="KIS5" s="107"/>
      <c r="KIT5" s="107"/>
      <c r="KIU5" s="107"/>
      <c r="KIV5" s="107"/>
      <c r="KIW5" s="107"/>
      <c r="KIX5" s="107"/>
      <c r="KIY5" s="107"/>
      <c r="KIZ5" s="107"/>
      <c r="KJA5" s="107"/>
      <c r="KJB5" s="107"/>
      <c r="KJC5" s="107"/>
      <c r="KJD5" s="107"/>
      <c r="KJE5" s="107"/>
      <c r="KJF5" s="107"/>
      <c r="KJG5" s="107"/>
      <c r="KJH5" s="107"/>
      <c r="KJI5" s="107"/>
      <c r="KJJ5" s="107"/>
      <c r="KJK5" s="107"/>
      <c r="KJL5" s="107"/>
      <c r="KJM5" s="107"/>
      <c r="KJN5" s="107"/>
      <c r="KJO5" s="107"/>
      <c r="KJP5" s="107"/>
      <c r="KJQ5" s="107"/>
      <c r="KJR5" s="107"/>
      <c r="KJS5" s="107"/>
      <c r="KJT5" s="107"/>
      <c r="KJU5" s="107"/>
      <c r="KJV5" s="107"/>
      <c r="KJW5" s="107"/>
      <c r="KJX5" s="107"/>
      <c r="KJY5" s="107"/>
      <c r="KJZ5" s="107"/>
      <c r="KKA5" s="107"/>
      <c r="KKB5" s="107"/>
      <c r="KKC5" s="107"/>
      <c r="KKD5" s="107"/>
      <c r="KKE5" s="107"/>
      <c r="KKF5" s="107"/>
      <c r="KKG5" s="107"/>
      <c r="KKH5" s="107"/>
      <c r="KKI5" s="107"/>
      <c r="KKJ5" s="107"/>
      <c r="KKK5" s="107"/>
      <c r="KKL5" s="107"/>
      <c r="KKM5" s="107"/>
      <c r="KKN5" s="107"/>
      <c r="KKO5" s="107"/>
      <c r="KKP5" s="107"/>
      <c r="KKQ5" s="107"/>
      <c r="KKR5" s="107"/>
      <c r="KKS5" s="107"/>
      <c r="KKT5" s="107"/>
      <c r="KKU5" s="107"/>
      <c r="KKV5" s="107"/>
      <c r="KKW5" s="107"/>
      <c r="KKX5" s="107"/>
      <c r="KKY5" s="107"/>
      <c r="KKZ5" s="107"/>
      <c r="KLA5" s="107"/>
      <c r="KLB5" s="107"/>
      <c r="KLC5" s="107"/>
      <c r="KLD5" s="107"/>
      <c r="KLE5" s="107"/>
      <c r="KLF5" s="107"/>
      <c r="KLG5" s="107"/>
      <c r="KLH5" s="107"/>
      <c r="KLI5" s="107"/>
      <c r="KLJ5" s="107"/>
      <c r="KLK5" s="107"/>
      <c r="KLL5" s="107"/>
      <c r="KLM5" s="107"/>
      <c r="KLN5" s="107"/>
      <c r="KLO5" s="107"/>
      <c r="KLP5" s="107"/>
      <c r="KLQ5" s="107"/>
      <c r="KLR5" s="107"/>
      <c r="KLS5" s="107"/>
      <c r="KLT5" s="107"/>
      <c r="KLU5" s="107"/>
      <c r="KLV5" s="107"/>
      <c r="KLW5" s="107"/>
      <c r="KLX5" s="107"/>
      <c r="KLY5" s="107"/>
      <c r="KLZ5" s="107"/>
      <c r="KMA5" s="107"/>
      <c r="KMB5" s="107"/>
      <c r="KMC5" s="107"/>
      <c r="KMD5" s="107"/>
      <c r="KME5" s="107"/>
      <c r="KMF5" s="107"/>
      <c r="KMG5" s="107"/>
      <c r="KMH5" s="107"/>
      <c r="KMI5" s="107"/>
      <c r="KMJ5" s="107"/>
      <c r="KMK5" s="107"/>
      <c r="KML5" s="107"/>
      <c r="KMM5" s="107"/>
      <c r="KMN5" s="107"/>
      <c r="KMO5" s="107"/>
      <c r="KMP5" s="107"/>
      <c r="KMQ5" s="107"/>
      <c r="KMR5" s="107"/>
      <c r="KMS5" s="107"/>
      <c r="KMT5" s="107"/>
      <c r="KMU5" s="107"/>
      <c r="KMV5" s="107"/>
      <c r="KMW5" s="107"/>
      <c r="KMX5" s="107"/>
      <c r="KMY5" s="107"/>
      <c r="KMZ5" s="107"/>
      <c r="KNA5" s="107"/>
      <c r="KNB5" s="107"/>
      <c r="KNC5" s="107"/>
      <c r="KND5" s="107"/>
      <c r="KNE5" s="107"/>
      <c r="KNF5" s="107"/>
      <c r="KNG5" s="107"/>
      <c r="KNH5" s="107"/>
      <c r="KNI5" s="107"/>
      <c r="KNJ5" s="107"/>
      <c r="KNK5" s="107"/>
      <c r="KNL5" s="107"/>
      <c r="KNM5" s="107"/>
      <c r="KNN5" s="107"/>
      <c r="KNO5" s="107"/>
      <c r="KNP5" s="107"/>
      <c r="KNQ5" s="107"/>
      <c r="KNR5" s="107"/>
      <c r="KNS5" s="107"/>
      <c r="KNT5" s="107"/>
      <c r="KNU5" s="107"/>
      <c r="KNV5" s="107"/>
      <c r="KNW5" s="107"/>
      <c r="KNX5" s="107"/>
      <c r="KNY5" s="107"/>
      <c r="KNZ5" s="107"/>
      <c r="KOA5" s="107"/>
      <c r="KOB5" s="107"/>
      <c r="KOC5" s="107"/>
      <c r="KOD5" s="107"/>
      <c r="KOE5" s="107"/>
      <c r="KOF5" s="107"/>
      <c r="KOG5" s="107"/>
      <c r="KOH5" s="107"/>
      <c r="KOI5" s="107"/>
      <c r="KOJ5" s="107"/>
      <c r="KOK5" s="107"/>
      <c r="KOL5" s="107"/>
      <c r="KOM5" s="107"/>
      <c r="KON5" s="107"/>
      <c r="KOO5" s="107"/>
      <c r="KOP5" s="107"/>
      <c r="KOQ5" s="107"/>
      <c r="KOR5" s="107"/>
      <c r="KOS5" s="107"/>
      <c r="KOT5" s="107"/>
      <c r="KOU5" s="107"/>
      <c r="KOV5" s="107"/>
      <c r="KOW5" s="107"/>
      <c r="KOX5" s="107"/>
      <c r="KOY5" s="107"/>
      <c r="KOZ5" s="107"/>
      <c r="KPA5" s="107"/>
      <c r="KPB5" s="107"/>
      <c r="KPC5" s="107"/>
      <c r="KPD5" s="107"/>
      <c r="KPE5" s="107"/>
      <c r="KPF5" s="107"/>
      <c r="KPG5" s="107"/>
      <c r="KPH5" s="107"/>
      <c r="KPI5" s="107"/>
      <c r="KPJ5" s="107"/>
      <c r="KPK5" s="107"/>
      <c r="KPL5" s="107"/>
      <c r="KPM5" s="107"/>
      <c r="KPN5" s="107"/>
      <c r="KPO5" s="107"/>
      <c r="KPP5" s="107"/>
      <c r="KPQ5" s="107"/>
      <c r="KPR5" s="107"/>
      <c r="KPS5" s="107"/>
      <c r="KPT5" s="107"/>
      <c r="KPU5" s="107"/>
      <c r="KPV5" s="107"/>
      <c r="KPW5" s="107"/>
      <c r="KPX5" s="107"/>
      <c r="KPY5" s="107"/>
      <c r="KPZ5" s="107"/>
      <c r="KQA5" s="107"/>
      <c r="KQB5" s="107"/>
      <c r="KQC5" s="107"/>
      <c r="KQD5" s="107"/>
      <c r="KQE5" s="107"/>
      <c r="KQF5" s="107"/>
      <c r="KQG5" s="107"/>
      <c r="KQH5" s="107"/>
      <c r="KQI5" s="107"/>
      <c r="KQJ5" s="107"/>
      <c r="KQK5" s="107"/>
      <c r="KQL5" s="107"/>
      <c r="KQM5" s="107"/>
      <c r="KQN5" s="107"/>
      <c r="KQO5" s="107"/>
      <c r="KQP5" s="107"/>
      <c r="KQQ5" s="107"/>
      <c r="KQR5" s="107"/>
      <c r="KQS5" s="107"/>
      <c r="KQT5" s="107"/>
      <c r="KQU5" s="107"/>
      <c r="KQV5" s="107"/>
      <c r="KQW5" s="107"/>
      <c r="KQX5" s="107"/>
      <c r="KQY5" s="107"/>
      <c r="KQZ5" s="107"/>
      <c r="KRA5" s="107"/>
      <c r="KRB5" s="107"/>
      <c r="KRC5" s="107"/>
      <c r="KRD5" s="107"/>
      <c r="KRE5" s="107"/>
      <c r="KRF5" s="107"/>
      <c r="KRG5" s="107"/>
      <c r="KRH5" s="107"/>
      <c r="KRI5" s="107"/>
      <c r="KRJ5" s="107"/>
      <c r="KRK5" s="107"/>
      <c r="KRL5" s="107"/>
      <c r="KRM5" s="107"/>
      <c r="KRN5" s="107"/>
      <c r="KRO5" s="107"/>
      <c r="KRP5" s="107"/>
      <c r="KRQ5" s="107"/>
      <c r="KRR5" s="107"/>
      <c r="KRS5" s="107"/>
      <c r="KRT5" s="107"/>
      <c r="KRU5" s="107"/>
      <c r="KRV5" s="107"/>
      <c r="KRW5" s="107"/>
      <c r="KRX5" s="107"/>
      <c r="KRY5" s="107"/>
      <c r="KRZ5" s="107"/>
      <c r="KSA5" s="107"/>
      <c r="KSB5" s="107"/>
      <c r="KSC5" s="107"/>
      <c r="KSD5" s="107"/>
      <c r="KSE5" s="107"/>
      <c r="KSF5" s="107"/>
      <c r="KSG5" s="107"/>
      <c r="KSH5" s="107"/>
      <c r="KSI5" s="107"/>
      <c r="KSJ5" s="107"/>
      <c r="KSK5" s="107"/>
      <c r="KSL5" s="107"/>
      <c r="KSM5" s="107"/>
      <c r="KSN5" s="107"/>
      <c r="KSO5" s="107"/>
      <c r="KSP5" s="107"/>
      <c r="KSQ5" s="107"/>
      <c r="KSR5" s="107"/>
      <c r="KSS5" s="107"/>
      <c r="KST5" s="107"/>
      <c r="KSU5" s="107"/>
      <c r="KSV5" s="107"/>
      <c r="KSW5" s="107"/>
      <c r="KSX5" s="107"/>
      <c r="KSY5" s="107"/>
      <c r="KSZ5" s="107"/>
      <c r="KTA5" s="107"/>
      <c r="KTB5" s="107"/>
      <c r="KTC5" s="107"/>
      <c r="KTD5" s="107"/>
      <c r="KTE5" s="107"/>
      <c r="KTF5" s="107"/>
      <c r="KTG5" s="107"/>
      <c r="KTH5" s="107"/>
      <c r="KTI5" s="107"/>
      <c r="KTJ5" s="107"/>
      <c r="KTK5" s="107"/>
      <c r="KTL5" s="107"/>
      <c r="KTM5" s="107"/>
      <c r="KTN5" s="107"/>
      <c r="KTO5" s="107"/>
      <c r="KTP5" s="107"/>
      <c r="KTQ5" s="107"/>
      <c r="KTR5" s="107"/>
      <c r="KTS5" s="107"/>
      <c r="KTT5" s="107"/>
      <c r="KTU5" s="107"/>
      <c r="KTV5" s="107"/>
      <c r="KTW5" s="107"/>
      <c r="KTX5" s="107"/>
      <c r="KTY5" s="107"/>
      <c r="KTZ5" s="107"/>
      <c r="KUA5" s="107"/>
      <c r="KUB5" s="107"/>
      <c r="KUC5" s="107"/>
      <c r="KUD5" s="107"/>
      <c r="KUE5" s="107"/>
      <c r="KUF5" s="107"/>
      <c r="KUG5" s="107"/>
      <c r="KUH5" s="107"/>
      <c r="KUI5" s="107"/>
      <c r="KUJ5" s="107"/>
      <c r="KUK5" s="107"/>
      <c r="KUL5" s="107"/>
      <c r="KUM5" s="107"/>
      <c r="KUN5" s="107"/>
      <c r="KUO5" s="107"/>
      <c r="KUP5" s="107"/>
      <c r="KUQ5" s="107"/>
      <c r="KUR5" s="107"/>
      <c r="KUS5" s="107"/>
      <c r="KUT5" s="107"/>
      <c r="KUU5" s="107"/>
      <c r="KUV5" s="107"/>
      <c r="KUW5" s="107"/>
      <c r="KUX5" s="107"/>
      <c r="KUY5" s="107"/>
      <c r="KUZ5" s="107"/>
      <c r="KVA5" s="107"/>
      <c r="KVB5" s="107"/>
      <c r="KVC5" s="107"/>
      <c r="KVD5" s="107"/>
      <c r="KVE5" s="107"/>
      <c r="KVF5" s="107"/>
      <c r="KVG5" s="107"/>
      <c r="KVH5" s="107"/>
      <c r="KVI5" s="107"/>
      <c r="KVJ5" s="107"/>
      <c r="KVK5" s="107"/>
      <c r="KVL5" s="107"/>
      <c r="KVM5" s="107"/>
      <c r="KVN5" s="107"/>
      <c r="KVO5" s="107"/>
      <c r="KVP5" s="107"/>
      <c r="KVQ5" s="107"/>
      <c r="KVR5" s="107"/>
      <c r="KVS5" s="107"/>
      <c r="KVT5" s="107"/>
      <c r="KVU5" s="107"/>
      <c r="KVV5" s="107"/>
      <c r="KVW5" s="107"/>
      <c r="KVX5" s="107"/>
      <c r="KVY5" s="107"/>
      <c r="KVZ5" s="107"/>
      <c r="KWA5" s="107"/>
      <c r="KWB5" s="107"/>
      <c r="KWC5" s="107"/>
      <c r="KWD5" s="107"/>
      <c r="KWE5" s="107"/>
      <c r="KWF5" s="107"/>
      <c r="KWG5" s="107"/>
      <c r="KWH5" s="107"/>
      <c r="KWI5" s="107"/>
      <c r="KWJ5" s="107"/>
      <c r="KWK5" s="107"/>
      <c r="KWL5" s="107"/>
      <c r="KWM5" s="107"/>
      <c r="KWN5" s="107"/>
      <c r="KWO5" s="107"/>
      <c r="KWP5" s="107"/>
      <c r="KWQ5" s="107"/>
      <c r="KWR5" s="107"/>
      <c r="KWS5" s="107"/>
      <c r="KWT5" s="107"/>
      <c r="KWU5" s="107"/>
      <c r="KWV5" s="107"/>
      <c r="KWW5" s="107"/>
      <c r="KWX5" s="107"/>
      <c r="KWY5" s="107"/>
      <c r="KWZ5" s="107"/>
      <c r="KXA5" s="107"/>
      <c r="KXB5" s="107"/>
      <c r="KXC5" s="107"/>
      <c r="KXD5" s="107"/>
      <c r="KXE5" s="107"/>
      <c r="KXF5" s="107"/>
      <c r="KXG5" s="107"/>
      <c r="KXH5" s="107"/>
      <c r="KXI5" s="107"/>
      <c r="KXJ5" s="107"/>
      <c r="KXK5" s="107"/>
      <c r="KXL5" s="107"/>
      <c r="KXM5" s="107"/>
      <c r="KXN5" s="107"/>
      <c r="KXO5" s="107"/>
      <c r="KXP5" s="107"/>
      <c r="KXQ5" s="107"/>
      <c r="KXR5" s="107"/>
      <c r="KXS5" s="107"/>
      <c r="KXT5" s="107"/>
      <c r="KXU5" s="107"/>
      <c r="KXV5" s="107"/>
      <c r="KXW5" s="107"/>
      <c r="KXX5" s="107"/>
      <c r="KXY5" s="107"/>
      <c r="KXZ5" s="107"/>
      <c r="KYA5" s="107"/>
      <c r="KYB5" s="107"/>
      <c r="KYC5" s="107"/>
      <c r="KYD5" s="107"/>
      <c r="KYE5" s="107"/>
      <c r="KYF5" s="107"/>
      <c r="KYG5" s="107"/>
      <c r="KYH5" s="107"/>
      <c r="KYI5" s="107"/>
      <c r="KYJ5" s="107"/>
      <c r="KYK5" s="107"/>
      <c r="KYL5" s="107"/>
      <c r="KYM5" s="107"/>
      <c r="KYN5" s="107"/>
      <c r="KYO5" s="107"/>
      <c r="KYP5" s="107"/>
      <c r="KYQ5" s="107"/>
      <c r="KYR5" s="107"/>
      <c r="KYS5" s="107"/>
      <c r="KYT5" s="107"/>
      <c r="KYU5" s="107"/>
      <c r="KYV5" s="107"/>
      <c r="KYW5" s="107"/>
      <c r="KYX5" s="107"/>
      <c r="KYY5" s="107"/>
      <c r="KYZ5" s="107"/>
      <c r="KZA5" s="107"/>
      <c r="KZB5" s="107"/>
      <c r="KZC5" s="107"/>
      <c r="KZD5" s="107"/>
      <c r="KZE5" s="107"/>
      <c r="KZF5" s="107"/>
      <c r="KZG5" s="107"/>
      <c r="KZH5" s="107"/>
      <c r="KZI5" s="107"/>
      <c r="KZJ5" s="107"/>
      <c r="KZK5" s="107"/>
      <c r="KZL5" s="107"/>
      <c r="KZM5" s="107"/>
      <c r="KZN5" s="107"/>
      <c r="KZO5" s="107"/>
      <c r="KZP5" s="107"/>
      <c r="KZQ5" s="107"/>
      <c r="KZR5" s="107"/>
      <c r="KZS5" s="107"/>
      <c r="KZT5" s="107"/>
      <c r="KZU5" s="107"/>
      <c r="KZV5" s="107"/>
      <c r="KZW5" s="107"/>
      <c r="KZX5" s="107"/>
      <c r="KZY5" s="107"/>
      <c r="KZZ5" s="107"/>
      <c r="LAA5" s="107"/>
      <c r="LAB5" s="107"/>
      <c r="LAC5" s="107"/>
      <c r="LAD5" s="107"/>
      <c r="LAE5" s="107"/>
      <c r="LAF5" s="107"/>
      <c r="LAG5" s="107"/>
      <c r="LAH5" s="107"/>
      <c r="LAI5" s="107"/>
      <c r="LAJ5" s="107"/>
      <c r="LAK5" s="107"/>
      <c r="LAL5" s="107"/>
      <c r="LAM5" s="107"/>
      <c r="LAN5" s="107"/>
      <c r="LAO5" s="107"/>
      <c r="LAP5" s="107"/>
      <c r="LAQ5" s="107"/>
      <c r="LAR5" s="107"/>
      <c r="LAS5" s="107"/>
      <c r="LAT5" s="107"/>
      <c r="LAU5" s="107"/>
      <c r="LAV5" s="107"/>
      <c r="LAW5" s="107"/>
      <c r="LAX5" s="107"/>
      <c r="LAY5" s="107"/>
      <c r="LAZ5" s="107"/>
      <c r="LBA5" s="107"/>
      <c r="LBB5" s="107"/>
      <c r="LBC5" s="107"/>
      <c r="LBD5" s="107"/>
      <c r="LBE5" s="107"/>
      <c r="LBF5" s="107"/>
      <c r="LBG5" s="107"/>
      <c r="LBH5" s="107"/>
      <c r="LBI5" s="107"/>
      <c r="LBJ5" s="107"/>
      <c r="LBK5" s="107"/>
      <c r="LBL5" s="107"/>
      <c r="LBM5" s="107"/>
      <c r="LBN5" s="107"/>
      <c r="LBO5" s="107"/>
      <c r="LBP5" s="107"/>
      <c r="LBQ5" s="107"/>
      <c r="LBR5" s="107"/>
      <c r="LBS5" s="107"/>
      <c r="LBT5" s="107"/>
      <c r="LBU5" s="107"/>
      <c r="LBV5" s="107"/>
      <c r="LBW5" s="107"/>
      <c r="LBX5" s="107"/>
      <c r="LBY5" s="107"/>
      <c r="LBZ5" s="107"/>
      <c r="LCA5" s="107"/>
      <c r="LCB5" s="107"/>
      <c r="LCC5" s="107"/>
      <c r="LCD5" s="107"/>
      <c r="LCE5" s="107"/>
      <c r="LCF5" s="107"/>
      <c r="LCG5" s="107"/>
      <c r="LCH5" s="107"/>
      <c r="LCI5" s="107"/>
      <c r="LCJ5" s="107"/>
      <c r="LCK5" s="107"/>
      <c r="LCL5" s="107"/>
      <c r="LCM5" s="107"/>
      <c r="LCN5" s="107"/>
      <c r="LCO5" s="107"/>
      <c r="LCP5" s="107"/>
      <c r="LCQ5" s="107"/>
      <c r="LCR5" s="107"/>
      <c r="LCS5" s="107"/>
      <c r="LCT5" s="107"/>
      <c r="LCU5" s="107"/>
      <c r="LCV5" s="107"/>
      <c r="LCW5" s="107"/>
      <c r="LCX5" s="107"/>
      <c r="LCY5" s="107"/>
      <c r="LCZ5" s="107"/>
      <c r="LDA5" s="107"/>
      <c r="LDB5" s="107"/>
      <c r="LDC5" s="107"/>
      <c r="LDD5" s="107"/>
      <c r="LDE5" s="107"/>
      <c r="LDF5" s="107"/>
      <c r="LDG5" s="107"/>
      <c r="LDH5" s="107"/>
      <c r="LDI5" s="107"/>
      <c r="LDJ5" s="107"/>
      <c r="LDK5" s="107"/>
      <c r="LDL5" s="107"/>
      <c r="LDM5" s="107"/>
      <c r="LDN5" s="107"/>
      <c r="LDO5" s="107"/>
      <c r="LDP5" s="107"/>
      <c r="LDQ5" s="107"/>
      <c r="LDR5" s="107"/>
      <c r="LDS5" s="107"/>
      <c r="LDT5" s="107"/>
      <c r="LDU5" s="107"/>
      <c r="LDV5" s="107"/>
      <c r="LDW5" s="107"/>
      <c r="LDX5" s="107"/>
      <c r="LDY5" s="107"/>
      <c r="LDZ5" s="107"/>
      <c r="LEA5" s="107"/>
      <c r="LEB5" s="107"/>
      <c r="LEC5" s="107"/>
      <c r="LED5" s="107"/>
      <c r="LEE5" s="107"/>
      <c r="LEF5" s="107"/>
      <c r="LEG5" s="107"/>
      <c r="LEH5" s="107"/>
      <c r="LEI5" s="107"/>
      <c r="LEJ5" s="107"/>
      <c r="LEK5" s="107"/>
      <c r="LEL5" s="107"/>
      <c r="LEM5" s="107"/>
      <c r="LEN5" s="107"/>
      <c r="LEO5" s="107"/>
      <c r="LEP5" s="107"/>
      <c r="LEQ5" s="107"/>
      <c r="LER5" s="107"/>
      <c r="LES5" s="107"/>
      <c r="LET5" s="107"/>
      <c r="LEU5" s="107"/>
      <c r="LEV5" s="107"/>
      <c r="LEW5" s="107"/>
      <c r="LEX5" s="107"/>
      <c r="LEY5" s="107"/>
      <c r="LEZ5" s="107"/>
      <c r="LFA5" s="107"/>
      <c r="LFB5" s="107"/>
      <c r="LFC5" s="107"/>
      <c r="LFD5" s="107"/>
      <c r="LFE5" s="107"/>
      <c r="LFF5" s="107"/>
      <c r="LFG5" s="107"/>
      <c r="LFH5" s="107"/>
      <c r="LFI5" s="107"/>
      <c r="LFJ5" s="107"/>
      <c r="LFK5" s="107"/>
      <c r="LFL5" s="107"/>
      <c r="LFM5" s="107"/>
      <c r="LFN5" s="107"/>
      <c r="LFO5" s="107"/>
      <c r="LFP5" s="107"/>
      <c r="LFQ5" s="107"/>
      <c r="LFR5" s="107"/>
      <c r="LFS5" s="107"/>
      <c r="LFT5" s="107"/>
      <c r="LFU5" s="107"/>
      <c r="LFV5" s="107"/>
      <c r="LFW5" s="107"/>
      <c r="LFX5" s="107"/>
      <c r="LFY5" s="107"/>
      <c r="LFZ5" s="107"/>
      <c r="LGA5" s="107"/>
      <c r="LGB5" s="107"/>
      <c r="LGC5" s="107"/>
      <c r="LGD5" s="107"/>
      <c r="LGE5" s="107"/>
      <c r="LGF5" s="107"/>
      <c r="LGG5" s="107"/>
      <c r="LGH5" s="107"/>
      <c r="LGI5" s="107"/>
      <c r="LGJ5" s="107"/>
      <c r="LGK5" s="107"/>
      <c r="LGL5" s="107"/>
      <c r="LGM5" s="107"/>
      <c r="LGN5" s="107"/>
      <c r="LGO5" s="107"/>
      <c r="LGP5" s="107"/>
      <c r="LGQ5" s="107"/>
      <c r="LGR5" s="107"/>
      <c r="LGS5" s="107"/>
      <c r="LGT5" s="107"/>
      <c r="LGU5" s="107"/>
      <c r="LGV5" s="107"/>
      <c r="LGW5" s="107"/>
      <c r="LGX5" s="107"/>
      <c r="LGY5" s="107"/>
      <c r="LGZ5" s="107"/>
      <c r="LHA5" s="107"/>
      <c r="LHB5" s="107"/>
      <c r="LHC5" s="107"/>
      <c r="LHD5" s="107"/>
      <c r="LHE5" s="107"/>
      <c r="LHF5" s="107"/>
      <c r="LHG5" s="107"/>
      <c r="LHH5" s="107"/>
      <c r="LHI5" s="107"/>
      <c r="LHJ5" s="107"/>
      <c r="LHK5" s="107"/>
      <c r="LHL5" s="107"/>
      <c r="LHM5" s="107"/>
      <c r="LHN5" s="107"/>
      <c r="LHO5" s="107"/>
      <c r="LHP5" s="107"/>
      <c r="LHQ5" s="107"/>
      <c r="LHR5" s="107"/>
      <c r="LHS5" s="107"/>
      <c r="LHT5" s="107"/>
      <c r="LHU5" s="107"/>
      <c r="LHV5" s="107"/>
      <c r="LHW5" s="107"/>
      <c r="LHX5" s="107"/>
      <c r="LHY5" s="107"/>
      <c r="LHZ5" s="107"/>
      <c r="LIA5" s="107"/>
      <c r="LIB5" s="107"/>
      <c r="LIC5" s="107"/>
      <c r="LID5" s="107"/>
      <c r="LIE5" s="107"/>
      <c r="LIF5" s="107"/>
      <c r="LIG5" s="107"/>
      <c r="LIH5" s="107"/>
      <c r="LII5" s="107"/>
      <c r="LIJ5" s="107"/>
      <c r="LIK5" s="107"/>
      <c r="LIL5" s="107"/>
      <c r="LIM5" s="107"/>
      <c r="LIN5" s="107"/>
      <c r="LIO5" s="107"/>
      <c r="LIP5" s="107"/>
      <c r="LIQ5" s="107"/>
      <c r="LIR5" s="107"/>
      <c r="LIS5" s="107"/>
      <c r="LIT5" s="107"/>
      <c r="LIU5" s="107"/>
      <c r="LIV5" s="107"/>
      <c r="LIW5" s="107"/>
      <c r="LIX5" s="107"/>
      <c r="LIY5" s="107"/>
      <c r="LIZ5" s="107"/>
      <c r="LJA5" s="107"/>
      <c r="LJB5" s="107"/>
      <c r="LJC5" s="107"/>
      <c r="LJD5" s="107"/>
      <c r="LJE5" s="107"/>
      <c r="LJF5" s="107"/>
      <c r="LJG5" s="107"/>
      <c r="LJH5" s="107"/>
      <c r="LJI5" s="107"/>
      <c r="LJJ5" s="107"/>
      <c r="LJK5" s="107"/>
      <c r="LJL5" s="107"/>
      <c r="LJM5" s="107"/>
      <c r="LJN5" s="107"/>
      <c r="LJO5" s="107"/>
      <c r="LJP5" s="107"/>
      <c r="LJQ5" s="107"/>
      <c r="LJR5" s="107"/>
      <c r="LJS5" s="107"/>
      <c r="LJT5" s="107"/>
      <c r="LJU5" s="107"/>
      <c r="LJV5" s="107"/>
      <c r="LJW5" s="107"/>
      <c r="LJX5" s="107"/>
      <c r="LJY5" s="107"/>
      <c r="LJZ5" s="107"/>
      <c r="LKA5" s="107"/>
      <c r="LKB5" s="107"/>
      <c r="LKC5" s="107"/>
      <c r="LKD5" s="107"/>
      <c r="LKE5" s="107"/>
      <c r="LKF5" s="107"/>
      <c r="LKG5" s="107"/>
      <c r="LKH5" s="107"/>
      <c r="LKI5" s="107"/>
      <c r="LKJ5" s="107"/>
      <c r="LKK5" s="107"/>
      <c r="LKL5" s="107"/>
      <c r="LKM5" s="107"/>
      <c r="LKN5" s="107"/>
      <c r="LKO5" s="107"/>
      <c r="LKP5" s="107"/>
      <c r="LKQ5" s="107"/>
      <c r="LKR5" s="107"/>
      <c r="LKS5" s="107"/>
      <c r="LKT5" s="107"/>
      <c r="LKU5" s="107"/>
      <c r="LKV5" s="107"/>
      <c r="LKW5" s="107"/>
      <c r="LKX5" s="107"/>
      <c r="LKY5" s="107"/>
      <c r="LKZ5" s="107"/>
      <c r="LLA5" s="107"/>
      <c r="LLB5" s="107"/>
      <c r="LLC5" s="107"/>
      <c r="LLD5" s="107"/>
      <c r="LLE5" s="107"/>
      <c r="LLF5" s="107"/>
      <c r="LLG5" s="107"/>
      <c r="LLH5" s="107"/>
      <c r="LLI5" s="107"/>
      <c r="LLJ5" s="107"/>
      <c r="LLK5" s="107"/>
      <c r="LLL5" s="107"/>
      <c r="LLM5" s="107"/>
      <c r="LLN5" s="107"/>
      <c r="LLO5" s="107"/>
      <c r="LLP5" s="107"/>
      <c r="LLQ5" s="107"/>
      <c r="LLR5" s="107"/>
      <c r="LLS5" s="107"/>
      <c r="LLT5" s="107"/>
      <c r="LLU5" s="107"/>
      <c r="LLV5" s="107"/>
      <c r="LLW5" s="107"/>
      <c r="LLX5" s="107"/>
      <c r="LLY5" s="107"/>
      <c r="LLZ5" s="107"/>
      <c r="LMA5" s="107"/>
      <c r="LMB5" s="107"/>
      <c r="LMC5" s="107"/>
      <c r="LMD5" s="107"/>
      <c r="LME5" s="107"/>
      <c r="LMF5" s="107"/>
      <c r="LMG5" s="107"/>
      <c r="LMH5" s="107"/>
      <c r="LMI5" s="107"/>
      <c r="LMJ5" s="107"/>
      <c r="LMK5" s="107"/>
      <c r="LML5" s="107"/>
      <c r="LMM5" s="107"/>
      <c r="LMN5" s="107"/>
      <c r="LMO5" s="107"/>
      <c r="LMP5" s="107"/>
      <c r="LMQ5" s="107"/>
      <c r="LMR5" s="107"/>
      <c r="LMS5" s="107"/>
      <c r="LMT5" s="107"/>
      <c r="LMU5" s="107"/>
      <c r="LMV5" s="107"/>
      <c r="LMW5" s="107"/>
      <c r="LMX5" s="107"/>
      <c r="LMY5" s="107"/>
      <c r="LMZ5" s="107"/>
      <c r="LNA5" s="107"/>
      <c r="LNB5" s="107"/>
      <c r="LNC5" s="107"/>
      <c r="LND5" s="107"/>
      <c r="LNE5" s="107"/>
      <c r="LNF5" s="107"/>
      <c r="LNG5" s="107"/>
      <c r="LNH5" s="107"/>
      <c r="LNI5" s="107"/>
      <c r="LNJ5" s="107"/>
      <c r="LNK5" s="107"/>
      <c r="LNL5" s="107"/>
      <c r="LNM5" s="107"/>
      <c r="LNN5" s="107"/>
      <c r="LNO5" s="107"/>
      <c r="LNP5" s="107"/>
      <c r="LNQ5" s="107"/>
      <c r="LNR5" s="107"/>
      <c r="LNS5" s="107"/>
      <c r="LNT5" s="107"/>
      <c r="LNU5" s="107"/>
      <c r="LNV5" s="107"/>
      <c r="LNW5" s="107"/>
      <c r="LNX5" s="107"/>
      <c r="LNY5" s="107"/>
      <c r="LNZ5" s="107"/>
      <c r="LOA5" s="107"/>
      <c r="LOB5" s="107"/>
      <c r="LOC5" s="107"/>
      <c r="LOD5" s="107"/>
      <c r="LOE5" s="107"/>
      <c r="LOF5" s="107"/>
      <c r="LOG5" s="107"/>
      <c r="LOH5" s="107"/>
      <c r="LOI5" s="107"/>
      <c r="LOJ5" s="107"/>
      <c r="LOK5" s="107"/>
      <c r="LOL5" s="107"/>
      <c r="LOM5" s="107"/>
      <c r="LON5" s="107"/>
      <c r="LOO5" s="107"/>
      <c r="LOP5" s="107"/>
      <c r="LOQ5" s="107"/>
      <c r="LOR5" s="107"/>
      <c r="LOS5" s="107"/>
      <c r="LOT5" s="107"/>
      <c r="LOU5" s="107"/>
      <c r="LOV5" s="107"/>
      <c r="LOW5" s="107"/>
      <c r="LOX5" s="107"/>
      <c r="LOY5" s="107"/>
      <c r="LOZ5" s="107"/>
      <c r="LPA5" s="107"/>
      <c r="LPB5" s="107"/>
      <c r="LPC5" s="107"/>
      <c r="LPD5" s="107"/>
      <c r="LPE5" s="107"/>
      <c r="LPF5" s="107"/>
      <c r="LPG5" s="107"/>
      <c r="LPH5" s="107"/>
      <c r="LPI5" s="107"/>
      <c r="LPJ5" s="107"/>
      <c r="LPK5" s="107"/>
      <c r="LPL5" s="107"/>
      <c r="LPM5" s="107"/>
      <c r="LPN5" s="107"/>
      <c r="LPO5" s="107"/>
      <c r="LPP5" s="107"/>
      <c r="LPQ5" s="107"/>
      <c r="LPR5" s="107"/>
      <c r="LPS5" s="107"/>
      <c r="LPT5" s="107"/>
      <c r="LPU5" s="107"/>
      <c r="LPV5" s="107"/>
      <c r="LPW5" s="107"/>
      <c r="LPX5" s="107"/>
      <c r="LPY5" s="107"/>
      <c r="LPZ5" s="107"/>
      <c r="LQA5" s="107"/>
      <c r="LQB5" s="107"/>
      <c r="LQC5" s="107"/>
      <c r="LQD5" s="107"/>
      <c r="LQE5" s="107"/>
      <c r="LQF5" s="107"/>
      <c r="LQG5" s="107"/>
      <c r="LQH5" s="107"/>
      <c r="LQI5" s="107"/>
      <c r="LQJ5" s="107"/>
      <c r="LQK5" s="107"/>
      <c r="LQL5" s="107"/>
      <c r="LQM5" s="107"/>
      <c r="LQN5" s="107"/>
      <c r="LQO5" s="107"/>
      <c r="LQP5" s="107"/>
      <c r="LQQ5" s="107"/>
      <c r="LQR5" s="107"/>
      <c r="LQS5" s="107"/>
      <c r="LQT5" s="107"/>
      <c r="LQU5" s="107"/>
      <c r="LQV5" s="107"/>
      <c r="LQW5" s="107"/>
      <c r="LQX5" s="107"/>
      <c r="LQY5" s="107"/>
      <c r="LQZ5" s="107"/>
      <c r="LRA5" s="107"/>
      <c r="LRB5" s="107"/>
      <c r="LRC5" s="107"/>
      <c r="LRD5" s="107"/>
      <c r="LRE5" s="107"/>
      <c r="LRF5" s="107"/>
      <c r="LRG5" s="107"/>
      <c r="LRH5" s="107"/>
      <c r="LRI5" s="107"/>
      <c r="LRJ5" s="107"/>
      <c r="LRK5" s="107"/>
      <c r="LRL5" s="107"/>
      <c r="LRM5" s="107"/>
      <c r="LRN5" s="107"/>
      <c r="LRO5" s="107"/>
      <c r="LRP5" s="107"/>
      <c r="LRQ5" s="107"/>
      <c r="LRR5" s="107"/>
      <c r="LRS5" s="107"/>
      <c r="LRT5" s="107"/>
      <c r="LRU5" s="107"/>
      <c r="LRV5" s="107"/>
      <c r="LRW5" s="107"/>
      <c r="LRX5" s="107"/>
      <c r="LRY5" s="107"/>
      <c r="LRZ5" s="107"/>
      <c r="LSA5" s="107"/>
      <c r="LSB5" s="107"/>
      <c r="LSC5" s="107"/>
      <c r="LSD5" s="107"/>
      <c r="LSE5" s="107"/>
      <c r="LSF5" s="107"/>
      <c r="LSG5" s="107"/>
      <c r="LSH5" s="107"/>
      <c r="LSI5" s="107"/>
      <c r="LSJ5" s="107"/>
      <c r="LSK5" s="107"/>
      <c r="LSL5" s="107"/>
      <c r="LSM5" s="107"/>
      <c r="LSN5" s="107"/>
      <c r="LSO5" s="107"/>
      <c r="LSP5" s="107"/>
      <c r="LSQ5" s="107"/>
      <c r="LSR5" s="107"/>
      <c r="LSS5" s="107"/>
      <c r="LST5" s="107"/>
      <c r="LSU5" s="107"/>
      <c r="LSV5" s="107"/>
      <c r="LSW5" s="107"/>
      <c r="LSX5" s="107"/>
      <c r="LSY5" s="107"/>
      <c r="LSZ5" s="107"/>
      <c r="LTA5" s="107"/>
      <c r="LTB5" s="107"/>
      <c r="LTC5" s="107"/>
      <c r="LTD5" s="107"/>
      <c r="LTE5" s="107"/>
      <c r="LTF5" s="107"/>
      <c r="LTG5" s="107"/>
      <c r="LTH5" s="107"/>
      <c r="LTI5" s="107"/>
      <c r="LTJ5" s="107"/>
      <c r="LTK5" s="107"/>
      <c r="LTL5" s="107"/>
      <c r="LTM5" s="107"/>
      <c r="LTN5" s="107"/>
      <c r="LTO5" s="107"/>
      <c r="LTP5" s="107"/>
      <c r="LTQ5" s="107"/>
      <c r="LTR5" s="107"/>
      <c r="LTS5" s="107"/>
      <c r="LTT5" s="107"/>
      <c r="LTU5" s="107"/>
      <c r="LTV5" s="107"/>
      <c r="LTW5" s="107"/>
      <c r="LTX5" s="107"/>
      <c r="LTY5" s="107"/>
      <c r="LTZ5" s="107"/>
      <c r="LUA5" s="107"/>
      <c r="LUB5" s="107"/>
      <c r="LUC5" s="107"/>
      <c r="LUD5" s="107"/>
      <c r="LUE5" s="107"/>
      <c r="LUF5" s="107"/>
      <c r="LUG5" s="107"/>
      <c r="LUH5" s="107"/>
      <c r="LUI5" s="107"/>
      <c r="LUJ5" s="107"/>
      <c r="LUK5" s="107"/>
      <c r="LUL5" s="107"/>
      <c r="LUM5" s="107"/>
      <c r="LUN5" s="107"/>
      <c r="LUO5" s="107"/>
      <c r="LUP5" s="107"/>
      <c r="LUQ5" s="107"/>
      <c r="LUR5" s="107"/>
      <c r="LUS5" s="107"/>
      <c r="LUT5" s="107"/>
      <c r="LUU5" s="107"/>
      <c r="LUV5" s="107"/>
      <c r="LUW5" s="107"/>
      <c r="LUX5" s="107"/>
      <c r="LUY5" s="107"/>
      <c r="LUZ5" s="107"/>
      <c r="LVA5" s="107"/>
      <c r="LVB5" s="107"/>
      <c r="LVC5" s="107"/>
      <c r="LVD5" s="107"/>
      <c r="LVE5" s="107"/>
      <c r="LVF5" s="107"/>
      <c r="LVG5" s="107"/>
      <c r="LVH5" s="107"/>
      <c r="LVI5" s="107"/>
      <c r="LVJ5" s="107"/>
      <c r="LVK5" s="107"/>
      <c r="LVL5" s="107"/>
      <c r="LVM5" s="107"/>
      <c r="LVN5" s="107"/>
      <c r="LVO5" s="107"/>
      <c r="LVP5" s="107"/>
      <c r="LVQ5" s="107"/>
      <c r="LVR5" s="107"/>
      <c r="LVS5" s="107"/>
      <c r="LVT5" s="107"/>
      <c r="LVU5" s="107"/>
      <c r="LVV5" s="107"/>
      <c r="LVW5" s="107"/>
      <c r="LVX5" s="107"/>
      <c r="LVY5" s="107"/>
      <c r="LVZ5" s="107"/>
      <c r="LWA5" s="107"/>
      <c r="LWB5" s="107"/>
      <c r="LWC5" s="107"/>
      <c r="LWD5" s="107"/>
      <c r="LWE5" s="107"/>
      <c r="LWF5" s="107"/>
      <c r="LWG5" s="107"/>
      <c r="LWH5" s="107"/>
      <c r="LWI5" s="107"/>
      <c r="LWJ5" s="107"/>
      <c r="LWK5" s="107"/>
      <c r="LWL5" s="107"/>
      <c r="LWM5" s="107"/>
      <c r="LWN5" s="107"/>
      <c r="LWO5" s="107"/>
      <c r="LWP5" s="107"/>
      <c r="LWQ5" s="107"/>
      <c r="LWR5" s="107"/>
      <c r="LWS5" s="107"/>
      <c r="LWT5" s="107"/>
      <c r="LWU5" s="107"/>
      <c r="LWV5" s="107"/>
      <c r="LWW5" s="107"/>
      <c r="LWX5" s="107"/>
      <c r="LWY5" s="107"/>
      <c r="LWZ5" s="107"/>
      <c r="LXA5" s="107"/>
      <c r="LXB5" s="107"/>
      <c r="LXC5" s="107"/>
      <c r="LXD5" s="107"/>
      <c r="LXE5" s="107"/>
      <c r="LXF5" s="107"/>
      <c r="LXG5" s="107"/>
      <c r="LXH5" s="107"/>
      <c r="LXI5" s="107"/>
      <c r="LXJ5" s="107"/>
      <c r="LXK5" s="107"/>
      <c r="LXL5" s="107"/>
      <c r="LXM5" s="107"/>
      <c r="LXN5" s="107"/>
      <c r="LXO5" s="107"/>
      <c r="LXP5" s="107"/>
      <c r="LXQ5" s="107"/>
      <c r="LXR5" s="107"/>
      <c r="LXS5" s="107"/>
      <c r="LXT5" s="107"/>
      <c r="LXU5" s="107"/>
      <c r="LXV5" s="107"/>
      <c r="LXW5" s="107"/>
      <c r="LXX5" s="107"/>
      <c r="LXY5" s="107"/>
      <c r="LXZ5" s="107"/>
      <c r="LYA5" s="107"/>
      <c r="LYB5" s="107"/>
      <c r="LYC5" s="107"/>
      <c r="LYD5" s="107"/>
      <c r="LYE5" s="107"/>
      <c r="LYF5" s="107"/>
      <c r="LYG5" s="107"/>
      <c r="LYH5" s="107"/>
      <c r="LYI5" s="107"/>
      <c r="LYJ5" s="107"/>
      <c r="LYK5" s="107"/>
      <c r="LYL5" s="107"/>
      <c r="LYM5" s="107"/>
      <c r="LYN5" s="107"/>
      <c r="LYO5" s="107"/>
      <c r="LYP5" s="107"/>
      <c r="LYQ5" s="107"/>
      <c r="LYR5" s="107"/>
      <c r="LYS5" s="107"/>
      <c r="LYT5" s="107"/>
      <c r="LYU5" s="107"/>
      <c r="LYV5" s="107"/>
      <c r="LYW5" s="107"/>
      <c r="LYX5" s="107"/>
      <c r="LYY5" s="107"/>
      <c r="LYZ5" s="107"/>
      <c r="LZA5" s="107"/>
      <c r="LZB5" s="107"/>
      <c r="LZC5" s="107"/>
      <c r="LZD5" s="107"/>
      <c r="LZE5" s="107"/>
      <c r="LZF5" s="107"/>
      <c r="LZG5" s="107"/>
      <c r="LZH5" s="107"/>
      <c r="LZI5" s="107"/>
      <c r="LZJ5" s="107"/>
      <c r="LZK5" s="107"/>
      <c r="LZL5" s="107"/>
      <c r="LZM5" s="107"/>
      <c r="LZN5" s="107"/>
      <c r="LZO5" s="107"/>
      <c r="LZP5" s="107"/>
      <c r="LZQ5" s="107"/>
      <c r="LZR5" s="107"/>
      <c r="LZS5" s="107"/>
      <c r="LZT5" s="107"/>
      <c r="LZU5" s="107"/>
      <c r="LZV5" s="107"/>
      <c r="LZW5" s="107"/>
      <c r="LZX5" s="107"/>
      <c r="LZY5" s="107"/>
      <c r="LZZ5" s="107"/>
      <c r="MAA5" s="107"/>
      <c r="MAB5" s="107"/>
      <c r="MAC5" s="107"/>
      <c r="MAD5" s="107"/>
      <c r="MAE5" s="107"/>
      <c r="MAF5" s="107"/>
      <c r="MAG5" s="107"/>
      <c r="MAH5" s="107"/>
      <c r="MAI5" s="107"/>
      <c r="MAJ5" s="107"/>
      <c r="MAK5" s="107"/>
      <c r="MAL5" s="107"/>
      <c r="MAM5" s="107"/>
      <c r="MAN5" s="107"/>
      <c r="MAO5" s="107"/>
      <c r="MAP5" s="107"/>
      <c r="MAQ5" s="107"/>
      <c r="MAR5" s="107"/>
      <c r="MAS5" s="107"/>
      <c r="MAT5" s="107"/>
      <c r="MAU5" s="107"/>
      <c r="MAV5" s="107"/>
      <c r="MAW5" s="107"/>
      <c r="MAX5" s="107"/>
      <c r="MAY5" s="107"/>
      <c r="MAZ5" s="107"/>
      <c r="MBA5" s="107"/>
      <c r="MBB5" s="107"/>
      <c r="MBC5" s="107"/>
      <c r="MBD5" s="107"/>
      <c r="MBE5" s="107"/>
      <c r="MBF5" s="107"/>
      <c r="MBG5" s="107"/>
      <c r="MBH5" s="107"/>
      <c r="MBI5" s="107"/>
      <c r="MBJ5" s="107"/>
      <c r="MBK5" s="107"/>
      <c r="MBL5" s="107"/>
      <c r="MBM5" s="107"/>
      <c r="MBN5" s="107"/>
      <c r="MBO5" s="107"/>
      <c r="MBP5" s="107"/>
      <c r="MBQ5" s="107"/>
      <c r="MBR5" s="107"/>
      <c r="MBS5" s="107"/>
      <c r="MBT5" s="107"/>
      <c r="MBU5" s="107"/>
      <c r="MBV5" s="107"/>
      <c r="MBW5" s="107"/>
      <c r="MBX5" s="107"/>
      <c r="MBY5" s="107"/>
      <c r="MBZ5" s="107"/>
      <c r="MCA5" s="107"/>
      <c r="MCB5" s="107"/>
      <c r="MCC5" s="107"/>
      <c r="MCD5" s="107"/>
      <c r="MCE5" s="107"/>
      <c r="MCF5" s="107"/>
      <c r="MCG5" s="107"/>
      <c r="MCH5" s="107"/>
      <c r="MCI5" s="107"/>
      <c r="MCJ5" s="107"/>
      <c r="MCK5" s="107"/>
      <c r="MCL5" s="107"/>
      <c r="MCM5" s="107"/>
      <c r="MCN5" s="107"/>
      <c r="MCO5" s="107"/>
      <c r="MCP5" s="107"/>
      <c r="MCQ5" s="107"/>
      <c r="MCR5" s="107"/>
      <c r="MCS5" s="107"/>
      <c r="MCT5" s="107"/>
      <c r="MCU5" s="107"/>
      <c r="MCV5" s="107"/>
      <c r="MCW5" s="107"/>
      <c r="MCX5" s="107"/>
      <c r="MCY5" s="107"/>
      <c r="MCZ5" s="107"/>
      <c r="MDA5" s="107"/>
      <c r="MDB5" s="107"/>
      <c r="MDC5" s="107"/>
      <c r="MDD5" s="107"/>
      <c r="MDE5" s="107"/>
      <c r="MDF5" s="107"/>
      <c r="MDG5" s="107"/>
      <c r="MDH5" s="107"/>
      <c r="MDI5" s="107"/>
      <c r="MDJ5" s="107"/>
      <c r="MDK5" s="107"/>
      <c r="MDL5" s="107"/>
      <c r="MDM5" s="107"/>
      <c r="MDN5" s="107"/>
      <c r="MDO5" s="107"/>
      <c r="MDP5" s="107"/>
      <c r="MDQ5" s="107"/>
      <c r="MDR5" s="107"/>
      <c r="MDS5" s="107"/>
      <c r="MDT5" s="107"/>
      <c r="MDU5" s="107"/>
      <c r="MDV5" s="107"/>
      <c r="MDW5" s="107"/>
      <c r="MDX5" s="107"/>
      <c r="MDY5" s="107"/>
      <c r="MDZ5" s="107"/>
      <c r="MEA5" s="107"/>
      <c r="MEB5" s="107"/>
      <c r="MEC5" s="107"/>
      <c r="MED5" s="107"/>
      <c r="MEE5" s="107"/>
      <c r="MEF5" s="107"/>
      <c r="MEG5" s="107"/>
      <c r="MEH5" s="107"/>
      <c r="MEI5" s="107"/>
      <c r="MEJ5" s="107"/>
      <c r="MEK5" s="107"/>
      <c r="MEL5" s="107"/>
      <c r="MEM5" s="107"/>
      <c r="MEN5" s="107"/>
      <c r="MEO5" s="107"/>
      <c r="MEP5" s="107"/>
      <c r="MEQ5" s="107"/>
      <c r="MER5" s="107"/>
      <c r="MES5" s="107"/>
      <c r="MET5" s="107"/>
      <c r="MEU5" s="107"/>
      <c r="MEV5" s="107"/>
      <c r="MEW5" s="107"/>
      <c r="MEX5" s="107"/>
      <c r="MEY5" s="107"/>
      <c r="MEZ5" s="107"/>
      <c r="MFA5" s="107"/>
      <c r="MFB5" s="107"/>
      <c r="MFC5" s="107"/>
      <c r="MFD5" s="107"/>
      <c r="MFE5" s="107"/>
      <c r="MFF5" s="107"/>
      <c r="MFG5" s="107"/>
      <c r="MFH5" s="107"/>
      <c r="MFI5" s="107"/>
      <c r="MFJ5" s="107"/>
      <c r="MFK5" s="107"/>
      <c r="MFL5" s="107"/>
      <c r="MFM5" s="107"/>
      <c r="MFN5" s="107"/>
      <c r="MFO5" s="107"/>
      <c r="MFP5" s="107"/>
      <c r="MFQ5" s="107"/>
      <c r="MFR5" s="107"/>
      <c r="MFS5" s="107"/>
      <c r="MFT5" s="107"/>
      <c r="MFU5" s="107"/>
      <c r="MFV5" s="107"/>
      <c r="MFW5" s="107"/>
      <c r="MFX5" s="107"/>
      <c r="MFY5" s="107"/>
      <c r="MFZ5" s="107"/>
      <c r="MGA5" s="107"/>
      <c r="MGB5" s="107"/>
      <c r="MGC5" s="107"/>
      <c r="MGD5" s="107"/>
      <c r="MGE5" s="107"/>
      <c r="MGF5" s="107"/>
      <c r="MGG5" s="107"/>
      <c r="MGH5" s="107"/>
      <c r="MGI5" s="107"/>
      <c r="MGJ5" s="107"/>
      <c r="MGK5" s="107"/>
      <c r="MGL5" s="107"/>
      <c r="MGM5" s="107"/>
      <c r="MGN5" s="107"/>
      <c r="MGO5" s="107"/>
      <c r="MGP5" s="107"/>
      <c r="MGQ5" s="107"/>
      <c r="MGR5" s="107"/>
      <c r="MGS5" s="107"/>
      <c r="MGT5" s="107"/>
      <c r="MGU5" s="107"/>
      <c r="MGV5" s="107"/>
      <c r="MGW5" s="107"/>
      <c r="MGX5" s="107"/>
      <c r="MGY5" s="107"/>
      <c r="MGZ5" s="107"/>
      <c r="MHA5" s="107"/>
      <c r="MHB5" s="107"/>
      <c r="MHC5" s="107"/>
      <c r="MHD5" s="107"/>
      <c r="MHE5" s="107"/>
      <c r="MHF5" s="107"/>
      <c r="MHG5" s="107"/>
      <c r="MHH5" s="107"/>
      <c r="MHI5" s="107"/>
      <c r="MHJ5" s="107"/>
      <c r="MHK5" s="107"/>
      <c r="MHL5" s="107"/>
      <c r="MHM5" s="107"/>
      <c r="MHN5" s="107"/>
      <c r="MHO5" s="107"/>
      <c r="MHP5" s="107"/>
      <c r="MHQ5" s="107"/>
      <c r="MHR5" s="107"/>
      <c r="MHS5" s="107"/>
      <c r="MHT5" s="107"/>
      <c r="MHU5" s="107"/>
      <c r="MHV5" s="107"/>
      <c r="MHW5" s="107"/>
      <c r="MHX5" s="107"/>
      <c r="MHY5" s="107"/>
      <c r="MHZ5" s="107"/>
      <c r="MIA5" s="107"/>
      <c r="MIB5" s="107"/>
      <c r="MIC5" s="107"/>
      <c r="MID5" s="107"/>
      <c r="MIE5" s="107"/>
      <c r="MIF5" s="107"/>
      <c r="MIG5" s="107"/>
      <c r="MIH5" s="107"/>
      <c r="MII5" s="107"/>
      <c r="MIJ5" s="107"/>
      <c r="MIK5" s="107"/>
      <c r="MIL5" s="107"/>
      <c r="MIM5" s="107"/>
      <c r="MIN5" s="107"/>
      <c r="MIO5" s="107"/>
      <c r="MIP5" s="107"/>
      <c r="MIQ5" s="107"/>
      <c r="MIR5" s="107"/>
      <c r="MIS5" s="107"/>
      <c r="MIT5" s="107"/>
      <c r="MIU5" s="107"/>
      <c r="MIV5" s="107"/>
      <c r="MIW5" s="107"/>
      <c r="MIX5" s="107"/>
      <c r="MIY5" s="107"/>
      <c r="MIZ5" s="107"/>
      <c r="MJA5" s="107"/>
      <c r="MJB5" s="107"/>
      <c r="MJC5" s="107"/>
      <c r="MJD5" s="107"/>
      <c r="MJE5" s="107"/>
      <c r="MJF5" s="107"/>
      <c r="MJG5" s="107"/>
      <c r="MJH5" s="107"/>
      <c r="MJI5" s="107"/>
      <c r="MJJ5" s="107"/>
      <c r="MJK5" s="107"/>
      <c r="MJL5" s="107"/>
      <c r="MJM5" s="107"/>
      <c r="MJN5" s="107"/>
      <c r="MJO5" s="107"/>
      <c r="MJP5" s="107"/>
      <c r="MJQ5" s="107"/>
      <c r="MJR5" s="107"/>
      <c r="MJS5" s="107"/>
      <c r="MJT5" s="107"/>
      <c r="MJU5" s="107"/>
      <c r="MJV5" s="107"/>
      <c r="MJW5" s="107"/>
      <c r="MJX5" s="107"/>
      <c r="MJY5" s="107"/>
      <c r="MJZ5" s="107"/>
      <c r="MKA5" s="107"/>
      <c r="MKB5" s="107"/>
      <c r="MKC5" s="107"/>
      <c r="MKD5" s="107"/>
      <c r="MKE5" s="107"/>
      <c r="MKF5" s="107"/>
      <c r="MKG5" s="107"/>
      <c r="MKH5" s="107"/>
      <c r="MKI5" s="107"/>
      <c r="MKJ5" s="107"/>
      <c r="MKK5" s="107"/>
      <c r="MKL5" s="107"/>
      <c r="MKM5" s="107"/>
      <c r="MKN5" s="107"/>
      <c r="MKO5" s="107"/>
      <c r="MKP5" s="107"/>
      <c r="MKQ5" s="107"/>
      <c r="MKR5" s="107"/>
      <c r="MKS5" s="107"/>
      <c r="MKT5" s="107"/>
      <c r="MKU5" s="107"/>
      <c r="MKV5" s="107"/>
      <c r="MKW5" s="107"/>
      <c r="MKX5" s="107"/>
      <c r="MKY5" s="107"/>
      <c r="MKZ5" s="107"/>
      <c r="MLA5" s="107"/>
      <c r="MLB5" s="107"/>
      <c r="MLC5" s="107"/>
      <c r="MLD5" s="107"/>
      <c r="MLE5" s="107"/>
      <c r="MLF5" s="107"/>
      <c r="MLG5" s="107"/>
      <c r="MLH5" s="107"/>
      <c r="MLI5" s="107"/>
      <c r="MLJ5" s="107"/>
      <c r="MLK5" s="107"/>
      <c r="MLL5" s="107"/>
      <c r="MLM5" s="107"/>
      <c r="MLN5" s="107"/>
      <c r="MLO5" s="107"/>
      <c r="MLP5" s="107"/>
      <c r="MLQ5" s="107"/>
      <c r="MLR5" s="107"/>
      <c r="MLS5" s="107"/>
      <c r="MLT5" s="107"/>
      <c r="MLU5" s="107"/>
      <c r="MLV5" s="107"/>
      <c r="MLW5" s="107"/>
      <c r="MLX5" s="107"/>
      <c r="MLY5" s="107"/>
      <c r="MLZ5" s="107"/>
      <c r="MMA5" s="107"/>
      <c r="MMB5" s="107"/>
      <c r="MMC5" s="107"/>
      <c r="MMD5" s="107"/>
      <c r="MME5" s="107"/>
      <c r="MMF5" s="107"/>
      <c r="MMG5" s="107"/>
      <c r="MMH5" s="107"/>
      <c r="MMI5" s="107"/>
      <c r="MMJ5" s="107"/>
      <c r="MMK5" s="107"/>
      <c r="MML5" s="107"/>
      <c r="MMM5" s="107"/>
      <c r="MMN5" s="107"/>
      <c r="MMO5" s="107"/>
      <c r="MMP5" s="107"/>
      <c r="MMQ5" s="107"/>
      <c r="MMR5" s="107"/>
      <c r="MMS5" s="107"/>
      <c r="MMT5" s="107"/>
      <c r="MMU5" s="107"/>
      <c r="MMV5" s="107"/>
      <c r="MMW5" s="107"/>
      <c r="MMX5" s="107"/>
      <c r="MMY5" s="107"/>
      <c r="MMZ5" s="107"/>
      <c r="MNA5" s="107"/>
      <c r="MNB5" s="107"/>
      <c r="MNC5" s="107"/>
      <c r="MND5" s="107"/>
      <c r="MNE5" s="107"/>
      <c r="MNF5" s="107"/>
      <c r="MNG5" s="107"/>
      <c r="MNH5" s="107"/>
      <c r="MNI5" s="107"/>
      <c r="MNJ5" s="107"/>
      <c r="MNK5" s="107"/>
      <c r="MNL5" s="107"/>
      <c r="MNM5" s="107"/>
      <c r="MNN5" s="107"/>
      <c r="MNO5" s="107"/>
      <c r="MNP5" s="107"/>
      <c r="MNQ5" s="107"/>
      <c r="MNR5" s="107"/>
      <c r="MNS5" s="107"/>
      <c r="MNT5" s="107"/>
      <c r="MNU5" s="107"/>
      <c r="MNV5" s="107"/>
      <c r="MNW5" s="107"/>
      <c r="MNX5" s="107"/>
      <c r="MNY5" s="107"/>
      <c r="MNZ5" s="107"/>
      <c r="MOA5" s="107"/>
      <c r="MOB5" s="107"/>
      <c r="MOC5" s="107"/>
      <c r="MOD5" s="107"/>
      <c r="MOE5" s="107"/>
      <c r="MOF5" s="107"/>
      <c r="MOG5" s="107"/>
      <c r="MOH5" s="107"/>
      <c r="MOI5" s="107"/>
      <c r="MOJ5" s="107"/>
      <c r="MOK5" s="107"/>
      <c r="MOL5" s="107"/>
      <c r="MOM5" s="107"/>
      <c r="MON5" s="107"/>
      <c r="MOO5" s="107"/>
      <c r="MOP5" s="107"/>
      <c r="MOQ5" s="107"/>
      <c r="MOR5" s="107"/>
      <c r="MOS5" s="107"/>
      <c r="MOT5" s="107"/>
      <c r="MOU5" s="107"/>
      <c r="MOV5" s="107"/>
      <c r="MOW5" s="107"/>
      <c r="MOX5" s="107"/>
      <c r="MOY5" s="107"/>
      <c r="MOZ5" s="107"/>
      <c r="MPA5" s="107"/>
      <c r="MPB5" s="107"/>
      <c r="MPC5" s="107"/>
      <c r="MPD5" s="107"/>
      <c r="MPE5" s="107"/>
      <c r="MPF5" s="107"/>
      <c r="MPG5" s="107"/>
      <c r="MPH5" s="107"/>
      <c r="MPI5" s="107"/>
      <c r="MPJ5" s="107"/>
      <c r="MPK5" s="107"/>
      <c r="MPL5" s="107"/>
      <c r="MPM5" s="107"/>
      <c r="MPN5" s="107"/>
      <c r="MPO5" s="107"/>
      <c r="MPP5" s="107"/>
      <c r="MPQ5" s="107"/>
      <c r="MPR5" s="107"/>
      <c r="MPS5" s="107"/>
      <c r="MPT5" s="107"/>
      <c r="MPU5" s="107"/>
      <c r="MPV5" s="107"/>
      <c r="MPW5" s="107"/>
      <c r="MPX5" s="107"/>
      <c r="MPY5" s="107"/>
      <c r="MPZ5" s="107"/>
      <c r="MQA5" s="107"/>
      <c r="MQB5" s="107"/>
      <c r="MQC5" s="107"/>
      <c r="MQD5" s="107"/>
      <c r="MQE5" s="107"/>
      <c r="MQF5" s="107"/>
      <c r="MQG5" s="107"/>
      <c r="MQH5" s="107"/>
      <c r="MQI5" s="107"/>
      <c r="MQJ5" s="107"/>
      <c r="MQK5" s="107"/>
      <c r="MQL5" s="107"/>
      <c r="MQM5" s="107"/>
      <c r="MQN5" s="107"/>
      <c r="MQO5" s="107"/>
      <c r="MQP5" s="107"/>
      <c r="MQQ5" s="107"/>
      <c r="MQR5" s="107"/>
      <c r="MQS5" s="107"/>
      <c r="MQT5" s="107"/>
      <c r="MQU5" s="107"/>
      <c r="MQV5" s="107"/>
      <c r="MQW5" s="107"/>
      <c r="MQX5" s="107"/>
      <c r="MQY5" s="107"/>
      <c r="MQZ5" s="107"/>
      <c r="MRA5" s="107"/>
      <c r="MRB5" s="107"/>
      <c r="MRC5" s="107"/>
      <c r="MRD5" s="107"/>
      <c r="MRE5" s="107"/>
      <c r="MRF5" s="107"/>
      <c r="MRG5" s="107"/>
      <c r="MRH5" s="107"/>
      <c r="MRI5" s="107"/>
      <c r="MRJ5" s="107"/>
      <c r="MRK5" s="107"/>
      <c r="MRL5" s="107"/>
      <c r="MRM5" s="107"/>
      <c r="MRN5" s="107"/>
      <c r="MRO5" s="107"/>
      <c r="MRP5" s="107"/>
      <c r="MRQ5" s="107"/>
      <c r="MRR5" s="107"/>
      <c r="MRS5" s="107"/>
      <c r="MRT5" s="107"/>
      <c r="MRU5" s="107"/>
      <c r="MRV5" s="107"/>
      <c r="MRW5" s="107"/>
      <c r="MRX5" s="107"/>
      <c r="MRY5" s="107"/>
      <c r="MRZ5" s="107"/>
      <c r="MSA5" s="107"/>
      <c r="MSB5" s="107"/>
      <c r="MSC5" s="107"/>
      <c r="MSD5" s="107"/>
      <c r="MSE5" s="107"/>
      <c r="MSF5" s="107"/>
      <c r="MSG5" s="107"/>
      <c r="MSH5" s="107"/>
      <c r="MSI5" s="107"/>
      <c r="MSJ5" s="107"/>
      <c r="MSK5" s="107"/>
      <c r="MSL5" s="107"/>
      <c r="MSM5" s="107"/>
      <c r="MSN5" s="107"/>
      <c r="MSO5" s="107"/>
      <c r="MSP5" s="107"/>
      <c r="MSQ5" s="107"/>
      <c r="MSR5" s="107"/>
      <c r="MSS5" s="107"/>
      <c r="MST5" s="107"/>
      <c r="MSU5" s="107"/>
      <c r="MSV5" s="107"/>
      <c r="MSW5" s="107"/>
      <c r="MSX5" s="107"/>
      <c r="MSY5" s="107"/>
      <c r="MSZ5" s="107"/>
      <c r="MTA5" s="107"/>
      <c r="MTB5" s="107"/>
      <c r="MTC5" s="107"/>
      <c r="MTD5" s="107"/>
      <c r="MTE5" s="107"/>
      <c r="MTF5" s="107"/>
      <c r="MTG5" s="107"/>
      <c r="MTH5" s="107"/>
      <c r="MTI5" s="107"/>
      <c r="MTJ5" s="107"/>
      <c r="MTK5" s="107"/>
      <c r="MTL5" s="107"/>
      <c r="MTM5" s="107"/>
      <c r="MTN5" s="107"/>
      <c r="MTO5" s="107"/>
      <c r="MTP5" s="107"/>
      <c r="MTQ5" s="107"/>
      <c r="MTR5" s="107"/>
      <c r="MTS5" s="107"/>
      <c r="MTT5" s="107"/>
      <c r="MTU5" s="107"/>
      <c r="MTV5" s="107"/>
      <c r="MTW5" s="107"/>
      <c r="MTX5" s="107"/>
      <c r="MTY5" s="107"/>
      <c r="MTZ5" s="107"/>
      <c r="MUA5" s="107"/>
      <c r="MUB5" s="107"/>
      <c r="MUC5" s="107"/>
      <c r="MUD5" s="107"/>
      <c r="MUE5" s="107"/>
      <c r="MUF5" s="107"/>
      <c r="MUG5" s="107"/>
      <c r="MUH5" s="107"/>
      <c r="MUI5" s="107"/>
      <c r="MUJ5" s="107"/>
      <c r="MUK5" s="107"/>
      <c r="MUL5" s="107"/>
      <c r="MUM5" s="107"/>
      <c r="MUN5" s="107"/>
      <c r="MUO5" s="107"/>
      <c r="MUP5" s="107"/>
      <c r="MUQ5" s="107"/>
      <c r="MUR5" s="107"/>
      <c r="MUS5" s="107"/>
      <c r="MUT5" s="107"/>
      <c r="MUU5" s="107"/>
      <c r="MUV5" s="107"/>
      <c r="MUW5" s="107"/>
      <c r="MUX5" s="107"/>
      <c r="MUY5" s="107"/>
      <c r="MUZ5" s="107"/>
      <c r="MVA5" s="107"/>
      <c r="MVB5" s="107"/>
      <c r="MVC5" s="107"/>
      <c r="MVD5" s="107"/>
      <c r="MVE5" s="107"/>
      <c r="MVF5" s="107"/>
      <c r="MVG5" s="107"/>
      <c r="MVH5" s="107"/>
      <c r="MVI5" s="107"/>
      <c r="MVJ5" s="107"/>
      <c r="MVK5" s="107"/>
      <c r="MVL5" s="107"/>
      <c r="MVM5" s="107"/>
      <c r="MVN5" s="107"/>
      <c r="MVO5" s="107"/>
      <c r="MVP5" s="107"/>
      <c r="MVQ5" s="107"/>
      <c r="MVR5" s="107"/>
      <c r="MVS5" s="107"/>
      <c r="MVT5" s="107"/>
      <c r="MVU5" s="107"/>
      <c r="MVV5" s="107"/>
      <c r="MVW5" s="107"/>
      <c r="MVX5" s="107"/>
      <c r="MVY5" s="107"/>
      <c r="MVZ5" s="107"/>
      <c r="MWA5" s="107"/>
      <c r="MWB5" s="107"/>
      <c r="MWC5" s="107"/>
      <c r="MWD5" s="107"/>
      <c r="MWE5" s="107"/>
      <c r="MWF5" s="107"/>
      <c r="MWG5" s="107"/>
      <c r="MWH5" s="107"/>
      <c r="MWI5" s="107"/>
      <c r="MWJ5" s="107"/>
      <c r="MWK5" s="107"/>
      <c r="MWL5" s="107"/>
      <c r="MWM5" s="107"/>
      <c r="MWN5" s="107"/>
      <c r="MWO5" s="107"/>
      <c r="MWP5" s="107"/>
      <c r="MWQ5" s="107"/>
      <c r="MWR5" s="107"/>
      <c r="MWS5" s="107"/>
      <c r="MWT5" s="107"/>
      <c r="MWU5" s="107"/>
      <c r="MWV5" s="107"/>
      <c r="MWW5" s="107"/>
      <c r="MWX5" s="107"/>
      <c r="MWY5" s="107"/>
      <c r="MWZ5" s="107"/>
      <c r="MXA5" s="107"/>
      <c r="MXB5" s="107"/>
      <c r="MXC5" s="107"/>
      <c r="MXD5" s="107"/>
      <c r="MXE5" s="107"/>
      <c r="MXF5" s="107"/>
      <c r="MXG5" s="107"/>
      <c r="MXH5" s="107"/>
      <c r="MXI5" s="107"/>
      <c r="MXJ5" s="107"/>
      <c r="MXK5" s="107"/>
      <c r="MXL5" s="107"/>
      <c r="MXM5" s="107"/>
      <c r="MXN5" s="107"/>
      <c r="MXO5" s="107"/>
      <c r="MXP5" s="107"/>
      <c r="MXQ5" s="107"/>
      <c r="MXR5" s="107"/>
      <c r="MXS5" s="107"/>
      <c r="MXT5" s="107"/>
      <c r="MXU5" s="107"/>
      <c r="MXV5" s="107"/>
      <c r="MXW5" s="107"/>
      <c r="MXX5" s="107"/>
      <c r="MXY5" s="107"/>
      <c r="MXZ5" s="107"/>
      <c r="MYA5" s="107"/>
      <c r="MYB5" s="107"/>
      <c r="MYC5" s="107"/>
      <c r="MYD5" s="107"/>
      <c r="MYE5" s="107"/>
      <c r="MYF5" s="107"/>
      <c r="MYG5" s="107"/>
      <c r="MYH5" s="107"/>
      <c r="MYI5" s="107"/>
      <c r="MYJ5" s="107"/>
      <c r="MYK5" s="107"/>
      <c r="MYL5" s="107"/>
      <c r="MYM5" s="107"/>
      <c r="MYN5" s="107"/>
      <c r="MYO5" s="107"/>
      <c r="MYP5" s="107"/>
      <c r="MYQ5" s="107"/>
      <c r="MYR5" s="107"/>
      <c r="MYS5" s="107"/>
      <c r="MYT5" s="107"/>
      <c r="MYU5" s="107"/>
      <c r="MYV5" s="107"/>
      <c r="MYW5" s="107"/>
      <c r="MYX5" s="107"/>
      <c r="MYY5" s="107"/>
      <c r="MYZ5" s="107"/>
      <c r="MZA5" s="107"/>
      <c r="MZB5" s="107"/>
      <c r="MZC5" s="107"/>
      <c r="MZD5" s="107"/>
      <c r="MZE5" s="107"/>
      <c r="MZF5" s="107"/>
      <c r="MZG5" s="107"/>
      <c r="MZH5" s="107"/>
      <c r="MZI5" s="107"/>
      <c r="MZJ5" s="107"/>
      <c r="MZK5" s="107"/>
      <c r="MZL5" s="107"/>
      <c r="MZM5" s="107"/>
      <c r="MZN5" s="107"/>
      <c r="MZO5" s="107"/>
      <c r="MZP5" s="107"/>
      <c r="MZQ5" s="107"/>
      <c r="MZR5" s="107"/>
      <c r="MZS5" s="107"/>
      <c r="MZT5" s="107"/>
      <c r="MZU5" s="107"/>
      <c r="MZV5" s="107"/>
      <c r="MZW5" s="107"/>
      <c r="MZX5" s="107"/>
      <c r="MZY5" s="107"/>
      <c r="MZZ5" s="107"/>
      <c r="NAA5" s="107"/>
      <c r="NAB5" s="107"/>
      <c r="NAC5" s="107"/>
      <c r="NAD5" s="107"/>
      <c r="NAE5" s="107"/>
      <c r="NAF5" s="107"/>
      <c r="NAG5" s="107"/>
      <c r="NAH5" s="107"/>
      <c r="NAI5" s="107"/>
      <c r="NAJ5" s="107"/>
      <c r="NAK5" s="107"/>
      <c r="NAL5" s="107"/>
      <c r="NAM5" s="107"/>
      <c r="NAN5" s="107"/>
      <c r="NAO5" s="107"/>
      <c r="NAP5" s="107"/>
      <c r="NAQ5" s="107"/>
      <c r="NAR5" s="107"/>
      <c r="NAS5" s="107"/>
      <c r="NAT5" s="107"/>
      <c r="NAU5" s="107"/>
      <c r="NAV5" s="107"/>
      <c r="NAW5" s="107"/>
      <c r="NAX5" s="107"/>
      <c r="NAY5" s="107"/>
      <c r="NAZ5" s="107"/>
      <c r="NBA5" s="107"/>
      <c r="NBB5" s="107"/>
      <c r="NBC5" s="107"/>
      <c r="NBD5" s="107"/>
      <c r="NBE5" s="107"/>
      <c r="NBF5" s="107"/>
      <c r="NBG5" s="107"/>
      <c r="NBH5" s="107"/>
      <c r="NBI5" s="107"/>
      <c r="NBJ5" s="107"/>
      <c r="NBK5" s="107"/>
      <c r="NBL5" s="107"/>
      <c r="NBM5" s="107"/>
      <c r="NBN5" s="107"/>
      <c r="NBO5" s="107"/>
      <c r="NBP5" s="107"/>
      <c r="NBQ5" s="107"/>
      <c r="NBR5" s="107"/>
      <c r="NBS5" s="107"/>
      <c r="NBT5" s="107"/>
      <c r="NBU5" s="107"/>
      <c r="NBV5" s="107"/>
      <c r="NBW5" s="107"/>
      <c r="NBX5" s="107"/>
      <c r="NBY5" s="107"/>
      <c r="NBZ5" s="107"/>
      <c r="NCA5" s="107"/>
      <c r="NCB5" s="107"/>
      <c r="NCC5" s="107"/>
      <c r="NCD5" s="107"/>
      <c r="NCE5" s="107"/>
      <c r="NCF5" s="107"/>
      <c r="NCG5" s="107"/>
      <c r="NCH5" s="107"/>
      <c r="NCI5" s="107"/>
      <c r="NCJ5" s="107"/>
      <c r="NCK5" s="107"/>
      <c r="NCL5" s="107"/>
      <c r="NCM5" s="107"/>
      <c r="NCN5" s="107"/>
      <c r="NCO5" s="107"/>
      <c r="NCP5" s="107"/>
      <c r="NCQ5" s="107"/>
      <c r="NCR5" s="107"/>
      <c r="NCS5" s="107"/>
      <c r="NCT5" s="107"/>
      <c r="NCU5" s="107"/>
      <c r="NCV5" s="107"/>
      <c r="NCW5" s="107"/>
      <c r="NCX5" s="107"/>
      <c r="NCY5" s="107"/>
      <c r="NCZ5" s="107"/>
      <c r="NDA5" s="107"/>
      <c r="NDB5" s="107"/>
      <c r="NDC5" s="107"/>
      <c r="NDD5" s="107"/>
      <c r="NDE5" s="107"/>
      <c r="NDF5" s="107"/>
      <c r="NDG5" s="107"/>
      <c r="NDH5" s="107"/>
      <c r="NDI5" s="107"/>
      <c r="NDJ5" s="107"/>
      <c r="NDK5" s="107"/>
      <c r="NDL5" s="107"/>
      <c r="NDM5" s="107"/>
      <c r="NDN5" s="107"/>
      <c r="NDO5" s="107"/>
      <c r="NDP5" s="107"/>
      <c r="NDQ5" s="107"/>
      <c r="NDR5" s="107"/>
      <c r="NDS5" s="107"/>
      <c r="NDT5" s="107"/>
      <c r="NDU5" s="107"/>
      <c r="NDV5" s="107"/>
      <c r="NDW5" s="107"/>
      <c r="NDX5" s="107"/>
      <c r="NDY5" s="107"/>
      <c r="NDZ5" s="107"/>
      <c r="NEA5" s="107"/>
      <c r="NEB5" s="107"/>
      <c r="NEC5" s="107"/>
      <c r="NED5" s="107"/>
      <c r="NEE5" s="107"/>
      <c r="NEF5" s="107"/>
      <c r="NEG5" s="107"/>
      <c r="NEH5" s="107"/>
      <c r="NEI5" s="107"/>
      <c r="NEJ5" s="107"/>
      <c r="NEK5" s="107"/>
      <c r="NEL5" s="107"/>
      <c r="NEM5" s="107"/>
      <c r="NEN5" s="107"/>
      <c r="NEO5" s="107"/>
      <c r="NEP5" s="107"/>
      <c r="NEQ5" s="107"/>
      <c r="NER5" s="107"/>
      <c r="NES5" s="107"/>
      <c r="NET5" s="107"/>
      <c r="NEU5" s="107"/>
      <c r="NEV5" s="107"/>
      <c r="NEW5" s="107"/>
      <c r="NEX5" s="107"/>
      <c r="NEY5" s="107"/>
      <c r="NEZ5" s="107"/>
      <c r="NFA5" s="107"/>
      <c r="NFB5" s="107"/>
      <c r="NFC5" s="107"/>
      <c r="NFD5" s="107"/>
      <c r="NFE5" s="107"/>
      <c r="NFF5" s="107"/>
      <c r="NFG5" s="107"/>
      <c r="NFH5" s="107"/>
      <c r="NFI5" s="107"/>
      <c r="NFJ5" s="107"/>
      <c r="NFK5" s="107"/>
      <c r="NFL5" s="107"/>
      <c r="NFM5" s="107"/>
      <c r="NFN5" s="107"/>
      <c r="NFO5" s="107"/>
      <c r="NFP5" s="107"/>
      <c r="NFQ5" s="107"/>
      <c r="NFR5" s="107"/>
      <c r="NFS5" s="107"/>
      <c r="NFT5" s="107"/>
      <c r="NFU5" s="107"/>
      <c r="NFV5" s="107"/>
      <c r="NFW5" s="107"/>
      <c r="NFX5" s="107"/>
      <c r="NFY5" s="107"/>
      <c r="NFZ5" s="107"/>
      <c r="NGA5" s="107"/>
      <c r="NGB5" s="107"/>
      <c r="NGC5" s="107"/>
      <c r="NGD5" s="107"/>
      <c r="NGE5" s="107"/>
      <c r="NGF5" s="107"/>
      <c r="NGG5" s="107"/>
      <c r="NGH5" s="107"/>
      <c r="NGI5" s="107"/>
      <c r="NGJ5" s="107"/>
      <c r="NGK5" s="107"/>
      <c r="NGL5" s="107"/>
      <c r="NGM5" s="107"/>
      <c r="NGN5" s="107"/>
      <c r="NGO5" s="107"/>
      <c r="NGP5" s="107"/>
      <c r="NGQ5" s="107"/>
      <c r="NGR5" s="107"/>
      <c r="NGS5" s="107"/>
      <c r="NGT5" s="107"/>
      <c r="NGU5" s="107"/>
      <c r="NGV5" s="107"/>
      <c r="NGW5" s="107"/>
      <c r="NGX5" s="107"/>
      <c r="NGY5" s="107"/>
      <c r="NGZ5" s="107"/>
      <c r="NHA5" s="107"/>
      <c r="NHB5" s="107"/>
      <c r="NHC5" s="107"/>
      <c r="NHD5" s="107"/>
      <c r="NHE5" s="107"/>
      <c r="NHF5" s="107"/>
      <c r="NHG5" s="107"/>
      <c r="NHH5" s="107"/>
      <c r="NHI5" s="107"/>
      <c r="NHJ5" s="107"/>
      <c r="NHK5" s="107"/>
      <c r="NHL5" s="107"/>
      <c r="NHM5" s="107"/>
      <c r="NHN5" s="107"/>
      <c r="NHO5" s="107"/>
      <c r="NHP5" s="107"/>
      <c r="NHQ5" s="107"/>
      <c r="NHR5" s="107"/>
      <c r="NHS5" s="107"/>
      <c r="NHT5" s="107"/>
      <c r="NHU5" s="107"/>
      <c r="NHV5" s="107"/>
      <c r="NHW5" s="107"/>
      <c r="NHX5" s="107"/>
      <c r="NHY5" s="107"/>
      <c r="NHZ5" s="107"/>
      <c r="NIA5" s="107"/>
      <c r="NIB5" s="107"/>
      <c r="NIC5" s="107"/>
      <c r="NID5" s="107"/>
      <c r="NIE5" s="107"/>
      <c r="NIF5" s="107"/>
      <c r="NIG5" s="107"/>
      <c r="NIH5" s="107"/>
      <c r="NII5" s="107"/>
      <c r="NIJ5" s="107"/>
      <c r="NIK5" s="107"/>
      <c r="NIL5" s="107"/>
      <c r="NIM5" s="107"/>
      <c r="NIN5" s="107"/>
      <c r="NIO5" s="107"/>
      <c r="NIP5" s="107"/>
      <c r="NIQ5" s="107"/>
      <c r="NIR5" s="107"/>
      <c r="NIS5" s="107"/>
      <c r="NIT5" s="107"/>
      <c r="NIU5" s="107"/>
      <c r="NIV5" s="107"/>
      <c r="NIW5" s="107"/>
      <c r="NIX5" s="107"/>
      <c r="NIY5" s="107"/>
      <c r="NIZ5" s="107"/>
      <c r="NJA5" s="107"/>
      <c r="NJB5" s="107"/>
      <c r="NJC5" s="107"/>
      <c r="NJD5" s="107"/>
      <c r="NJE5" s="107"/>
      <c r="NJF5" s="107"/>
      <c r="NJG5" s="107"/>
      <c r="NJH5" s="107"/>
      <c r="NJI5" s="107"/>
      <c r="NJJ5" s="107"/>
      <c r="NJK5" s="107"/>
      <c r="NJL5" s="107"/>
      <c r="NJM5" s="107"/>
      <c r="NJN5" s="107"/>
      <c r="NJO5" s="107"/>
      <c r="NJP5" s="107"/>
      <c r="NJQ5" s="107"/>
      <c r="NJR5" s="107"/>
      <c r="NJS5" s="107"/>
      <c r="NJT5" s="107"/>
      <c r="NJU5" s="107"/>
      <c r="NJV5" s="107"/>
      <c r="NJW5" s="107"/>
      <c r="NJX5" s="107"/>
      <c r="NJY5" s="107"/>
      <c r="NJZ5" s="107"/>
      <c r="NKA5" s="107"/>
      <c r="NKB5" s="107"/>
      <c r="NKC5" s="107"/>
      <c r="NKD5" s="107"/>
      <c r="NKE5" s="107"/>
      <c r="NKF5" s="107"/>
      <c r="NKG5" s="107"/>
      <c r="NKH5" s="107"/>
      <c r="NKI5" s="107"/>
      <c r="NKJ5" s="107"/>
      <c r="NKK5" s="107"/>
      <c r="NKL5" s="107"/>
      <c r="NKM5" s="107"/>
      <c r="NKN5" s="107"/>
      <c r="NKO5" s="107"/>
      <c r="NKP5" s="107"/>
      <c r="NKQ5" s="107"/>
      <c r="NKR5" s="107"/>
      <c r="NKS5" s="107"/>
      <c r="NKT5" s="107"/>
      <c r="NKU5" s="107"/>
      <c r="NKV5" s="107"/>
      <c r="NKW5" s="107"/>
      <c r="NKX5" s="107"/>
      <c r="NKY5" s="107"/>
      <c r="NKZ5" s="107"/>
      <c r="NLA5" s="107"/>
      <c r="NLB5" s="107"/>
      <c r="NLC5" s="107"/>
      <c r="NLD5" s="107"/>
      <c r="NLE5" s="107"/>
      <c r="NLF5" s="107"/>
      <c r="NLG5" s="107"/>
      <c r="NLH5" s="107"/>
      <c r="NLI5" s="107"/>
      <c r="NLJ5" s="107"/>
      <c r="NLK5" s="107"/>
      <c r="NLL5" s="107"/>
      <c r="NLM5" s="107"/>
      <c r="NLN5" s="107"/>
      <c r="NLO5" s="107"/>
      <c r="NLP5" s="107"/>
      <c r="NLQ5" s="107"/>
      <c r="NLR5" s="107"/>
      <c r="NLS5" s="107"/>
      <c r="NLT5" s="107"/>
      <c r="NLU5" s="107"/>
      <c r="NLV5" s="107"/>
      <c r="NLW5" s="107"/>
      <c r="NLX5" s="107"/>
      <c r="NLY5" s="107"/>
      <c r="NLZ5" s="107"/>
      <c r="NMA5" s="107"/>
      <c r="NMB5" s="107"/>
      <c r="NMC5" s="107"/>
      <c r="NMD5" s="107"/>
      <c r="NME5" s="107"/>
      <c r="NMF5" s="107"/>
      <c r="NMG5" s="107"/>
      <c r="NMH5" s="107"/>
      <c r="NMI5" s="107"/>
      <c r="NMJ5" s="107"/>
      <c r="NMK5" s="107"/>
      <c r="NML5" s="107"/>
      <c r="NMM5" s="107"/>
      <c r="NMN5" s="107"/>
      <c r="NMO5" s="107"/>
      <c r="NMP5" s="107"/>
      <c r="NMQ5" s="107"/>
      <c r="NMR5" s="107"/>
      <c r="NMS5" s="107"/>
      <c r="NMT5" s="107"/>
      <c r="NMU5" s="107"/>
      <c r="NMV5" s="107"/>
      <c r="NMW5" s="107"/>
      <c r="NMX5" s="107"/>
      <c r="NMY5" s="107"/>
      <c r="NMZ5" s="107"/>
      <c r="NNA5" s="107"/>
      <c r="NNB5" s="107"/>
      <c r="NNC5" s="107"/>
      <c r="NND5" s="107"/>
      <c r="NNE5" s="107"/>
      <c r="NNF5" s="107"/>
      <c r="NNG5" s="107"/>
      <c r="NNH5" s="107"/>
      <c r="NNI5" s="107"/>
      <c r="NNJ5" s="107"/>
      <c r="NNK5" s="107"/>
      <c r="NNL5" s="107"/>
      <c r="NNM5" s="107"/>
      <c r="NNN5" s="107"/>
      <c r="NNO5" s="107"/>
      <c r="NNP5" s="107"/>
      <c r="NNQ5" s="107"/>
      <c r="NNR5" s="107"/>
      <c r="NNS5" s="107"/>
      <c r="NNT5" s="107"/>
      <c r="NNU5" s="107"/>
      <c r="NNV5" s="107"/>
      <c r="NNW5" s="107"/>
      <c r="NNX5" s="107"/>
      <c r="NNY5" s="107"/>
      <c r="NNZ5" s="107"/>
      <c r="NOA5" s="107"/>
      <c r="NOB5" s="107"/>
      <c r="NOC5" s="107"/>
      <c r="NOD5" s="107"/>
      <c r="NOE5" s="107"/>
      <c r="NOF5" s="107"/>
      <c r="NOG5" s="107"/>
      <c r="NOH5" s="107"/>
      <c r="NOI5" s="107"/>
      <c r="NOJ5" s="107"/>
      <c r="NOK5" s="107"/>
      <c r="NOL5" s="107"/>
      <c r="NOM5" s="107"/>
      <c r="NON5" s="107"/>
      <c r="NOO5" s="107"/>
      <c r="NOP5" s="107"/>
      <c r="NOQ5" s="107"/>
      <c r="NOR5" s="107"/>
      <c r="NOS5" s="107"/>
      <c r="NOT5" s="107"/>
      <c r="NOU5" s="107"/>
      <c r="NOV5" s="107"/>
      <c r="NOW5" s="107"/>
      <c r="NOX5" s="107"/>
      <c r="NOY5" s="107"/>
      <c r="NOZ5" s="107"/>
      <c r="NPA5" s="107"/>
      <c r="NPB5" s="107"/>
      <c r="NPC5" s="107"/>
      <c r="NPD5" s="107"/>
      <c r="NPE5" s="107"/>
      <c r="NPF5" s="107"/>
      <c r="NPG5" s="107"/>
      <c r="NPH5" s="107"/>
      <c r="NPI5" s="107"/>
      <c r="NPJ5" s="107"/>
      <c r="NPK5" s="107"/>
      <c r="NPL5" s="107"/>
      <c r="NPM5" s="107"/>
      <c r="NPN5" s="107"/>
      <c r="NPO5" s="107"/>
      <c r="NPP5" s="107"/>
      <c r="NPQ5" s="107"/>
      <c r="NPR5" s="107"/>
      <c r="NPS5" s="107"/>
      <c r="NPT5" s="107"/>
      <c r="NPU5" s="107"/>
      <c r="NPV5" s="107"/>
      <c r="NPW5" s="107"/>
      <c r="NPX5" s="107"/>
      <c r="NPY5" s="107"/>
      <c r="NPZ5" s="107"/>
      <c r="NQA5" s="107"/>
      <c r="NQB5" s="107"/>
      <c r="NQC5" s="107"/>
      <c r="NQD5" s="107"/>
      <c r="NQE5" s="107"/>
      <c r="NQF5" s="107"/>
      <c r="NQG5" s="107"/>
      <c r="NQH5" s="107"/>
      <c r="NQI5" s="107"/>
      <c r="NQJ5" s="107"/>
      <c r="NQK5" s="107"/>
      <c r="NQL5" s="107"/>
      <c r="NQM5" s="107"/>
      <c r="NQN5" s="107"/>
      <c r="NQO5" s="107"/>
      <c r="NQP5" s="107"/>
      <c r="NQQ5" s="107"/>
      <c r="NQR5" s="107"/>
      <c r="NQS5" s="107"/>
      <c r="NQT5" s="107"/>
      <c r="NQU5" s="107"/>
      <c r="NQV5" s="107"/>
      <c r="NQW5" s="107"/>
      <c r="NQX5" s="107"/>
      <c r="NQY5" s="107"/>
      <c r="NQZ5" s="107"/>
      <c r="NRA5" s="107"/>
      <c r="NRB5" s="107"/>
      <c r="NRC5" s="107"/>
      <c r="NRD5" s="107"/>
      <c r="NRE5" s="107"/>
      <c r="NRF5" s="107"/>
      <c r="NRG5" s="107"/>
      <c r="NRH5" s="107"/>
      <c r="NRI5" s="107"/>
      <c r="NRJ5" s="107"/>
      <c r="NRK5" s="107"/>
      <c r="NRL5" s="107"/>
      <c r="NRM5" s="107"/>
      <c r="NRN5" s="107"/>
      <c r="NRO5" s="107"/>
      <c r="NRP5" s="107"/>
      <c r="NRQ5" s="107"/>
      <c r="NRR5" s="107"/>
      <c r="NRS5" s="107"/>
      <c r="NRT5" s="107"/>
      <c r="NRU5" s="107"/>
      <c r="NRV5" s="107"/>
      <c r="NRW5" s="107"/>
      <c r="NRX5" s="107"/>
      <c r="NRY5" s="107"/>
      <c r="NRZ5" s="107"/>
      <c r="NSA5" s="107"/>
      <c r="NSB5" s="107"/>
      <c r="NSC5" s="107"/>
      <c r="NSD5" s="107"/>
      <c r="NSE5" s="107"/>
      <c r="NSF5" s="107"/>
      <c r="NSG5" s="107"/>
      <c r="NSH5" s="107"/>
      <c r="NSI5" s="107"/>
      <c r="NSJ5" s="107"/>
      <c r="NSK5" s="107"/>
      <c r="NSL5" s="107"/>
      <c r="NSM5" s="107"/>
      <c r="NSN5" s="107"/>
      <c r="NSO5" s="107"/>
      <c r="NSP5" s="107"/>
      <c r="NSQ5" s="107"/>
      <c r="NSR5" s="107"/>
      <c r="NSS5" s="107"/>
      <c r="NST5" s="107"/>
      <c r="NSU5" s="107"/>
      <c r="NSV5" s="107"/>
      <c r="NSW5" s="107"/>
      <c r="NSX5" s="107"/>
      <c r="NSY5" s="107"/>
      <c r="NSZ5" s="107"/>
      <c r="NTA5" s="107"/>
      <c r="NTB5" s="107"/>
      <c r="NTC5" s="107"/>
      <c r="NTD5" s="107"/>
      <c r="NTE5" s="107"/>
      <c r="NTF5" s="107"/>
      <c r="NTG5" s="107"/>
      <c r="NTH5" s="107"/>
      <c r="NTI5" s="107"/>
      <c r="NTJ5" s="107"/>
      <c r="NTK5" s="107"/>
      <c r="NTL5" s="107"/>
      <c r="NTM5" s="107"/>
      <c r="NTN5" s="107"/>
      <c r="NTO5" s="107"/>
      <c r="NTP5" s="107"/>
      <c r="NTQ5" s="107"/>
      <c r="NTR5" s="107"/>
      <c r="NTS5" s="107"/>
      <c r="NTT5" s="107"/>
      <c r="NTU5" s="107"/>
      <c r="NTV5" s="107"/>
      <c r="NTW5" s="107"/>
      <c r="NTX5" s="107"/>
      <c r="NTY5" s="107"/>
      <c r="NTZ5" s="107"/>
      <c r="NUA5" s="107"/>
      <c r="NUB5" s="107"/>
      <c r="NUC5" s="107"/>
      <c r="NUD5" s="107"/>
      <c r="NUE5" s="107"/>
      <c r="NUF5" s="107"/>
      <c r="NUG5" s="107"/>
      <c r="NUH5" s="107"/>
      <c r="NUI5" s="107"/>
      <c r="NUJ5" s="107"/>
      <c r="NUK5" s="107"/>
      <c r="NUL5" s="107"/>
      <c r="NUM5" s="107"/>
      <c r="NUN5" s="107"/>
      <c r="NUO5" s="107"/>
      <c r="NUP5" s="107"/>
      <c r="NUQ5" s="107"/>
      <c r="NUR5" s="107"/>
      <c r="NUS5" s="107"/>
      <c r="NUT5" s="107"/>
      <c r="NUU5" s="107"/>
      <c r="NUV5" s="107"/>
      <c r="NUW5" s="107"/>
      <c r="NUX5" s="107"/>
      <c r="NUY5" s="107"/>
      <c r="NUZ5" s="107"/>
      <c r="NVA5" s="107"/>
      <c r="NVB5" s="107"/>
      <c r="NVC5" s="107"/>
      <c r="NVD5" s="107"/>
      <c r="NVE5" s="107"/>
      <c r="NVF5" s="107"/>
      <c r="NVG5" s="107"/>
      <c r="NVH5" s="107"/>
      <c r="NVI5" s="107"/>
      <c r="NVJ5" s="107"/>
      <c r="NVK5" s="107"/>
      <c r="NVL5" s="107"/>
      <c r="NVM5" s="107"/>
      <c r="NVN5" s="107"/>
      <c r="NVO5" s="107"/>
      <c r="NVP5" s="107"/>
      <c r="NVQ5" s="107"/>
      <c r="NVR5" s="107"/>
      <c r="NVS5" s="107"/>
      <c r="NVT5" s="107"/>
      <c r="NVU5" s="107"/>
      <c r="NVV5" s="107"/>
      <c r="NVW5" s="107"/>
      <c r="NVX5" s="107"/>
      <c r="NVY5" s="107"/>
      <c r="NVZ5" s="107"/>
      <c r="NWA5" s="107"/>
      <c r="NWB5" s="107"/>
      <c r="NWC5" s="107"/>
      <c r="NWD5" s="107"/>
      <c r="NWE5" s="107"/>
      <c r="NWF5" s="107"/>
      <c r="NWG5" s="107"/>
      <c r="NWH5" s="107"/>
      <c r="NWI5" s="107"/>
      <c r="NWJ5" s="107"/>
      <c r="NWK5" s="107"/>
      <c r="NWL5" s="107"/>
      <c r="NWM5" s="107"/>
      <c r="NWN5" s="107"/>
      <c r="NWO5" s="107"/>
      <c r="NWP5" s="107"/>
      <c r="NWQ5" s="107"/>
      <c r="NWR5" s="107"/>
      <c r="NWS5" s="107"/>
      <c r="NWT5" s="107"/>
      <c r="NWU5" s="107"/>
      <c r="NWV5" s="107"/>
      <c r="NWW5" s="107"/>
      <c r="NWX5" s="107"/>
      <c r="NWY5" s="107"/>
      <c r="NWZ5" s="107"/>
      <c r="NXA5" s="107"/>
      <c r="NXB5" s="107"/>
      <c r="NXC5" s="107"/>
      <c r="NXD5" s="107"/>
      <c r="NXE5" s="107"/>
      <c r="NXF5" s="107"/>
      <c r="NXG5" s="107"/>
      <c r="NXH5" s="107"/>
      <c r="NXI5" s="107"/>
      <c r="NXJ5" s="107"/>
      <c r="NXK5" s="107"/>
      <c r="NXL5" s="107"/>
      <c r="NXM5" s="107"/>
      <c r="NXN5" s="107"/>
      <c r="NXO5" s="107"/>
      <c r="NXP5" s="107"/>
      <c r="NXQ5" s="107"/>
      <c r="NXR5" s="107"/>
      <c r="NXS5" s="107"/>
      <c r="NXT5" s="107"/>
      <c r="NXU5" s="107"/>
      <c r="NXV5" s="107"/>
      <c r="NXW5" s="107"/>
      <c r="NXX5" s="107"/>
      <c r="NXY5" s="107"/>
      <c r="NXZ5" s="107"/>
      <c r="NYA5" s="107"/>
      <c r="NYB5" s="107"/>
      <c r="NYC5" s="107"/>
      <c r="NYD5" s="107"/>
      <c r="NYE5" s="107"/>
      <c r="NYF5" s="107"/>
      <c r="NYG5" s="107"/>
      <c r="NYH5" s="107"/>
      <c r="NYI5" s="107"/>
      <c r="NYJ5" s="107"/>
      <c r="NYK5" s="107"/>
      <c r="NYL5" s="107"/>
      <c r="NYM5" s="107"/>
      <c r="NYN5" s="107"/>
      <c r="NYO5" s="107"/>
      <c r="NYP5" s="107"/>
      <c r="NYQ5" s="107"/>
      <c r="NYR5" s="107"/>
      <c r="NYS5" s="107"/>
      <c r="NYT5" s="107"/>
      <c r="NYU5" s="107"/>
      <c r="NYV5" s="107"/>
      <c r="NYW5" s="107"/>
      <c r="NYX5" s="107"/>
      <c r="NYY5" s="107"/>
      <c r="NYZ5" s="107"/>
      <c r="NZA5" s="107"/>
      <c r="NZB5" s="107"/>
      <c r="NZC5" s="107"/>
      <c r="NZD5" s="107"/>
      <c r="NZE5" s="107"/>
      <c r="NZF5" s="107"/>
      <c r="NZG5" s="107"/>
      <c r="NZH5" s="107"/>
      <c r="NZI5" s="107"/>
      <c r="NZJ5" s="107"/>
      <c r="NZK5" s="107"/>
      <c r="NZL5" s="107"/>
      <c r="NZM5" s="107"/>
      <c r="NZN5" s="107"/>
      <c r="NZO5" s="107"/>
      <c r="NZP5" s="107"/>
      <c r="NZQ5" s="107"/>
      <c r="NZR5" s="107"/>
      <c r="NZS5" s="107"/>
      <c r="NZT5" s="107"/>
      <c r="NZU5" s="107"/>
      <c r="NZV5" s="107"/>
      <c r="NZW5" s="107"/>
      <c r="NZX5" s="107"/>
      <c r="NZY5" s="107"/>
      <c r="NZZ5" s="107"/>
      <c r="OAA5" s="107"/>
      <c r="OAB5" s="107"/>
      <c r="OAC5" s="107"/>
      <c r="OAD5" s="107"/>
      <c r="OAE5" s="107"/>
      <c r="OAF5" s="107"/>
      <c r="OAG5" s="107"/>
      <c r="OAH5" s="107"/>
      <c r="OAI5" s="107"/>
      <c r="OAJ5" s="107"/>
      <c r="OAK5" s="107"/>
      <c r="OAL5" s="107"/>
      <c r="OAM5" s="107"/>
      <c r="OAN5" s="107"/>
      <c r="OAO5" s="107"/>
      <c r="OAP5" s="107"/>
      <c r="OAQ5" s="107"/>
      <c r="OAR5" s="107"/>
      <c r="OAS5" s="107"/>
      <c r="OAT5" s="107"/>
      <c r="OAU5" s="107"/>
      <c r="OAV5" s="107"/>
      <c r="OAW5" s="107"/>
      <c r="OAX5" s="107"/>
      <c r="OAY5" s="107"/>
      <c r="OAZ5" s="107"/>
      <c r="OBA5" s="107"/>
      <c r="OBB5" s="107"/>
      <c r="OBC5" s="107"/>
      <c r="OBD5" s="107"/>
      <c r="OBE5" s="107"/>
      <c r="OBF5" s="107"/>
      <c r="OBG5" s="107"/>
      <c r="OBH5" s="107"/>
      <c r="OBI5" s="107"/>
      <c r="OBJ5" s="107"/>
      <c r="OBK5" s="107"/>
      <c r="OBL5" s="107"/>
      <c r="OBM5" s="107"/>
      <c r="OBN5" s="107"/>
      <c r="OBO5" s="107"/>
      <c r="OBP5" s="107"/>
      <c r="OBQ5" s="107"/>
      <c r="OBR5" s="107"/>
      <c r="OBS5" s="107"/>
      <c r="OBT5" s="107"/>
      <c r="OBU5" s="107"/>
      <c r="OBV5" s="107"/>
      <c r="OBW5" s="107"/>
      <c r="OBX5" s="107"/>
      <c r="OBY5" s="107"/>
      <c r="OBZ5" s="107"/>
      <c r="OCA5" s="107"/>
      <c r="OCB5" s="107"/>
      <c r="OCC5" s="107"/>
      <c r="OCD5" s="107"/>
      <c r="OCE5" s="107"/>
      <c r="OCF5" s="107"/>
      <c r="OCG5" s="107"/>
      <c r="OCH5" s="107"/>
      <c r="OCI5" s="107"/>
      <c r="OCJ5" s="107"/>
      <c r="OCK5" s="107"/>
      <c r="OCL5" s="107"/>
      <c r="OCM5" s="107"/>
      <c r="OCN5" s="107"/>
      <c r="OCO5" s="107"/>
      <c r="OCP5" s="107"/>
      <c r="OCQ5" s="107"/>
      <c r="OCR5" s="107"/>
      <c r="OCS5" s="107"/>
      <c r="OCT5" s="107"/>
      <c r="OCU5" s="107"/>
      <c r="OCV5" s="107"/>
      <c r="OCW5" s="107"/>
      <c r="OCX5" s="107"/>
      <c r="OCY5" s="107"/>
      <c r="OCZ5" s="107"/>
      <c r="ODA5" s="107"/>
      <c r="ODB5" s="107"/>
      <c r="ODC5" s="107"/>
      <c r="ODD5" s="107"/>
      <c r="ODE5" s="107"/>
      <c r="ODF5" s="107"/>
      <c r="ODG5" s="107"/>
      <c r="ODH5" s="107"/>
      <c r="ODI5" s="107"/>
      <c r="ODJ5" s="107"/>
      <c r="ODK5" s="107"/>
      <c r="ODL5" s="107"/>
      <c r="ODM5" s="107"/>
      <c r="ODN5" s="107"/>
      <c r="ODO5" s="107"/>
      <c r="ODP5" s="107"/>
      <c r="ODQ5" s="107"/>
      <c r="ODR5" s="107"/>
      <c r="ODS5" s="107"/>
      <c r="ODT5" s="107"/>
      <c r="ODU5" s="107"/>
      <c r="ODV5" s="107"/>
      <c r="ODW5" s="107"/>
      <c r="ODX5" s="107"/>
      <c r="ODY5" s="107"/>
      <c r="ODZ5" s="107"/>
      <c r="OEA5" s="107"/>
      <c r="OEB5" s="107"/>
      <c r="OEC5" s="107"/>
      <c r="OED5" s="107"/>
      <c r="OEE5" s="107"/>
      <c r="OEF5" s="107"/>
      <c r="OEG5" s="107"/>
      <c r="OEH5" s="107"/>
      <c r="OEI5" s="107"/>
      <c r="OEJ5" s="107"/>
      <c r="OEK5" s="107"/>
      <c r="OEL5" s="107"/>
      <c r="OEM5" s="107"/>
      <c r="OEN5" s="107"/>
      <c r="OEO5" s="107"/>
      <c r="OEP5" s="107"/>
      <c r="OEQ5" s="107"/>
      <c r="OER5" s="107"/>
      <c r="OES5" s="107"/>
      <c r="OET5" s="107"/>
      <c r="OEU5" s="107"/>
      <c r="OEV5" s="107"/>
      <c r="OEW5" s="107"/>
      <c r="OEX5" s="107"/>
      <c r="OEY5" s="107"/>
      <c r="OEZ5" s="107"/>
      <c r="OFA5" s="107"/>
      <c r="OFB5" s="107"/>
      <c r="OFC5" s="107"/>
      <c r="OFD5" s="107"/>
      <c r="OFE5" s="107"/>
      <c r="OFF5" s="107"/>
      <c r="OFG5" s="107"/>
      <c r="OFH5" s="107"/>
      <c r="OFI5" s="107"/>
      <c r="OFJ5" s="107"/>
      <c r="OFK5" s="107"/>
      <c r="OFL5" s="107"/>
      <c r="OFM5" s="107"/>
      <c r="OFN5" s="107"/>
      <c r="OFO5" s="107"/>
      <c r="OFP5" s="107"/>
      <c r="OFQ5" s="107"/>
      <c r="OFR5" s="107"/>
      <c r="OFS5" s="107"/>
      <c r="OFT5" s="107"/>
      <c r="OFU5" s="107"/>
      <c r="OFV5" s="107"/>
      <c r="OFW5" s="107"/>
      <c r="OFX5" s="107"/>
      <c r="OFY5" s="107"/>
      <c r="OFZ5" s="107"/>
      <c r="OGA5" s="107"/>
      <c r="OGB5" s="107"/>
      <c r="OGC5" s="107"/>
      <c r="OGD5" s="107"/>
      <c r="OGE5" s="107"/>
      <c r="OGF5" s="107"/>
      <c r="OGG5" s="107"/>
      <c r="OGH5" s="107"/>
      <c r="OGI5" s="107"/>
      <c r="OGJ5" s="107"/>
      <c r="OGK5" s="107"/>
      <c r="OGL5" s="107"/>
      <c r="OGM5" s="107"/>
      <c r="OGN5" s="107"/>
      <c r="OGO5" s="107"/>
      <c r="OGP5" s="107"/>
      <c r="OGQ5" s="107"/>
      <c r="OGR5" s="107"/>
      <c r="OGS5" s="107"/>
      <c r="OGT5" s="107"/>
      <c r="OGU5" s="107"/>
      <c r="OGV5" s="107"/>
      <c r="OGW5" s="107"/>
      <c r="OGX5" s="107"/>
      <c r="OGY5" s="107"/>
      <c r="OGZ5" s="107"/>
      <c r="OHA5" s="107"/>
      <c r="OHB5" s="107"/>
      <c r="OHC5" s="107"/>
      <c r="OHD5" s="107"/>
      <c r="OHE5" s="107"/>
      <c r="OHF5" s="107"/>
      <c r="OHG5" s="107"/>
      <c r="OHH5" s="107"/>
      <c r="OHI5" s="107"/>
      <c r="OHJ5" s="107"/>
      <c r="OHK5" s="107"/>
      <c r="OHL5" s="107"/>
      <c r="OHM5" s="107"/>
      <c r="OHN5" s="107"/>
      <c r="OHO5" s="107"/>
      <c r="OHP5" s="107"/>
      <c r="OHQ5" s="107"/>
      <c r="OHR5" s="107"/>
      <c r="OHS5" s="107"/>
      <c r="OHT5" s="107"/>
      <c r="OHU5" s="107"/>
      <c r="OHV5" s="107"/>
      <c r="OHW5" s="107"/>
      <c r="OHX5" s="107"/>
      <c r="OHY5" s="107"/>
      <c r="OHZ5" s="107"/>
      <c r="OIA5" s="107"/>
      <c r="OIB5" s="107"/>
      <c r="OIC5" s="107"/>
      <c r="OID5" s="107"/>
      <c r="OIE5" s="107"/>
      <c r="OIF5" s="107"/>
      <c r="OIG5" s="107"/>
      <c r="OIH5" s="107"/>
      <c r="OII5" s="107"/>
      <c r="OIJ5" s="107"/>
      <c r="OIK5" s="107"/>
      <c r="OIL5" s="107"/>
      <c r="OIM5" s="107"/>
      <c r="OIN5" s="107"/>
      <c r="OIO5" s="107"/>
      <c r="OIP5" s="107"/>
      <c r="OIQ5" s="107"/>
      <c r="OIR5" s="107"/>
      <c r="OIS5" s="107"/>
      <c r="OIT5" s="107"/>
      <c r="OIU5" s="107"/>
      <c r="OIV5" s="107"/>
      <c r="OIW5" s="107"/>
      <c r="OIX5" s="107"/>
      <c r="OIY5" s="107"/>
      <c r="OIZ5" s="107"/>
      <c r="OJA5" s="107"/>
      <c r="OJB5" s="107"/>
      <c r="OJC5" s="107"/>
      <c r="OJD5" s="107"/>
      <c r="OJE5" s="107"/>
      <c r="OJF5" s="107"/>
      <c r="OJG5" s="107"/>
      <c r="OJH5" s="107"/>
      <c r="OJI5" s="107"/>
      <c r="OJJ5" s="107"/>
      <c r="OJK5" s="107"/>
      <c r="OJL5" s="107"/>
      <c r="OJM5" s="107"/>
      <c r="OJN5" s="107"/>
      <c r="OJO5" s="107"/>
      <c r="OJP5" s="107"/>
      <c r="OJQ5" s="107"/>
      <c r="OJR5" s="107"/>
      <c r="OJS5" s="107"/>
      <c r="OJT5" s="107"/>
      <c r="OJU5" s="107"/>
      <c r="OJV5" s="107"/>
      <c r="OJW5" s="107"/>
      <c r="OJX5" s="107"/>
      <c r="OJY5" s="107"/>
      <c r="OJZ5" s="107"/>
      <c r="OKA5" s="107"/>
      <c r="OKB5" s="107"/>
      <c r="OKC5" s="107"/>
      <c r="OKD5" s="107"/>
      <c r="OKE5" s="107"/>
      <c r="OKF5" s="107"/>
      <c r="OKG5" s="107"/>
      <c r="OKH5" s="107"/>
      <c r="OKI5" s="107"/>
      <c r="OKJ5" s="107"/>
      <c r="OKK5" s="107"/>
      <c r="OKL5" s="107"/>
      <c r="OKM5" s="107"/>
      <c r="OKN5" s="107"/>
      <c r="OKO5" s="107"/>
      <c r="OKP5" s="107"/>
      <c r="OKQ5" s="107"/>
      <c r="OKR5" s="107"/>
      <c r="OKS5" s="107"/>
      <c r="OKT5" s="107"/>
      <c r="OKU5" s="107"/>
      <c r="OKV5" s="107"/>
      <c r="OKW5" s="107"/>
      <c r="OKX5" s="107"/>
      <c r="OKY5" s="107"/>
      <c r="OKZ5" s="107"/>
      <c r="OLA5" s="107"/>
      <c r="OLB5" s="107"/>
      <c r="OLC5" s="107"/>
      <c r="OLD5" s="107"/>
      <c r="OLE5" s="107"/>
      <c r="OLF5" s="107"/>
      <c r="OLG5" s="107"/>
      <c r="OLH5" s="107"/>
      <c r="OLI5" s="107"/>
      <c r="OLJ5" s="107"/>
      <c r="OLK5" s="107"/>
      <c r="OLL5" s="107"/>
      <c r="OLM5" s="107"/>
      <c r="OLN5" s="107"/>
      <c r="OLO5" s="107"/>
      <c r="OLP5" s="107"/>
      <c r="OLQ5" s="107"/>
      <c r="OLR5" s="107"/>
      <c r="OLS5" s="107"/>
      <c r="OLT5" s="107"/>
      <c r="OLU5" s="107"/>
      <c r="OLV5" s="107"/>
      <c r="OLW5" s="107"/>
      <c r="OLX5" s="107"/>
      <c r="OLY5" s="107"/>
      <c r="OLZ5" s="107"/>
      <c r="OMA5" s="107"/>
      <c r="OMB5" s="107"/>
      <c r="OMC5" s="107"/>
      <c r="OMD5" s="107"/>
      <c r="OME5" s="107"/>
      <c r="OMF5" s="107"/>
      <c r="OMG5" s="107"/>
      <c r="OMH5" s="107"/>
      <c r="OMI5" s="107"/>
      <c r="OMJ5" s="107"/>
      <c r="OMK5" s="107"/>
      <c r="OML5" s="107"/>
      <c r="OMM5" s="107"/>
      <c r="OMN5" s="107"/>
      <c r="OMO5" s="107"/>
      <c r="OMP5" s="107"/>
      <c r="OMQ5" s="107"/>
      <c r="OMR5" s="107"/>
      <c r="OMS5" s="107"/>
      <c r="OMT5" s="107"/>
      <c r="OMU5" s="107"/>
      <c r="OMV5" s="107"/>
      <c r="OMW5" s="107"/>
      <c r="OMX5" s="107"/>
      <c r="OMY5" s="107"/>
      <c r="OMZ5" s="107"/>
      <c r="ONA5" s="107"/>
      <c r="ONB5" s="107"/>
      <c r="ONC5" s="107"/>
      <c r="OND5" s="107"/>
      <c r="ONE5" s="107"/>
      <c r="ONF5" s="107"/>
      <c r="ONG5" s="107"/>
      <c r="ONH5" s="107"/>
      <c r="ONI5" s="107"/>
      <c r="ONJ5" s="107"/>
      <c r="ONK5" s="107"/>
      <c r="ONL5" s="107"/>
      <c r="ONM5" s="107"/>
      <c r="ONN5" s="107"/>
      <c r="ONO5" s="107"/>
      <c r="ONP5" s="107"/>
      <c r="ONQ5" s="107"/>
      <c r="ONR5" s="107"/>
      <c r="ONS5" s="107"/>
      <c r="ONT5" s="107"/>
      <c r="ONU5" s="107"/>
      <c r="ONV5" s="107"/>
      <c r="ONW5" s="107"/>
      <c r="ONX5" s="107"/>
      <c r="ONY5" s="107"/>
      <c r="ONZ5" s="107"/>
      <c r="OOA5" s="107"/>
      <c r="OOB5" s="107"/>
      <c r="OOC5" s="107"/>
      <c r="OOD5" s="107"/>
      <c r="OOE5" s="107"/>
      <c r="OOF5" s="107"/>
      <c r="OOG5" s="107"/>
      <c r="OOH5" s="107"/>
      <c r="OOI5" s="107"/>
      <c r="OOJ5" s="107"/>
      <c r="OOK5" s="107"/>
      <c r="OOL5" s="107"/>
      <c r="OOM5" s="107"/>
      <c r="OON5" s="107"/>
      <c r="OOO5" s="107"/>
      <c r="OOP5" s="107"/>
      <c r="OOQ5" s="107"/>
      <c r="OOR5" s="107"/>
      <c r="OOS5" s="107"/>
      <c r="OOT5" s="107"/>
      <c r="OOU5" s="107"/>
      <c r="OOV5" s="107"/>
      <c r="OOW5" s="107"/>
      <c r="OOX5" s="107"/>
      <c r="OOY5" s="107"/>
      <c r="OOZ5" s="107"/>
      <c r="OPA5" s="107"/>
      <c r="OPB5" s="107"/>
      <c r="OPC5" s="107"/>
      <c r="OPD5" s="107"/>
      <c r="OPE5" s="107"/>
      <c r="OPF5" s="107"/>
      <c r="OPG5" s="107"/>
      <c r="OPH5" s="107"/>
      <c r="OPI5" s="107"/>
      <c r="OPJ5" s="107"/>
      <c r="OPK5" s="107"/>
      <c r="OPL5" s="107"/>
      <c r="OPM5" s="107"/>
      <c r="OPN5" s="107"/>
      <c r="OPO5" s="107"/>
      <c r="OPP5" s="107"/>
      <c r="OPQ5" s="107"/>
      <c r="OPR5" s="107"/>
      <c r="OPS5" s="107"/>
      <c r="OPT5" s="107"/>
      <c r="OPU5" s="107"/>
      <c r="OPV5" s="107"/>
      <c r="OPW5" s="107"/>
      <c r="OPX5" s="107"/>
      <c r="OPY5" s="107"/>
      <c r="OPZ5" s="107"/>
      <c r="OQA5" s="107"/>
      <c r="OQB5" s="107"/>
      <c r="OQC5" s="107"/>
      <c r="OQD5" s="107"/>
      <c r="OQE5" s="107"/>
      <c r="OQF5" s="107"/>
      <c r="OQG5" s="107"/>
      <c r="OQH5" s="107"/>
      <c r="OQI5" s="107"/>
      <c r="OQJ5" s="107"/>
      <c r="OQK5" s="107"/>
      <c r="OQL5" s="107"/>
      <c r="OQM5" s="107"/>
      <c r="OQN5" s="107"/>
      <c r="OQO5" s="107"/>
      <c r="OQP5" s="107"/>
      <c r="OQQ5" s="107"/>
      <c r="OQR5" s="107"/>
      <c r="OQS5" s="107"/>
      <c r="OQT5" s="107"/>
      <c r="OQU5" s="107"/>
      <c r="OQV5" s="107"/>
      <c r="OQW5" s="107"/>
      <c r="OQX5" s="107"/>
      <c r="OQY5" s="107"/>
      <c r="OQZ5" s="107"/>
      <c r="ORA5" s="107"/>
      <c r="ORB5" s="107"/>
      <c r="ORC5" s="107"/>
      <c r="ORD5" s="107"/>
      <c r="ORE5" s="107"/>
      <c r="ORF5" s="107"/>
      <c r="ORG5" s="107"/>
      <c r="ORH5" s="107"/>
      <c r="ORI5" s="107"/>
      <c r="ORJ5" s="107"/>
      <c r="ORK5" s="107"/>
      <c r="ORL5" s="107"/>
      <c r="ORM5" s="107"/>
      <c r="ORN5" s="107"/>
      <c r="ORO5" s="107"/>
      <c r="ORP5" s="107"/>
      <c r="ORQ5" s="107"/>
      <c r="ORR5" s="107"/>
      <c r="ORS5" s="107"/>
      <c r="ORT5" s="107"/>
      <c r="ORU5" s="107"/>
      <c r="ORV5" s="107"/>
      <c r="ORW5" s="107"/>
      <c r="ORX5" s="107"/>
      <c r="ORY5" s="107"/>
      <c r="ORZ5" s="107"/>
      <c r="OSA5" s="107"/>
      <c r="OSB5" s="107"/>
      <c r="OSC5" s="107"/>
      <c r="OSD5" s="107"/>
      <c r="OSE5" s="107"/>
      <c r="OSF5" s="107"/>
      <c r="OSG5" s="107"/>
      <c r="OSH5" s="107"/>
      <c r="OSI5" s="107"/>
      <c r="OSJ5" s="107"/>
      <c r="OSK5" s="107"/>
      <c r="OSL5" s="107"/>
      <c r="OSM5" s="107"/>
      <c r="OSN5" s="107"/>
      <c r="OSO5" s="107"/>
      <c r="OSP5" s="107"/>
      <c r="OSQ5" s="107"/>
      <c r="OSR5" s="107"/>
      <c r="OSS5" s="107"/>
      <c r="OST5" s="107"/>
      <c r="OSU5" s="107"/>
      <c r="OSV5" s="107"/>
      <c r="OSW5" s="107"/>
      <c r="OSX5" s="107"/>
      <c r="OSY5" s="107"/>
      <c r="OSZ5" s="107"/>
      <c r="OTA5" s="107"/>
      <c r="OTB5" s="107"/>
      <c r="OTC5" s="107"/>
      <c r="OTD5" s="107"/>
      <c r="OTE5" s="107"/>
      <c r="OTF5" s="107"/>
      <c r="OTG5" s="107"/>
      <c r="OTH5" s="107"/>
      <c r="OTI5" s="107"/>
      <c r="OTJ5" s="107"/>
      <c r="OTK5" s="107"/>
      <c r="OTL5" s="107"/>
      <c r="OTM5" s="107"/>
      <c r="OTN5" s="107"/>
      <c r="OTO5" s="107"/>
      <c r="OTP5" s="107"/>
      <c r="OTQ5" s="107"/>
      <c r="OTR5" s="107"/>
      <c r="OTS5" s="107"/>
      <c r="OTT5" s="107"/>
      <c r="OTU5" s="107"/>
      <c r="OTV5" s="107"/>
      <c r="OTW5" s="107"/>
      <c r="OTX5" s="107"/>
      <c r="OTY5" s="107"/>
      <c r="OTZ5" s="107"/>
      <c r="OUA5" s="107"/>
      <c r="OUB5" s="107"/>
      <c r="OUC5" s="107"/>
      <c r="OUD5" s="107"/>
      <c r="OUE5" s="107"/>
      <c r="OUF5" s="107"/>
      <c r="OUG5" s="107"/>
      <c r="OUH5" s="107"/>
      <c r="OUI5" s="107"/>
      <c r="OUJ5" s="107"/>
      <c r="OUK5" s="107"/>
      <c r="OUL5" s="107"/>
      <c r="OUM5" s="107"/>
      <c r="OUN5" s="107"/>
      <c r="OUO5" s="107"/>
      <c r="OUP5" s="107"/>
      <c r="OUQ5" s="107"/>
      <c r="OUR5" s="107"/>
      <c r="OUS5" s="107"/>
      <c r="OUT5" s="107"/>
      <c r="OUU5" s="107"/>
      <c r="OUV5" s="107"/>
      <c r="OUW5" s="107"/>
      <c r="OUX5" s="107"/>
      <c r="OUY5" s="107"/>
      <c r="OUZ5" s="107"/>
      <c r="OVA5" s="107"/>
      <c r="OVB5" s="107"/>
      <c r="OVC5" s="107"/>
      <c r="OVD5" s="107"/>
      <c r="OVE5" s="107"/>
      <c r="OVF5" s="107"/>
      <c r="OVG5" s="107"/>
      <c r="OVH5" s="107"/>
      <c r="OVI5" s="107"/>
      <c r="OVJ5" s="107"/>
      <c r="OVK5" s="107"/>
      <c r="OVL5" s="107"/>
      <c r="OVM5" s="107"/>
      <c r="OVN5" s="107"/>
      <c r="OVO5" s="107"/>
      <c r="OVP5" s="107"/>
      <c r="OVQ5" s="107"/>
      <c r="OVR5" s="107"/>
      <c r="OVS5" s="107"/>
      <c r="OVT5" s="107"/>
      <c r="OVU5" s="107"/>
      <c r="OVV5" s="107"/>
      <c r="OVW5" s="107"/>
      <c r="OVX5" s="107"/>
      <c r="OVY5" s="107"/>
      <c r="OVZ5" s="107"/>
      <c r="OWA5" s="107"/>
      <c r="OWB5" s="107"/>
      <c r="OWC5" s="107"/>
      <c r="OWD5" s="107"/>
      <c r="OWE5" s="107"/>
      <c r="OWF5" s="107"/>
      <c r="OWG5" s="107"/>
      <c r="OWH5" s="107"/>
      <c r="OWI5" s="107"/>
      <c r="OWJ5" s="107"/>
      <c r="OWK5" s="107"/>
      <c r="OWL5" s="107"/>
      <c r="OWM5" s="107"/>
      <c r="OWN5" s="107"/>
      <c r="OWO5" s="107"/>
      <c r="OWP5" s="107"/>
      <c r="OWQ5" s="107"/>
      <c r="OWR5" s="107"/>
      <c r="OWS5" s="107"/>
      <c r="OWT5" s="107"/>
      <c r="OWU5" s="107"/>
      <c r="OWV5" s="107"/>
      <c r="OWW5" s="107"/>
      <c r="OWX5" s="107"/>
      <c r="OWY5" s="107"/>
      <c r="OWZ5" s="107"/>
      <c r="OXA5" s="107"/>
      <c r="OXB5" s="107"/>
      <c r="OXC5" s="107"/>
      <c r="OXD5" s="107"/>
      <c r="OXE5" s="107"/>
      <c r="OXF5" s="107"/>
      <c r="OXG5" s="107"/>
      <c r="OXH5" s="107"/>
      <c r="OXI5" s="107"/>
      <c r="OXJ5" s="107"/>
      <c r="OXK5" s="107"/>
      <c r="OXL5" s="107"/>
      <c r="OXM5" s="107"/>
      <c r="OXN5" s="107"/>
      <c r="OXO5" s="107"/>
      <c r="OXP5" s="107"/>
      <c r="OXQ5" s="107"/>
      <c r="OXR5" s="107"/>
      <c r="OXS5" s="107"/>
      <c r="OXT5" s="107"/>
      <c r="OXU5" s="107"/>
      <c r="OXV5" s="107"/>
      <c r="OXW5" s="107"/>
      <c r="OXX5" s="107"/>
      <c r="OXY5" s="107"/>
      <c r="OXZ5" s="107"/>
      <c r="OYA5" s="107"/>
      <c r="OYB5" s="107"/>
      <c r="OYC5" s="107"/>
      <c r="OYD5" s="107"/>
      <c r="OYE5" s="107"/>
      <c r="OYF5" s="107"/>
      <c r="OYG5" s="107"/>
      <c r="OYH5" s="107"/>
      <c r="OYI5" s="107"/>
      <c r="OYJ5" s="107"/>
      <c r="OYK5" s="107"/>
      <c r="OYL5" s="107"/>
      <c r="OYM5" s="107"/>
      <c r="OYN5" s="107"/>
      <c r="OYO5" s="107"/>
      <c r="OYP5" s="107"/>
      <c r="OYQ5" s="107"/>
      <c r="OYR5" s="107"/>
      <c r="OYS5" s="107"/>
      <c r="OYT5" s="107"/>
      <c r="OYU5" s="107"/>
      <c r="OYV5" s="107"/>
      <c r="OYW5" s="107"/>
      <c r="OYX5" s="107"/>
      <c r="OYY5" s="107"/>
      <c r="OYZ5" s="107"/>
      <c r="OZA5" s="107"/>
      <c r="OZB5" s="107"/>
      <c r="OZC5" s="107"/>
      <c r="OZD5" s="107"/>
      <c r="OZE5" s="107"/>
      <c r="OZF5" s="107"/>
      <c r="OZG5" s="107"/>
      <c r="OZH5" s="107"/>
      <c r="OZI5" s="107"/>
      <c r="OZJ5" s="107"/>
      <c r="OZK5" s="107"/>
      <c r="OZL5" s="107"/>
      <c r="OZM5" s="107"/>
      <c r="OZN5" s="107"/>
      <c r="OZO5" s="107"/>
      <c r="OZP5" s="107"/>
      <c r="OZQ5" s="107"/>
      <c r="OZR5" s="107"/>
      <c r="OZS5" s="107"/>
      <c r="OZT5" s="107"/>
      <c r="OZU5" s="107"/>
      <c r="OZV5" s="107"/>
      <c r="OZW5" s="107"/>
      <c r="OZX5" s="107"/>
      <c r="OZY5" s="107"/>
      <c r="OZZ5" s="107"/>
      <c r="PAA5" s="107"/>
      <c r="PAB5" s="107"/>
      <c r="PAC5" s="107"/>
      <c r="PAD5" s="107"/>
      <c r="PAE5" s="107"/>
      <c r="PAF5" s="107"/>
      <c r="PAG5" s="107"/>
      <c r="PAH5" s="107"/>
      <c r="PAI5" s="107"/>
      <c r="PAJ5" s="107"/>
      <c r="PAK5" s="107"/>
      <c r="PAL5" s="107"/>
      <c r="PAM5" s="107"/>
      <c r="PAN5" s="107"/>
      <c r="PAO5" s="107"/>
      <c r="PAP5" s="107"/>
      <c r="PAQ5" s="107"/>
      <c r="PAR5" s="107"/>
      <c r="PAS5" s="107"/>
      <c r="PAT5" s="107"/>
      <c r="PAU5" s="107"/>
      <c r="PAV5" s="107"/>
      <c r="PAW5" s="107"/>
      <c r="PAX5" s="107"/>
      <c r="PAY5" s="107"/>
      <c r="PAZ5" s="107"/>
      <c r="PBA5" s="107"/>
      <c r="PBB5" s="107"/>
      <c r="PBC5" s="107"/>
      <c r="PBD5" s="107"/>
      <c r="PBE5" s="107"/>
      <c r="PBF5" s="107"/>
      <c r="PBG5" s="107"/>
      <c r="PBH5" s="107"/>
      <c r="PBI5" s="107"/>
      <c r="PBJ5" s="107"/>
      <c r="PBK5" s="107"/>
      <c r="PBL5" s="107"/>
      <c r="PBM5" s="107"/>
      <c r="PBN5" s="107"/>
      <c r="PBO5" s="107"/>
      <c r="PBP5" s="107"/>
      <c r="PBQ5" s="107"/>
      <c r="PBR5" s="107"/>
      <c r="PBS5" s="107"/>
      <c r="PBT5" s="107"/>
      <c r="PBU5" s="107"/>
      <c r="PBV5" s="107"/>
      <c r="PBW5" s="107"/>
      <c r="PBX5" s="107"/>
      <c r="PBY5" s="107"/>
      <c r="PBZ5" s="107"/>
      <c r="PCA5" s="107"/>
      <c r="PCB5" s="107"/>
      <c r="PCC5" s="107"/>
      <c r="PCD5" s="107"/>
      <c r="PCE5" s="107"/>
      <c r="PCF5" s="107"/>
      <c r="PCG5" s="107"/>
      <c r="PCH5" s="107"/>
      <c r="PCI5" s="107"/>
      <c r="PCJ5" s="107"/>
      <c r="PCK5" s="107"/>
      <c r="PCL5" s="107"/>
      <c r="PCM5" s="107"/>
      <c r="PCN5" s="107"/>
      <c r="PCO5" s="107"/>
      <c r="PCP5" s="107"/>
      <c r="PCQ5" s="107"/>
      <c r="PCR5" s="107"/>
      <c r="PCS5" s="107"/>
      <c r="PCT5" s="107"/>
      <c r="PCU5" s="107"/>
      <c r="PCV5" s="107"/>
      <c r="PCW5" s="107"/>
      <c r="PCX5" s="107"/>
      <c r="PCY5" s="107"/>
      <c r="PCZ5" s="107"/>
      <c r="PDA5" s="107"/>
      <c r="PDB5" s="107"/>
      <c r="PDC5" s="107"/>
      <c r="PDD5" s="107"/>
      <c r="PDE5" s="107"/>
      <c r="PDF5" s="107"/>
      <c r="PDG5" s="107"/>
      <c r="PDH5" s="107"/>
      <c r="PDI5" s="107"/>
      <c r="PDJ5" s="107"/>
      <c r="PDK5" s="107"/>
      <c r="PDL5" s="107"/>
      <c r="PDM5" s="107"/>
      <c r="PDN5" s="107"/>
      <c r="PDO5" s="107"/>
      <c r="PDP5" s="107"/>
      <c r="PDQ5" s="107"/>
      <c r="PDR5" s="107"/>
      <c r="PDS5" s="107"/>
      <c r="PDT5" s="107"/>
      <c r="PDU5" s="107"/>
      <c r="PDV5" s="107"/>
      <c r="PDW5" s="107"/>
      <c r="PDX5" s="107"/>
      <c r="PDY5" s="107"/>
      <c r="PDZ5" s="107"/>
      <c r="PEA5" s="107"/>
      <c r="PEB5" s="107"/>
      <c r="PEC5" s="107"/>
      <c r="PED5" s="107"/>
      <c r="PEE5" s="107"/>
      <c r="PEF5" s="107"/>
      <c r="PEG5" s="107"/>
      <c r="PEH5" s="107"/>
      <c r="PEI5" s="107"/>
      <c r="PEJ5" s="107"/>
      <c r="PEK5" s="107"/>
      <c r="PEL5" s="107"/>
      <c r="PEM5" s="107"/>
      <c r="PEN5" s="107"/>
      <c r="PEO5" s="107"/>
      <c r="PEP5" s="107"/>
      <c r="PEQ5" s="107"/>
      <c r="PER5" s="107"/>
      <c r="PES5" s="107"/>
      <c r="PET5" s="107"/>
      <c r="PEU5" s="107"/>
      <c r="PEV5" s="107"/>
      <c r="PEW5" s="107"/>
      <c r="PEX5" s="107"/>
      <c r="PEY5" s="107"/>
      <c r="PEZ5" s="107"/>
      <c r="PFA5" s="107"/>
      <c r="PFB5" s="107"/>
      <c r="PFC5" s="107"/>
      <c r="PFD5" s="107"/>
      <c r="PFE5" s="107"/>
      <c r="PFF5" s="107"/>
      <c r="PFG5" s="107"/>
      <c r="PFH5" s="107"/>
      <c r="PFI5" s="107"/>
      <c r="PFJ5" s="107"/>
      <c r="PFK5" s="107"/>
      <c r="PFL5" s="107"/>
      <c r="PFM5" s="107"/>
      <c r="PFN5" s="107"/>
      <c r="PFO5" s="107"/>
      <c r="PFP5" s="107"/>
      <c r="PFQ5" s="107"/>
      <c r="PFR5" s="107"/>
      <c r="PFS5" s="107"/>
      <c r="PFT5" s="107"/>
      <c r="PFU5" s="107"/>
      <c r="PFV5" s="107"/>
      <c r="PFW5" s="107"/>
      <c r="PFX5" s="107"/>
      <c r="PFY5" s="107"/>
      <c r="PFZ5" s="107"/>
      <c r="PGA5" s="107"/>
      <c r="PGB5" s="107"/>
      <c r="PGC5" s="107"/>
      <c r="PGD5" s="107"/>
      <c r="PGE5" s="107"/>
      <c r="PGF5" s="107"/>
      <c r="PGG5" s="107"/>
      <c r="PGH5" s="107"/>
      <c r="PGI5" s="107"/>
      <c r="PGJ5" s="107"/>
      <c r="PGK5" s="107"/>
      <c r="PGL5" s="107"/>
      <c r="PGM5" s="107"/>
      <c r="PGN5" s="107"/>
      <c r="PGO5" s="107"/>
      <c r="PGP5" s="107"/>
      <c r="PGQ5" s="107"/>
      <c r="PGR5" s="107"/>
      <c r="PGS5" s="107"/>
      <c r="PGT5" s="107"/>
      <c r="PGU5" s="107"/>
      <c r="PGV5" s="107"/>
      <c r="PGW5" s="107"/>
      <c r="PGX5" s="107"/>
      <c r="PGY5" s="107"/>
      <c r="PGZ5" s="107"/>
      <c r="PHA5" s="107"/>
      <c r="PHB5" s="107"/>
      <c r="PHC5" s="107"/>
      <c r="PHD5" s="107"/>
      <c r="PHE5" s="107"/>
      <c r="PHF5" s="107"/>
      <c r="PHG5" s="107"/>
      <c r="PHH5" s="107"/>
      <c r="PHI5" s="107"/>
      <c r="PHJ5" s="107"/>
      <c r="PHK5" s="107"/>
      <c r="PHL5" s="107"/>
      <c r="PHM5" s="107"/>
      <c r="PHN5" s="107"/>
      <c r="PHO5" s="107"/>
      <c r="PHP5" s="107"/>
      <c r="PHQ5" s="107"/>
      <c r="PHR5" s="107"/>
      <c r="PHS5" s="107"/>
      <c r="PHT5" s="107"/>
      <c r="PHU5" s="107"/>
      <c r="PHV5" s="107"/>
      <c r="PHW5" s="107"/>
      <c r="PHX5" s="107"/>
      <c r="PHY5" s="107"/>
      <c r="PHZ5" s="107"/>
      <c r="PIA5" s="107"/>
      <c r="PIB5" s="107"/>
      <c r="PIC5" s="107"/>
      <c r="PID5" s="107"/>
      <c r="PIE5" s="107"/>
      <c r="PIF5" s="107"/>
      <c r="PIG5" s="107"/>
      <c r="PIH5" s="107"/>
      <c r="PII5" s="107"/>
      <c r="PIJ5" s="107"/>
      <c r="PIK5" s="107"/>
      <c r="PIL5" s="107"/>
      <c r="PIM5" s="107"/>
      <c r="PIN5" s="107"/>
      <c r="PIO5" s="107"/>
      <c r="PIP5" s="107"/>
      <c r="PIQ5" s="107"/>
      <c r="PIR5" s="107"/>
      <c r="PIS5" s="107"/>
      <c r="PIT5" s="107"/>
      <c r="PIU5" s="107"/>
      <c r="PIV5" s="107"/>
      <c r="PIW5" s="107"/>
      <c r="PIX5" s="107"/>
      <c r="PIY5" s="107"/>
      <c r="PIZ5" s="107"/>
      <c r="PJA5" s="107"/>
      <c r="PJB5" s="107"/>
      <c r="PJC5" s="107"/>
      <c r="PJD5" s="107"/>
      <c r="PJE5" s="107"/>
      <c r="PJF5" s="107"/>
      <c r="PJG5" s="107"/>
      <c r="PJH5" s="107"/>
      <c r="PJI5" s="107"/>
      <c r="PJJ5" s="107"/>
      <c r="PJK5" s="107"/>
      <c r="PJL5" s="107"/>
      <c r="PJM5" s="107"/>
      <c r="PJN5" s="107"/>
      <c r="PJO5" s="107"/>
      <c r="PJP5" s="107"/>
      <c r="PJQ5" s="107"/>
      <c r="PJR5" s="107"/>
      <c r="PJS5" s="107"/>
      <c r="PJT5" s="107"/>
      <c r="PJU5" s="107"/>
      <c r="PJV5" s="107"/>
      <c r="PJW5" s="107"/>
      <c r="PJX5" s="107"/>
      <c r="PJY5" s="107"/>
      <c r="PJZ5" s="107"/>
      <c r="PKA5" s="107"/>
      <c r="PKB5" s="107"/>
      <c r="PKC5" s="107"/>
      <c r="PKD5" s="107"/>
      <c r="PKE5" s="107"/>
      <c r="PKF5" s="107"/>
      <c r="PKG5" s="107"/>
      <c r="PKH5" s="107"/>
      <c r="PKI5" s="107"/>
      <c r="PKJ5" s="107"/>
      <c r="PKK5" s="107"/>
      <c r="PKL5" s="107"/>
      <c r="PKM5" s="107"/>
      <c r="PKN5" s="107"/>
      <c r="PKO5" s="107"/>
      <c r="PKP5" s="107"/>
      <c r="PKQ5" s="107"/>
      <c r="PKR5" s="107"/>
      <c r="PKS5" s="107"/>
      <c r="PKT5" s="107"/>
      <c r="PKU5" s="107"/>
      <c r="PKV5" s="107"/>
      <c r="PKW5" s="107"/>
      <c r="PKX5" s="107"/>
      <c r="PKY5" s="107"/>
      <c r="PKZ5" s="107"/>
      <c r="PLA5" s="107"/>
      <c r="PLB5" s="107"/>
      <c r="PLC5" s="107"/>
      <c r="PLD5" s="107"/>
      <c r="PLE5" s="107"/>
      <c r="PLF5" s="107"/>
      <c r="PLG5" s="107"/>
      <c r="PLH5" s="107"/>
      <c r="PLI5" s="107"/>
      <c r="PLJ5" s="107"/>
      <c r="PLK5" s="107"/>
      <c r="PLL5" s="107"/>
      <c r="PLM5" s="107"/>
      <c r="PLN5" s="107"/>
      <c r="PLO5" s="107"/>
      <c r="PLP5" s="107"/>
      <c r="PLQ5" s="107"/>
      <c r="PLR5" s="107"/>
      <c r="PLS5" s="107"/>
      <c r="PLT5" s="107"/>
      <c r="PLU5" s="107"/>
      <c r="PLV5" s="107"/>
      <c r="PLW5" s="107"/>
      <c r="PLX5" s="107"/>
      <c r="PLY5" s="107"/>
      <c r="PLZ5" s="107"/>
      <c r="PMA5" s="107"/>
      <c r="PMB5" s="107"/>
      <c r="PMC5" s="107"/>
      <c r="PMD5" s="107"/>
      <c r="PME5" s="107"/>
      <c r="PMF5" s="107"/>
      <c r="PMG5" s="107"/>
      <c r="PMH5" s="107"/>
      <c r="PMI5" s="107"/>
      <c r="PMJ5" s="107"/>
      <c r="PMK5" s="107"/>
      <c r="PML5" s="107"/>
      <c r="PMM5" s="107"/>
      <c r="PMN5" s="107"/>
      <c r="PMO5" s="107"/>
      <c r="PMP5" s="107"/>
      <c r="PMQ5" s="107"/>
      <c r="PMR5" s="107"/>
      <c r="PMS5" s="107"/>
      <c r="PMT5" s="107"/>
      <c r="PMU5" s="107"/>
      <c r="PMV5" s="107"/>
      <c r="PMW5" s="107"/>
      <c r="PMX5" s="107"/>
      <c r="PMY5" s="107"/>
      <c r="PMZ5" s="107"/>
      <c r="PNA5" s="107"/>
      <c r="PNB5" s="107"/>
      <c r="PNC5" s="107"/>
      <c r="PND5" s="107"/>
      <c r="PNE5" s="107"/>
      <c r="PNF5" s="107"/>
      <c r="PNG5" s="107"/>
      <c r="PNH5" s="107"/>
      <c r="PNI5" s="107"/>
      <c r="PNJ5" s="107"/>
      <c r="PNK5" s="107"/>
      <c r="PNL5" s="107"/>
      <c r="PNM5" s="107"/>
      <c r="PNN5" s="107"/>
      <c r="PNO5" s="107"/>
      <c r="PNP5" s="107"/>
      <c r="PNQ5" s="107"/>
      <c r="PNR5" s="107"/>
      <c r="PNS5" s="107"/>
      <c r="PNT5" s="107"/>
      <c r="PNU5" s="107"/>
      <c r="PNV5" s="107"/>
      <c r="PNW5" s="107"/>
      <c r="PNX5" s="107"/>
      <c r="PNY5" s="107"/>
      <c r="PNZ5" s="107"/>
      <c r="POA5" s="107"/>
      <c r="POB5" s="107"/>
      <c r="POC5" s="107"/>
      <c r="POD5" s="107"/>
      <c r="POE5" s="107"/>
      <c r="POF5" s="107"/>
      <c r="POG5" s="107"/>
      <c r="POH5" s="107"/>
      <c r="POI5" s="107"/>
      <c r="POJ5" s="107"/>
      <c r="POK5" s="107"/>
      <c r="POL5" s="107"/>
      <c r="POM5" s="107"/>
      <c r="PON5" s="107"/>
      <c r="POO5" s="107"/>
      <c r="POP5" s="107"/>
      <c r="POQ5" s="107"/>
      <c r="POR5" s="107"/>
      <c r="POS5" s="107"/>
      <c r="POT5" s="107"/>
      <c r="POU5" s="107"/>
      <c r="POV5" s="107"/>
      <c r="POW5" s="107"/>
      <c r="POX5" s="107"/>
      <c r="POY5" s="107"/>
      <c r="POZ5" s="107"/>
      <c r="PPA5" s="107"/>
      <c r="PPB5" s="107"/>
      <c r="PPC5" s="107"/>
      <c r="PPD5" s="107"/>
      <c r="PPE5" s="107"/>
      <c r="PPF5" s="107"/>
      <c r="PPG5" s="107"/>
      <c r="PPH5" s="107"/>
      <c r="PPI5" s="107"/>
      <c r="PPJ5" s="107"/>
      <c r="PPK5" s="107"/>
      <c r="PPL5" s="107"/>
      <c r="PPM5" s="107"/>
      <c r="PPN5" s="107"/>
      <c r="PPO5" s="107"/>
      <c r="PPP5" s="107"/>
      <c r="PPQ5" s="107"/>
      <c r="PPR5" s="107"/>
      <c r="PPS5" s="107"/>
      <c r="PPT5" s="107"/>
      <c r="PPU5" s="107"/>
      <c r="PPV5" s="107"/>
      <c r="PPW5" s="107"/>
      <c r="PPX5" s="107"/>
      <c r="PPY5" s="107"/>
      <c r="PPZ5" s="107"/>
      <c r="PQA5" s="107"/>
      <c r="PQB5" s="107"/>
      <c r="PQC5" s="107"/>
      <c r="PQD5" s="107"/>
      <c r="PQE5" s="107"/>
      <c r="PQF5" s="107"/>
      <c r="PQG5" s="107"/>
      <c r="PQH5" s="107"/>
      <c r="PQI5" s="107"/>
      <c r="PQJ5" s="107"/>
      <c r="PQK5" s="107"/>
      <c r="PQL5" s="107"/>
      <c r="PQM5" s="107"/>
      <c r="PQN5" s="107"/>
      <c r="PQO5" s="107"/>
      <c r="PQP5" s="107"/>
      <c r="PQQ5" s="107"/>
      <c r="PQR5" s="107"/>
      <c r="PQS5" s="107"/>
      <c r="PQT5" s="107"/>
      <c r="PQU5" s="107"/>
      <c r="PQV5" s="107"/>
      <c r="PQW5" s="107"/>
      <c r="PQX5" s="107"/>
      <c r="PQY5" s="107"/>
      <c r="PQZ5" s="107"/>
      <c r="PRA5" s="107"/>
      <c r="PRB5" s="107"/>
      <c r="PRC5" s="107"/>
      <c r="PRD5" s="107"/>
      <c r="PRE5" s="107"/>
      <c r="PRF5" s="107"/>
      <c r="PRG5" s="107"/>
      <c r="PRH5" s="107"/>
      <c r="PRI5" s="107"/>
      <c r="PRJ5" s="107"/>
      <c r="PRK5" s="107"/>
      <c r="PRL5" s="107"/>
      <c r="PRM5" s="107"/>
      <c r="PRN5" s="107"/>
      <c r="PRO5" s="107"/>
      <c r="PRP5" s="107"/>
      <c r="PRQ5" s="107"/>
      <c r="PRR5" s="107"/>
      <c r="PRS5" s="107"/>
      <c r="PRT5" s="107"/>
      <c r="PRU5" s="107"/>
      <c r="PRV5" s="107"/>
      <c r="PRW5" s="107"/>
      <c r="PRX5" s="107"/>
      <c r="PRY5" s="107"/>
      <c r="PRZ5" s="107"/>
      <c r="PSA5" s="107"/>
      <c r="PSB5" s="107"/>
      <c r="PSC5" s="107"/>
      <c r="PSD5" s="107"/>
      <c r="PSE5" s="107"/>
      <c r="PSF5" s="107"/>
      <c r="PSG5" s="107"/>
      <c r="PSH5" s="107"/>
      <c r="PSI5" s="107"/>
      <c r="PSJ5" s="107"/>
      <c r="PSK5" s="107"/>
      <c r="PSL5" s="107"/>
      <c r="PSM5" s="107"/>
      <c r="PSN5" s="107"/>
      <c r="PSO5" s="107"/>
      <c r="PSP5" s="107"/>
      <c r="PSQ5" s="107"/>
      <c r="PSR5" s="107"/>
      <c r="PSS5" s="107"/>
      <c r="PST5" s="107"/>
      <c r="PSU5" s="107"/>
      <c r="PSV5" s="107"/>
      <c r="PSW5" s="107"/>
      <c r="PSX5" s="107"/>
      <c r="PSY5" s="107"/>
      <c r="PSZ5" s="107"/>
      <c r="PTA5" s="107"/>
      <c r="PTB5" s="107"/>
      <c r="PTC5" s="107"/>
      <c r="PTD5" s="107"/>
      <c r="PTE5" s="107"/>
      <c r="PTF5" s="107"/>
      <c r="PTG5" s="107"/>
      <c r="PTH5" s="107"/>
      <c r="PTI5" s="107"/>
      <c r="PTJ5" s="107"/>
      <c r="PTK5" s="107"/>
      <c r="PTL5" s="107"/>
      <c r="PTM5" s="107"/>
      <c r="PTN5" s="107"/>
      <c r="PTO5" s="107"/>
      <c r="PTP5" s="107"/>
      <c r="PTQ5" s="107"/>
      <c r="PTR5" s="107"/>
      <c r="PTS5" s="107"/>
      <c r="PTT5" s="107"/>
      <c r="PTU5" s="107"/>
      <c r="PTV5" s="107"/>
      <c r="PTW5" s="107"/>
      <c r="PTX5" s="107"/>
      <c r="PTY5" s="107"/>
      <c r="PTZ5" s="107"/>
      <c r="PUA5" s="107"/>
      <c r="PUB5" s="107"/>
      <c r="PUC5" s="107"/>
      <c r="PUD5" s="107"/>
      <c r="PUE5" s="107"/>
      <c r="PUF5" s="107"/>
      <c r="PUG5" s="107"/>
      <c r="PUH5" s="107"/>
      <c r="PUI5" s="107"/>
      <c r="PUJ5" s="107"/>
      <c r="PUK5" s="107"/>
      <c r="PUL5" s="107"/>
      <c r="PUM5" s="107"/>
      <c r="PUN5" s="107"/>
      <c r="PUO5" s="107"/>
      <c r="PUP5" s="107"/>
      <c r="PUQ5" s="107"/>
      <c r="PUR5" s="107"/>
      <c r="PUS5" s="107"/>
      <c r="PUT5" s="107"/>
      <c r="PUU5" s="107"/>
      <c r="PUV5" s="107"/>
      <c r="PUW5" s="107"/>
      <c r="PUX5" s="107"/>
      <c r="PUY5" s="107"/>
      <c r="PUZ5" s="107"/>
      <c r="PVA5" s="107"/>
      <c r="PVB5" s="107"/>
      <c r="PVC5" s="107"/>
      <c r="PVD5" s="107"/>
      <c r="PVE5" s="107"/>
      <c r="PVF5" s="107"/>
      <c r="PVG5" s="107"/>
      <c r="PVH5" s="107"/>
      <c r="PVI5" s="107"/>
      <c r="PVJ5" s="107"/>
      <c r="PVK5" s="107"/>
      <c r="PVL5" s="107"/>
      <c r="PVM5" s="107"/>
      <c r="PVN5" s="107"/>
      <c r="PVO5" s="107"/>
      <c r="PVP5" s="107"/>
      <c r="PVQ5" s="107"/>
      <c r="PVR5" s="107"/>
      <c r="PVS5" s="107"/>
      <c r="PVT5" s="107"/>
      <c r="PVU5" s="107"/>
      <c r="PVV5" s="107"/>
      <c r="PVW5" s="107"/>
      <c r="PVX5" s="107"/>
      <c r="PVY5" s="107"/>
      <c r="PVZ5" s="107"/>
      <c r="PWA5" s="107"/>
      <c r="PWB5" s="107"/>
      <c r="PWC5" s="107"/>
      <c r="PWD5" s="107"/>
      <c r="PWE5" s="107"/>
      <c r="PWF5" s="107"/>
      <c r="PWG5" s="107"/>
      <c r="PWH5" s="107"/>
      <c r="PWI5" s="107"/>
      <c r="PWJ5" s="107"/>
      <c r="PWK5" s="107"/>
      <c r="PWL5" s="107"/>
      <c r="PWM5" s="107"/>
      <c r="PWN5" s="107"/>
      <c r="PWO5" s="107"/>
      <c r="PWP5" s="107"/>
      <c r="PWQ5" s="107"/>
      <c r="PWR5" s="107"/>
      <c r="PWS5" s="107"/>
      <c r="PWT5" s="107"/>
      <c r="PWU5" s="107"/>
      <c r="PWV5" s="107"/>
      <c r="PWW5" s="107"/>
      <c r="PWX5" s="107"/>
      <c r="PWY5" s="107"/>
      <c r="PWZ5" s="107"/>
      <c r="PXA5" s="107"/>
      <c r="PXB5" s="107"/>
      <c r="PXC5" s="107"/>
      <c r="PXD5" s="107"/>
      <c r="PXE5" s="107"/>
      <c r="PXF5" s="107"/>
      <c r="PXG5" s="107"/>
      <c r="PXH5" s="107"/>
      <c r="PXI5" s="107"/>
      <c r="PXJ5" s="107"/>
      <c r="PXK5" s="107"/>
      <c r="PXL5" s="107"/>
      <c r="PXM5" s="107"/>
      <c r="PXN5" s="107"/>
      <c r="PXO5" s="107"/>
      <c r="PXP5" s="107"/>
      <c r="PXQ5" s="107"/>
      <c r="PXR5" s="107"/>
      <c r="PXS5" s="107"/>
      <c r="PXT5" s="107"/>
      <c r="PXU5" s="107"/>
      <c r="PXV5" s="107"/>
      <c r="PXW5" s="107"/>
      <c r="PXX5" s="107"/>
      <c r="PXY5" s="107"/>
      <c r="PXZ5" s="107"/>
      <c r="PYA5" s="107"/>
      <c r="PYB5" s="107"/>
      <c r="PYC5" s="107"/>
      <c r="PYD5" s="107"/>
      <c r="PYE5" s="107"/>
      <c r="PYF5" s="107"/>
      <c r="PYG5" s="107"/>
      <c r="PYH5" s="107"/>
      <c r="PYI5" s="107"/>
      <c r="PYJ5" s="107"/>
      <c r="PYK5" s="107"/>
      <c r="PYL5" s="107"/>
      <c r="PYM5" s="107"/>
      <c r="PYN5" s="107"/>
      <c r="PYO5" s="107"/>
      <c r="PYP5" s="107"/>
      <c r="PYQ5" s="107"/>
      <c r="PYR5" s="107"/>
      <c r="PYS5" s="107"/>
      <c r="PYT5" s="107"/>
      <c r="PYU5" s="107"/>
      <c r="PYV5" s="107"/>
      <c r="PYW5" s="107"/>
      <c r="PYX5" s="107"/>
      <c r="PYY5" s="107"/>
      <c r="PYZ5" s="107"/>
      <c r="PZA5" s="107"/>
      <c r="PZB5" s="107"/>
      <c r="PZC5" s="107"/>
      <c r="PZD5" s="107"/>
      <c r="PZE5" s="107"/>
      <c r="PZF5" s="107"/>
      <c r="PZG5" s="107"/>
      <c r="PZH5" s="107"/>
      <c r="PZI5" s="107"/>
      <c r="PZJ5" s="107"/>
      <c r="PZK5" s="107"/>
      <c r="PZL5" s="107"/>
      <c r="PZM5" s="107"/>
      <c r="PZN5" s="107"/>
      <c r="PZO5" s="107"/>
      <c r="PZP5" s="107"/>
      <c r="PZQ5" s="107"/>
      <c r="PZR5" s="107"/>
      <c r="PZS5" s="107"/>
      <c r="PZT5" s="107"/>
      <c r="PZU5" s="107"/>
      <c r="PZV5" s="107"/>
      <c r="PZW5" s="107"/>
      <c r="PZX5" s="107"/>
      <c r="PZY5" s="107"/>
      <c r="PZZ5" s="107"/>
      <c r="QAA5" s="107"/>
      <c r="QAB5" s="107"/>
      <c r="QAC5" s="107"/>
      <c r="QAD5" s="107"/>
      <c r="QAE5" s="107"/>
      <c r="QAF5" s="107"/>
      <c r="QAG5" s="107"/>
      <c r="QAH5" s="107"/>
      <c r="QAI5" s="107"/>
      <c r="QAJ5" s="107"/>
      <c r="QAK5" s="107"/>
      <c r="QAL5" s="107"/>
      <c r="QAM5" s="107"/>
      <c r="QAN5" s="107"/>
      <c r="QAO5" s="107"/>
      <c r="QAP5" s="107"/>
      <c r="QAQ5" s="107"/>
      <c r="QAR5" s="107"/>
      <c r="QAS5" s="107"/>
      <c r="QAT5" s="107"/>
      <c r="QAU5" s="107"/>
      <c r="QAV5" s="107"/>
      <c r="QAW5" s="107"/>
      <c r="QAX5" s="107"/>
      <c r="QAY5" s="107"/>
      <c r="QAZ5" s="107"/>
      <c r="QBA5" s="107"/>
      <c r="QBB5" s="107"/>
      <c r="QBC5" s="107"/>
      <c r="QBD5" s="107"/>
      <c r="QBE5" s="107"/>
      <c r="QBF5" s="107"/>
      <c r="QBG5" s="107"/>
      <c r="QBH5" s="107"/>
      <c r="QBI5" s="107"/>
      <c r="QBJ5" s="107"/>
      <c r="QBK5" s="107"/>
      <c r="QBL5" s="107"/>
      <c r="QBM5" s="107"/>
      <c r="QBN5" s="107"/>
      <c r="QBO5" s="107"/>
      <c r="QBP5" s="107"/>
      <c r="QBQ5" s="107"/>
      <c r="QBR5" s="107"/>
      <c r="QBS5" s="107"/>
      <c r="QBT5" s="107"/>
      <c r="QBU5" s="107"/>
      <c r="QBV5" s="107"/>
      <c r="QBW5" s="107"/>
      <c r="QBX5" s="107"/>
      <c r="QBY5" s="107"/>
      <c r="QBZ5" s="107"/>
      <c r="QCA5" s="107"/>
      <c r="QCB5" s="107"/>
      <c r="QCC5" s="107"/>
      <c r="QCD5" s="107"/>
      <c r="QCE5" s="107"/>
      <c r="QCF5" s="107"/>
      <c r="QCG5" s="107"/>
      <c r="QCH5" s="107"/>
      <c r="QCI5" s="107"/>
      <c r="QCJ5" s="107"/>
      <c r="QCK5" s="107"/>
      <c r="QCL5" s="107"/>
      <c r="QCM5" s="107"/>
      <c r="QCN5" s="107"/>
      <c r="QCO5" s="107"/>
      <c r="QCP5" s="107"/>
      <c r="QCQ5" s="107"/>
      <c r="QCR5" s="107"/>
      <c r="QCS5" s="107"/>
      <c r="QCT5" s="107"/>
      <c r="QCU5" s="107"/>
      <c r="QCV5" s="107"/>
      <c r="QCW5" s="107"/>
      <c r="QCX5" s="107"/>
      <c r="QCY5" s="107"/>
      <c r="QCZ5" s="107"/>
      <c r="QDA5" s="107"/>
      <c r="QDB5" s="107"/>
      <c r="QDC5" s="107"/>
      <c r="QDD5" s="107"/>
      <c r="QDE5" s="107"/>
      <c r="QDF5" s="107"/>
      <c r="QDG5" s="107"/>
      <c r="QDH5" s="107"/>
      <c r="QDI5" s="107"/>
      <c r="QDJ5" s="107"/>
      <c r="QDK5" s="107"/>
      <c r="QDL5" s="107"/>
      <c r="QDM5" s="107"/>
      <c r="QDN5" s="107"/>
      <c r="QDO5" s="107"/>
      <c r="QDP5" s="107"/>
      <c r="QDQ5" s="107"/>
      <c r="QDR5" s="107"/>
      <c r="QDS5" s="107"/>
      <c r="QDT5" s="107"/>
      <c r="QDU5" s="107"/>
      <c r="QDV5" s="107"/>
      <c r="QDW5" s="107"/>
      <c r="QDX5" s="107"/>
      <c r="QDY5" s="107"/>
      <c r="QDZ5" s="107"/>
      <c r="QEA5" s="107"/>
      <c r="QEB5" s="107"/>
      <c r="QEC5" s="107"/>
      <c r="QED5" s="107"/>
      <c r="QEE5" s="107"/>
      <c r="QEF5" s="107"/>
      <c r="QEG5" s="107"/>
      <c r="QEH5" s="107"/>
      <c r="QEI5" s="107"/>
      <c r="QEJ5" s="107"/>
      <c r="QEK5" s="107"/>
      <c r="QEL5" s="107"/>
      <c r="QEM5" s="107"/>
      <c r="QEN5" s="107"/>
      <c r="QEO5" s="107"/>
      <c r="QEP5" s="107"/>
      <c r="QEQ5" s="107"/>
      <c r="QER5" s="107"/>
      <c r="QES5" s="107"/>
      <c r="QET5" s="107"/>
      <c r="QEU5" s="107"/>
      <c r="QEV5" s="107"/>
      <c r="QEW5" s="107"/>
      <c r="QEX5" s="107"/>
      <c r="QEY5" s="107"/>
      <c r="QEZ5" s="107"/>
      <c r="QFA5" s="107"/>
      <c r="QFB5" s="107"/>
      <c r="QFC5" s="107"/>
      <c r="QFD5" s="107"/>
      <c r="QFE5" s="107"/>
      <c r="QFF5" s="107"/>
      <c r="QFG5" s="107"/>
      <c r="QFH5" s="107"/>
      <c r="QFI5" s="107"/>
      <c r="QFJ5" s="107"/>
      <c r="QFK5" s="107"/>
      <c r="QFL5" s="107"/>
      <c r="QFM5" s="107"/>
      <c r="QFN5" s="107"/>
      <c r="QFO5" s="107"/>
      <c r="QFP5" s="107"/>
      <c r="QFQ5" s="107"/>
      <c r="QFR5" s="107"/>
      <c r="QFS5" s="107"/>
      <c r="QFT5" s="107"/>
      <c r="QFU5" s="107"/>
      <c r="QFV5" s="107"/>
      <c r="QFW5" s="107"/>
      <c r="QFX5" s="107"/>
      <c r="QFY5" s="107"/>
      <c r="QFZ5" s="107"/>
      <c r="QGA5" s="107"/>
      <c r="QGB5" s="107"/>
      <c r="QGC5" s="107"/>
      <c r="QGD5" s="107"/>
      <c r="QGE5" s="107"/>
      <c r="QGF5" s="107"/>
      <c r="QGG5" s="107"/>
      <c r="QGH5" s="107"/>
      <c r="QGI5" s="107"/>
      <c r="QGJ5" s="107"/>
      <c r="QGK5" s="107"/>
      <c r="QGL5" s="107"/>
      <c r="QGM5" s="107"/>
      <c r="QGN5" s="107"/>
      <c r="QGO5" s="107"/>
      <c r="QGP5" s="107"/>
      <c r="QGQ5" s="107"/>
      <c r="QGR5" s="107"/>
      <c r="QGS5" s="107"/>
      <c r="QGT5" s="107"/>
      <c r="QGU5" s="107"/>
      <c r="QGV5" s="107"/>
      <c r="QGW5" s="107"/>
      <c r="QGX5" s="107"/>
      <c r="QGY5" s="107"/>
      <c r="QGZ5" s="107"/>
      <c r="QHA5" s="107"/>
      <c r="QHB5" s="107"/>
      <c r="QHC5" s="107"/>
      <c r="QHD5" s="107"/>
      <c r="QHE5" s="107"/>
      <c r="QHF5" s="107"/>
      <c r="QHG5" s="107"/>
      <c r="QHH5" s="107"/>
      <c r="QHI5" s="107"/>
      <c r="QHJ5" s="107"/>
      <c r="QHK5" s="107"/>
      <c r="QHL5" s="107"/>
      <c r="QHM5" s="107"/>
      <c r="QHN5" s="107"/>
      <c r="QHO5" s="107"/>
      <c r="QHP5" s="107"/>
      <c r="QHQ5" s="107"/>
      <c r="QHR5" s="107"/>
      <c r="QHS5" s="107"/>
      <c r="QHT5" s="107"/>
      <c r="QHU5" s="107"/>
      <c r="QHV5" s="107"/>
      <c r="QHW5" s="107"/>
      <c r="QHX5" s="107"/>
      <c r="QHY5" s="107"/>
      <c r="QHZ5" s="107"/>
      <c r="QIA5" s="107"/>
      <c r="QIB5" s="107"/>
      <c r="QIC5" s="107"/>
      <c r="QID5" s="107"/>
      <c r="QIE5" s="107"/>
      <c r="QIF5" s="107"/>
      <c r="QIG5" s="107"/>
      <c r="QIH5" s="107"/>
      <c r="QII5" s="107"/>
      <c r="QIJ5" s="107"/>
      <c r="QIK5" s="107"/>
      <c r="QIL5" s="107"/>
      <c r="QIM5" s="107"/>
      <c r="QIN5" s="107"/>
      <c r="QIO5" s="107"/>
      <c r="QIP5" s="107"/>
      <c r="QIQ5" s="107"/>
      <c r="QIR5" s="107"/>
      <c r="QIS5" s="107"/>
      <c r="QIT5" s="107"/>
      <c r="QIU5" s="107"/>
      <c r="QIV5" s="107"/>
      <c r="QIW5" s="107"/>
      <c r="QIX5" s="107"/>
      <c r="QIY5" s="107"/>
      <c r="QIZ5" s="107"/>
      <c r="QJA5" s="107"/>
      <c r="QJB5" s="107"/>
      <c r="QJC5" s="107"/>
      <c r="QJD5" s="107"/>
      <c r="QJE5" s="107"/>
      <c r="QJF5" s="107"/>
      <c r="QJG5" s="107"/>
      <c r="QJH5" s="107"/>
      <c r="QJI5" s="107"/>
      <c r="QJJ5" s="107"/>
      <c r="QJK5" s="107"/>
      <c r="QJL5" s="107"/>
      <c r="QJM5" s="107"/>
      <c r="QJN5" s="107"/>
      <c r="QJO5" s="107"/>
      <c r="QJP5" s="107"/>
      <c r="QJQ5" s="107"/>
      <c r="QJR5" s="107"/>
      <c r="QJS5" s="107"/>
      <c r="QJT5" s="107"/>
      <c r="QJU5" s="107"/>
      <c r="QJV5" s="107"/>
      <c r="QJW5" s="107"/>
      <c r="QJX5" s="107"/>
      <c r="QJY5" s="107"/>
      <c r="QJZ5" s="107"/>
      <c r="QKA5" s="107"/>
      <c r="QKB5" s="107"/>
      <c r="QKC5" s="107"/>
      <c r="QKD5" s="107"/>
      <c r="QKE5" s="107"/>
      <c r="QKF5" s="107"/>
      <c r="QKG5" s="107"/>
      <c r="QKH5" s="107"/>
      <c r="QKI5" s="107"/>
      <c r="QKJ5" s="107"/>
      <c r="QKK5" s="107"/>
      <c r="QKL5" s="107"/>
      <c r="QKM5" s="107"/>
      <c r="QKN5" s="107"/>
      <c r="QKO5" s="107"/>
      <c r="QKP5" s="107"/>
      <c r="QKQ5" s="107"/>
      <c r="QKR5" s="107"/>
      <c r="QKS5" s="107"/>
      <c r="QKT5" s="107"/>
      <c r="QKU5" s="107"/>
      <c r="QKV5" s="107"/>
      <c r="QKW5" s="107"/>
      <c r="QKX5" s="107"/>
      <c r="QKY5" s="107"/>
      <c r="QKZ5" s="107"/>
      <c r="QLA5" s="107"/>
      <c r="QLB5" s="107"/>
      <c r="QLC5" s="107"/>
      <c r="QLD5" s="107"/>
      <c r="QLE5" s="107"/>
      <c r="QLF5" s="107"/>
      <c r="QLG5" s="107"/>
      <c r="QLH5" s="107"/>
      <c r="QLI5" s="107"/>
      <c r="QLJ5" s="107"/>
      <c r="QLK5" s="107"/>
      <c r="QLL5" s="107"/>
      <c r="QLM5" s="107"/>
      <c r="QLN5" s="107"/>
      <c r="QLO5" s="107"/>
      <c r="QLP5" s="107"/>
      <c r="QLQ5" s="107"/>
      <c r="QLR5" s="107"/>
      <c r="QLS5" s="107"/>
      <c r="QLT5" s="107"/>
      <c r="QLU5" s="107"/>
      <c r="QLV5" s="107"/>
      <c r="QLW5" s="107"/>
      <c r="QLX5" s="107"/>
      <c r="QLY5" s="107"/>
      <c r="QLZ5" s="107"/>
      <c r="QMA5" s="107"/>
      <c r="QMB5" s="107"/>
      <c r="QMC5" s="107"/>
      <c r="QMD5" s="107"/>
      <c r="QME5" s="107"/>
      <c r="QMF5" s="107"/>
      <c r="QMG5" s="107"/>
      <c r="QMH5" s="107"/>
      <c r="QMI5" s="107"/>
      <c r="QMJ5" s="107"/>
      <c r="QMK5" s="107"/>
      <c r="QML5" s="107"/>
      <c r="QMM5" s="107"/>
      <c r="QMN5" s="107"/>
      <c r="QMO5" s="107"/>
      <c r="QMP5" s="107"/>
      <c r="QMQ5" s="107"/>
      <c r="QMR5" s="107"/>
      <c r="QMS5" s="107"/>
      <c r="QMT5" s="107"/>
      <c r="QMU5" s="107"/>
      <c r="QMV5" s="107"/>
      <c r="QMW5" s="107"/>
      <c r="QMX5" s="107"/>
      <c r="QMY5" s="107"/>
      <c r="QMZ5" s="107"/>
      <c r="QNA5" s="107"/>
      <c r="QNB5" s="107"/>
      <c r="QNC5" s="107"/>
      <c r="QND5" s="107"/>
      <c r="QNE5" s="107"/>
      <c r="QNF5" s="107"/>
      <c r="QNG5" s="107"/>
      <c r="QNH5" s="107"/>
      <c r="QNI5" s="107"/>
      <c r="QNJ5" s="107"/>
      <c r="QNK5" s="107"/>
      <c r="QNL5" s="107"/>
      <c r="QNM5" s="107"/>
      <c r="QNN5" s="107"/>
      <c r="QNO5" s="107"/>
      <c r="QNP5" s="107"/>
      <c r="QNQ5" s="107"/>
      <c r="QNR5" s="107"/>
      <c r="QNS5" s="107"/>
      <c r="QNT5" s="107"/>
      <c r="QNU5" s="107"/>
      <c r="QNV5" s="107"/>
      <c r="QNW5" s="107"/>
      <c r="QNX5" s="107"/>
      <c r="QNY5" s="107"/>
      <c r="QNZ5" s="107"/>
      <c r="QOA5" s="107"/>
      <c r="QOB5" s="107"/>
      <c r="QOC5" s="107"/>
      <c r="QOD5" s="107"/>
      <c r="QOE5" s="107"/>
      <c r="QOF5" s="107"/>
      <c r="QOG5" s="107"/>
      <c r="QOH5" s="107"/>
      <c r="QOI5" s="107"/>
      <c r="QOJ5" s="107"/>
      <c r="QOK5" s="107"/>
      <c r="QOL5" s="107"/>
      <c r="QOM5" s="107"/>
      <c r="QON5" s="107"/>
      <c r="QOO5" s="107"/>
      <c r="QOP5" s="107"/>
      <c r="QOQ5" s="107"/>
      <c r="QOR5" s="107"/>
      <c r="QOS5" s="107"/>
      <c r="QOT5" s="107"/>
      <c r="QOU5" s="107"/>
      <c r="QOV5" s="107"/>
      <c r="QOW5" s="107"/>
      <c r="QOX5" s="107"/>
      <c r="QOY5" s="107"/>
      <c r="QOZ5" s="107"/>
      <c r="QPA5" s="107"/>
      <c r="QPB5" s="107"/>
      <c r="QPC5" s="107"/>
      <c r="QPD5" s="107"/>
      <c r="QPE5" s="107"/>
      <c r="QPF5" s="107"/>
      <c r="QPG5" s="107"/>
      <c r="QPH5" s="107"/>
      <c r="QPI5" s="107"/>
      <c r="QPJ5" s="107"/>
      <c r="QPK5" s="107"/>
      <c r="QPL5" s="107"/>
      <c r="QPM5" s="107"/>
      <c r="QPN5" s="107"/>
      <c r="QPO5" s="107"/>
      <c r="QPP5" s="107"/>
      <c r="QPQ5" s="107"/>
      <c r="QPR5" s="107"/>
      <c r="QPS5" s="107"/>
      <c r="QPT5" s="107"/>
      <c r="QPU5" s="107"/>
      <c r="QPV5" s="107"/>
      <c r="QPW5" s="107"/>
      <c r="QPX5" s="107"/>
      <c r="QPY5" s="107"/>
      <c r="QPZ5" s="107"/>
      <c r="QQA5" s="107"/>
      <c r="QQB5" s="107"/>
      <c r="QQC5" s="107"/>
      <c r="QQD5" s="107"/>
      <c r="QQE5" s="107"/>
      <c r="QQF5" s="107"/>
      <c r="QQG5" s="107"/>
      <c r="QQH5" s="107"/>
      <c r="QQI5" s="107"/>
      <c r="QQJ5" s="107"/>
      <c r="QQK5" s="107"/>
      <c r="QQL5" s="107"/>
      <c r="QQM5" s="107"/>
      <c r="QQN5" s="107"/>
      <c r="QQO5" s="107"/>
      <c r="QQP5" s="107"/>
      <c r="QQQ5" s="107"/>
      <c r="QQR5" s="107"/>
      <c r="QQS5" s="107"/>
      <c r="QQT5" s="107"/>
      <c r="QQU5" s="107"/>
      <c r="QQV5" s="107"/>
      <c r="QQW5" s="107"/>
      <c r="QQX5" s="107"/>
      <c r="QQY5" s="107"/>
      <c r="QQZ5" s="107"/>
      <c r="QRA5" s="107"/>
      <c r="QRB5" s="107"/>
      <c r="QRC5" s="107"/>
      <c r="QRD5" s="107"/>
      <c r="QRE5" s="107"/>
      <c r="QRF5" s="107"/>
      <c r="QRG5" s="107"/>
      <c r="QRH5" s="107"/>
      <c r="QRI5" s="107"/>
      <c r="QRJ5" s="107"/>
      <c r="QRK5" s="107"/>
      <c r="QRL5" s="107"/>
      <c r="QRM5" s="107"/>
      <c r="QRN5" s="107"/>
      <c r="QRO5" s="107"/>
      <c r="QRP5" s="107"/>
      <c r="QRQ5" s="107"/>
      <c r="QRR5" s="107"/>
      <c r="QRS5" s="107"/>
      <c r="QRT5" s="107"/>
      <c r="QRU5" s="107"/>
      <c r="QRV5" s="107"/>
      <c r="QRW5" s="107"/>
      <c r="QRX5" s="107"/>
      <c r="QRY5" s="107"/>
      <c r="QRZ5" s="107"/>
      <c r="QSA5" s="107"/>
      <c r="QSB5" s="107"/>
      <c r="QSC5" s="107"/>
      <c r="QSD5" s="107"/>
      <c r="QSE5" s="107"/>
      <c r="QSF5" s="107"/>
      <c r="QSG5" s="107"/>
      <c r="QSH5" s="107"/>
      <c r="QSI5" s="107"/>
      <c r="QSJ5" s="107"/>
      <c r="QSK5" s="107"/>
      <c r="QSL5" s="107"/>
      <c r="QSM5" s="107"/>
      <c r="QSN5" s="107"/>
      <c r="QSO5" s="107"/>
      <c r="QSP5" s="107"/>
      <c r="QSQ5" s="107"/>
      <c r="QSR5" s="107"/>
      <c r="QSS5" s="107"/>
      <c r="QST5" s="107"/>
      <c r="QSU5" s="107"/>
      <c r="QSV5" s="107"/>
      <c r="QSW5" s="107"/>
      <c r="QSX5" s="107"/>
      <c r="QSY5" s="107"/>
      <c r="QSZ5" s="107"/>
      <c r="QTA5" s="107"/>
      <c r="QTB5" s="107"/>
      <c r="QTC5" s="107"/>
      <c r="QTD5" s="107"/>
      <c r="QTE5" s="107"/>
      <c r="QTF5" s="107"/>
      <c r="QTG5" s="107"/>
      <c r="QTH5" s="107"/>
      <c r="QTI5" s="107"/>
      <c r="QTJ5" s="107"/>
      <c r="QTK5" s="107"/>
      <c r="QTL5" s="107"/>
      <c r="QTM5" s="107"/>
      <c r="QTN5" s="107"/>
      <c r="QTO5" s="107"/>
      <c r="QTP5" s="107"/>
      <c r="QTQ5" s="107"/>
      <c r="QTR5" s="107"/>
      <c r="QTS5" s="107"/>
      <c r="QTT5" s="107"/>
      <c r="QTU5" s="107"/>
      <c r="QTV5" s="107"/>
      <c r="QTW5" s="107"/>
      <c r="QTX5" s="107"/>
      <c r="QTY5" s="107"/>
      <c r="QTZ5" s="107"/>
      <c r="QUA5" s="107"/>
      <c r="QUB5" s="107"/>
      <c r="QUC5" s="107"/>
      <c r="QUD5" s="107"/>
      <c r="QUE5" s="107"/>
      <c r="QUF5" s="107"/>
      <c r="QUG5" s="107"/>
      <c r="QUH5" s="107"/>
      <c r="QUI5" s="107"/>
      <c r="QUJ5" s="107"/>
      <c r="QUK5" s="107"/>
      <c r="QUL5" s="107"/>
      <c r="QUM5" s="107"/>
      <c r="QUN5" s="107"/>
      <c r="QUO5" s="107"/>
      <c r="QUP5" s="107"/>
      <c r="QUQ5" s="107"/>
      <c r="QUR5" s="107"/>
      <c r="QUS5" s="107"/>
      <c r="QUT5" s="107"/>
      <c r="QUU5" s="107"/>
      <c r="QUV5" s="107"/>
      <c r="QUW5" s="107"/>
      <c r="QUX5" s="107"/>
      <c r="QUY5" s="107"/>
      <c r="QUZ5" s="107"/>
      <c r="QVA5" s="107"/>
      <c r="QVB5" s="107"/>
      <c r="QVC5" s="107"/>
      <c r="QVD5" s="107"/>
      <c r="QVE5" s="107"/>
      <c r="QVF5" s="107"/>
      <c r="QVG5" s="107"/>
      <c r="QVH5" s="107"/>
      <c r="QVI5" s="107"/>
      <c r="QVJ5" s="107"/>
      <c r="QVK5" s="107"/>
      <c r="QVL5" s="107"/>
      <c r="QVM5" s="107"/>
      <c r="QVN5" s="107"/>
      <c r="QVO5" s="107"/>
      <c r="QVP5" s="107"/>
      <c r="QVQ5" s="107"/>
      <c r="QVR5" s="107"/>
      <c r="QVS5" s="107"/>
      <c r="QVT5" s="107"/>
      <c r="QVU5" s="107"/>
      <c r="QVV5" s="107"/>
      <c r="QVW5" s="107"/>
      <c r="QVX5" s="107"/>
      <c r="QVY5" s="107"/>
      <c r="QVZ5" s="107"/>
      <c r="QWA5" s="107"/>
      <c r="QWB5" s="107"/>
      <c r="QWC5" s="107"/>
      <c r="QWD5" s="107"/>
      <c r="QWE5" s="107"/>
      <c r="QWF5" s="107"/>
      <c r="QWG5" s="107"/>
      <c r="QWH5" s="107"/>
      <c r="QWI5" s="107"/>
      <c r="QWJ5" s="107"/>
      <c r="QWK5" s="107"/>
      <c r="QWL5" s="107"/>
      <c r="QWM5" s="107"/>
      <c r="QWN5" s="107"/>
      <c r="QWO5" s="107"/>
      <c r="QWP5" s="107"/>
      <c r="QWQ5" s="107"/>
      <c r="QWR5" s="107"/>
      <c r="QWS5" s="107"/>
      <c r="QWT5" s="107"/>
      <c r="QWU5" s="107"/>
      <c r="QWV5" s="107"/>
      <c r="QWW5" s="107"/>
      <c r="QWX5" s="107"/>
      <c r="QWY5" s="107"/>
      <c r="QWZ5" s="107"/>
      <c r="QXA5" s="107"/>
      <c r="QXB5" s="107"/>
      <c r="QXC5" s="107"/>
      <c r="QXD5" s="107"/>
      <c r="QXE5" s="107"/>
      <c r="QXF5" s="107"/>
      <c r="QXG5" s="107"/>
      <c r="QXH5" s="107"/>
      <c r="QXI5" s="107"/>
      <c r="QXJ5" s="107"/>
      <c r="QXK5" s="107"/>
      <c r="QXL5" s="107"/>
      <c r="QXM5" s="107"/>
      <c r="QXN5" s="107"/>
      <c r="QXO5" s="107"/>
      <c r="QXP5" s="107"/>
      <c r="QXQ5" s="107"/>
      <c r="QXR5" s="107"/>
      <c r="QXS5" s="107"/>
      <c r="QXT5" s="107"/>
      <c r="QXU5" s="107"/>
      <c r="QXV5" s="107"/>
      <c r="QXW5" s="107"/>
      <c r="QXX5" s="107"/>
      <c r="QXY5" s="107"/>
      <c r="QXZ5" s="107"/>
      <c r="QYA5" s="107"/>
      <c r="QYB5" s="107"/>
      <c r="QYC5" s="107"/>
      <c r="QYD5" s="107"/>
      <c r="QYE5" s="107"/>
      <c r="QYF5" s="107"/>
      <c r="QYG5" s="107"/>
      <c r="QYH5" s="107"/>
      <c r="QYI5" s="107"/>
      <c r="QYJ5" s="107"/>
      <c r="QYK5" s="107"/>
      <c r="QYL5" s="107"/>
      <c r="QYM5" s="107"/>
      <c r="QYN5" s="107"/>
      <c r="QYO5" s="107"/>
      <c r="QYP5" s="107"/>
      <c r="QYQ5" s="107"/>
      <c r="QYR5" s="107"/>
      <c r="QYS5" s="107"/>
      <c r="QYT5" s="107"/>
      <c r="QYU5" s="107"/>
      <c r="QYV5" s="107"/>
      <c r="QYW5" s="107"/>
      <c r="QYX5" s="107"/>
      <c r="QYY5" s="107"/>
      <c r="QYZ5" s="107"/>
      <c r="QZA5" s="107"/>
      <c r="QZB5" s="107"/>
      <c r="QZC5" s="107"/>
      <c r="QZD5" s="107"/>
      <c r="QZE5" s="107"/>
      <c r="QZF5" s="107"/>
      <c r="QZG5" s="107"/>
      <c r="QZH5" s="107"/>
      <c r="QZI5" s="107"/>
      <c r="QZJ5" s="107"/>
      <c r="QZK5" s="107"/>
      <c r="QZL5" s="107"/>
      <c r="QZM5" s="107"/>
      <c r="QZN5" s="107"/>
      <c r="QZO5" s="107"/>
      <c r="QZP5" s="107"/>
      <c r="QZQ5" s="107"/>
      <c r="QZR5" s="107"/>
      <c r="QZS5" s="107"/>
      <c r="QZT5" s="107"/>
      <c r="QZU5" s="107"/>
      <c r="QZV5" s="107"/>
      <c r="QZW5" s="107"/>
      <c r="QZX5" s="107"/>
      <c r="QZY5" s="107"/>
      <c r="QZZ5" s="107"/>
      <c r="RAA5" s="107"/>
      <c r="RAB5" s="107"/>
      <c r="RAC5" s="107"/>
      <c r="RAD5" s="107"/>
      <c r="RAE5" s="107"/>
      <c r="RAF5" s="107"/>
      <c r="RAG5" s="107"/>
      <c r="RAH5" s="107"/>
      <c r="RAI5" s="107"/>
      <c r="RAJ5" s="107"/>
      <c r="RAK5" s="107"/>
      <c r="RAL5" s="107"/>
      <c r="RAM5" s="107"/>
      <c r="RAN5" s="107"/>
      <c r="RAO5" s="107"/>
      <c r="RAP5" s="107"/>
      <c r="RAQ5" s="107"/>
      <c r="RAR5" s="107"/>
      <c r="RAS5" s="107"/>
      <c r="RAT5" s="107"/>
      <c r="RAU5" s="107"/>
      <c r="RAV5" s="107"/>
      <c r="RAW5" s="107"/>
      <c r="RAX5" s="107"/>
      <c r="RAY5" s="107"/>
      <c r="RAZ5" s="107"/>
      <c r="RBA5" s="107"/>
      <c r="RBB5" s="107"/>
      <c r="RBC5" s="107"/>
      <c r="RBD5" s="107"/>
      <c r="RBE5" s="107"/>
      <c r="RBF5" s="107"/>
      <c r="RBG5" s="107"/>
      <c r="RBH5" s="107"/>
      <c r="RBI5" s="107"/>
      <c r="RBJ5" s="107"/>
      <c r="RBK5" s="107"/>
      <c r="RBL5" s="107"/>
      <c r="RBM5" s="107"/>
      <c r="RBN5" s="107"/>
      <c r="RBO5" s="107"/>
      <c r="RBP5" s="107"/>
      <c r="RBQ5" s="107"/>
      <c r="RBR5" s="107"/>
      <c r="RBS5" s="107"/>
      <c r="RBT5" s="107"/>
      <c r="RBU5" s="107"/>
      <c r="RBV5" s="107"/>
      <c r="RBW5" s="107"/>
      <c r="RBX5" s="107"/>
      <c r="RBY5" s="107"/>
      <c r="RBZ5" s="107"/>
      <c r="RCA5" s="107"/>
      <c r="RCB5" s="107"/>
      <c r="RCC5" s="107"/>
      <c r="RCD5" s="107"/>
      <c r="RCE5" s="107"/>
      <c r="RCF5" s="107"/>
      <c r="RCG5" s="107"/>
      <c r="RCH5" s="107"/>
      <c r="RCI5" s="107"/>
      <c r="RCJ5" s="107"/>
      <c r="RCK5" s="107"/>
      <c r="RCL5" s="107"/>
      <c r="RCM5" s="107"/>
      <c r="RCN5" s="107"/>
      <c r="RCO5" s="107"/>
      <c r="RCP5" s="107"/>
      <c r="RCQ5" s="107"/>
      <c r="RCR5" s="107"/>
      <c r="RCS5" s="107"/>
      <c r="RCT5" s="107"/>
      <c r="RCU5" s="107"/>
      <c r="RCV5" s="107"/>
      <c r="RCW5" s="107"/>
      <c r="RCX5" s="107"/>
      <c r="RCY5" s="107"/>
      <c r="RCZ5" s="107"/>
      <c r="RDA5" s="107"/>
      <c r="RDB5" s="107"/>
      <c r="RDC5" s="107"/>
      <c r="RDD5" s="107"/>
      <c r="RDE5" s="107"/>
      <c r="RDF5" s="107"/>
      <c r="RDG5" s="107"/>
      <c r="RDH5" s="107"/>
      <c r="RDI5" s="107"/>
      <c r="RDJ5" s="107"/>
      <c r="RDK5" s="107"/>
      <c r="RDL5" s="107"/>
      <c r="RDM5" s="107"/>
      <c r="RDN5" s="107"/>
      <c r="RDO5" s="107"/>
      <c r="RDP5" s="107"/>
      <c r="RDQ5" s="107"/>
      <c r="RDR5" s="107"/>
      <c r="RDS5" s="107"/>
      <c r="RDT5" s="107"/>
      <c r="RDU5" s="107"/>
      <c r="RDV5" s="107"/>
      <c r="RDW5" s="107"/>
      <c r="RDX5" s="107"/>
      <c r="RDY5" s="107"/>
      <c r="RDZ5" s="107"/>
      <c r="REA5" s="107"/>
      <c r="REB5" s="107"/>
      <c r="REC5" s="107"/>
      <c r="RED5" s="107"/>
      <c r="REE5" s="107"/>
      <c r="REF5" s="107"/>
      <c r="REG5" s="107"/>
      <c r="REH5" s="107"/>
      <c r="REI5" s="107"/>
      <c r="REJ5" s="107"/>
      <c r="REK5" s="107"/>
      <c r="REL5" s="107"/>
      <c r="REM5" s="107"/>
      <c r="REN5" s="107"/>
      <c r="REO5" s="107"/>
      <c r="REP5" s="107"/>
      <c r="REQ5" s="107"/>
      <c r="RER5" s="107"/>
      <c r="RES5" s="107"/>
      <c r="RET5" s="107"/>
      <c r="REU5" s="107"/>
      <c r="REV5" s="107"/>
      <c r="REW5" s="107"/>
      <c r="REX5" s="107"/>
      <c r="REY5" s="107"/>
      <c r="REZ5" s="107"/>
      <c r="RFA5" s="107"/>
      <c r="RFB5" s="107"/>
      <c r="RFC5" s="107"/>
      <c r="RFD5" s="107"/>
      <c r="RFE5" s="107"/>
      <c r="RFF5" s="107"/>
      <c r="RFG5" s="107"/>
      <c r="RFH5" s="107"/>
      <c r="RFI5" s="107"/>
      <c r="RFJ5" s="107"/>
      <c r="RFK5" s="107"/>
      <c r="RFL5" s="107"/>
      <c r="RFM5" s="107"/>
      <c r="RFN5" s="107"/>
      <c r="RFO5" s="107"/>
      <c r="RFP5" s="107"/>
      <c r="RFQ5" s="107"/>
      <c r="RFR5" s="107"/>
      <c r="RFS5" s="107"/>
      <c r="RFT5" s="107"/>
      <c r="RFU5" s="107"/>
      <c r="RFV5" s="107"/>
      <c r="RFW5" s="107"/>
      <c r="RFX5" s="107"/>
      <c r="RFY5" s="107"/>
      <c r="RFZ5" s="107"/>
      <c r="RGA5" s="107"/>
      <c r="RGB5" s="107"/>
      <c r="RGC5" s="107"/>
      <c r="RGD5" s="107"/>
      <c r="RGE5" s="107"/>
      <c r="RGF5" s="107"/>
      <c r="RGG5" s="107"/>
      <c r="RGH5" s="107"/>
      <c r="RGI5" s="107"/>
      <c r="RGJ5" s="107"/>
      <c r="RGK5" s="107"/>
      <c r="RGL5" s="107"/>
      <c r="RGM5" s="107"/>
      <c r="RGN5" s="107"/>
      <c r="RGO5" s="107"/>
      <c r="RGP5" s="107"/>
      <c r="RGQ5" s="107"/>
      <c r="RGR5" s="107"/>
      <c r="RGS5" s="107"/>
      <c r="RGT5" s="107"/>
      <c r="RGU5" s="107"/>
      <c r="RGV5" s="107"/>
      <c r="RGW5" s="107"/>
      <c r="RGX5" s="107"/>
      <c r="RGY5" s="107"/>
      <c r="RGZ5" s="107"/>
      <c r="RHA5" s="107"/>
      <c r="RHB5" s="107"/>
      <c r="RHC5" s="107"/>
      <c r="RHD5" s="107"/>
      <c r="RHE5" s="107"/>
      <c r="RHF5" s="107"/>
      <c r="RHG5" s="107"/>
      <c r="RHH5" s="107"/>
      <c r="RHI5" s="107"/>
      <c r="RHJ5" s="107"/>
      <c r="RHK5" s="107"/>
      <c r="RHL5" s="107"/>
      <c r="RHM5" s="107"/>
      <c r="RHN5" s="107"/>
      <c r="RHO5" s="107"/>
      <c r="RHP5" s="107"/>
      <c r="RHQ5" s="107"/>
      <c r="RHR5" s="107"/>
      <c r="RHS5" s="107"/>
      <c r="RHT5" s="107"/>
      <c r="RHU5" s="107"/>
      <c r="RHV5" s="107"/>
      <c r="RHW5" s="107"/>
      <c r="RHX5" s="107"/>
      <c r="RHY5" s="107"/>
      <c r="RHZ5" s="107"/>
      <c r="RIA5" s="107"/>
      <c r="RIB5" s="107"/>
      <c r="RIC5" s="107"/>
      <c r="RID5" s="107"/>
      <c r="RIE5" s="107"/>
      <c r="RIF5" s="107"/>
      <c r="RIG5" s="107"/>
      <c r="RIH5" s="107"/>
      <c r="RII5" s="107"/>
      <c r="RIJ5" s="107"/>
      <c r="RIK5" s="107"/>
      <c r="RIL5" s="107"/>
      <c r="RIM5" s="107"/>
      <c r="RIN5" s="107"/>
      <c r="RIO5" s="107"/>
      <c r="RIP5" s="107"/>
      <c r="RIQ5" s="107"/>
      <c r="RIR5" s="107"/>
      <c r="RIS5" s="107"/>
      <c r="RIT5" s="107"/>
      <c r="RIU5" s="107"/>
      <c r="RIV5" s="107"/>
      <c r="RIW5" s="107"/>
      <c r="RIX5" s="107"/>
      <c r="RIY5" s="107"/>
      <c r="RIZ5" s="107"/>
      <c r="RJA5" s="107"/>
      <c r="RJB5" s="107"/>
      <c r="RJC5" s="107"/>
      <c r="RJD5" s="107"/>
      <c r="RJE5" s="107"/>
      <c r="RJF5" s="107"/>
      <c r="RJG5" s="107"/>
      <c r="RJH5" s="107"/>
      <c r="RJI5" s="107"/>
      <c r="RJJ5" s="107"/>
      <c r="RJK5" s="107"/>
      <c r="RJL5" s="107"/>
      <c r="RJM5" s="107"/>
      <c r="RJN5" s="107"/>
      <c r="RJO5" s="107"/>
      <c r="RJP5" s="107"/>
      <c r="RJQ5" s="107"/>
      <c r="RJR5" s="107"/>
      <c r="RJS5" s="107"/>
      <c r="RJT5" s="107"/>
      <c r="RJU5" s="107"/>
      <c r="RJV5" s="107"/>
      <c r="RJW5" s="107"/>
      <c r="RJX5" s="107"/>
      <c r="RJY5" s="107"/>
      <c r="RJZ5" s="107"/>
      <c r="RKA5" s="107"/>
      <c r="RKB5" s="107"/>
      <c r="RKC5" s="107"/>
      <c r="RKD5" s="107"/>
      <c r="RKE5" s="107"/>
      <c r="RKF5" s="107"/>
      <c r="RKG5" s="107"/>
      <c r="RKH5" s="107"/>
      <c r="RKI5" s="107"/>
      <c r="RKJ5" s="107"/>
      <c r="RKK5" s="107"/>
      <c r="RKL5" s="107"/>
      <c r="RKM5" s="107"/>
      <c r="RKN5" s="107"/>
      <c r="RKO5" s="107"/>
      <c r="RKP5" s="107"/>
      <c r="RKQ5" s="107"/>
      <c r="RKR5" s="107"/>
      <c r="RKS5" s="107"/>
      <c r="RKT5" s="107"/>
      <c r="RKU5" s="107"/>
      <c r="RKV5" s="107"/>
      <c r="RKW5" s="107"/>
      <c r="RKX5" s="107"/>
      <c r="RKY5" s="107"/>
      <c r="RKZ5" s="107"/>
      <c r="RLA5" s="107"/>
      <c r="RLB5" s="107"/>
      <c r="RLC5" s="107"/>
      <c r="RLD5" s="107"/>
      <c r="RLE5" s="107"/>
      <c r="RLF5" s="107"/>
      <c r="RLG5" s="107"/>
      <c r="RLH5" s="107"/>
      <c r="RLI5" s="107"/>
      <c r="RLJ5" s="107"/>
      <c r="RLK5" s="107"/>
      <c r="RLL5" s="107"/>
      <c r="RLM5" s="107"/>
      <c r="RLN5" s="107"/>
      <c r="RLO5" s="107"/>
      <c r="RLP5" s="107"/>
      <c r="RLQ5" s="107"/>
      <c r="RLR5" s="107"/>
      <c r="RLS5" s="107"/>
      <c r="RLT5" s="107"/>
      <c r="RLU5" s="107"/>
      <c r="RLV5" s="107"/>
      <c r="RLW5" s="107"/>
      <c r="RLX5" s="107"/>
      <c r="RLY5" s="107"/>
      <c r="RLZ5" s="107"/>
      <c r="RMA5" s="107"/>
      <c r="RMB5" s="107"/>
      <c r="RMC5" s="107"/>
      <c r="RMD5" s="107"/>
      <c r="RME5" s="107"/>
      <c r="RMF5" s="107"/>
      <c r="RMG5" s="107"/>
      <c r="RMH5" s="107"/>
      <c r="RMI5" s="107"/>
      <c r="RMJ5" s="107"/>
      <c r="RMK5" s="107"/>
      <c r="RML5" s="107"/>
      <c r="RMM5" s="107"/>
      <c r="RMN5" s="107"/>
      <c r="RMO5" s="107"/>
      <c r="RMP5" s="107"/>
      <c r="RMQ5" s="107"/>
      <c r="RMR5" s="107"/>
      <c r="RMS5" s="107"/>
      <c r="RMT5" s="107"/>
      <c r="RMU5" s="107"/>
      <c r="RMV5" s="107"/>
      <c r="RMW5" s="107"/>
      <c r="RMX5" s="107"/>
      <c r="RMY5" s="107"/>
      <c r="RMZ5" s="107"/>
      <c r="RNA5" s="107"/>
      <c r="RNB5" s="107"/>
      <c r="RNC5" s="107"/>
      <c r="RND5" s="107"/>
      <c r="RNE5" s="107"/>
      <c r="RNF5" s="107"/>
      <c r="RNG5" s="107"/>
      <c r="RNH5" s="107"/>
      <c r="RNI5" s="107"/>
      <c r="RNJ5" s="107"/>
      <c r="RNK5" s="107"/>
      <c r="RNL5" s="107"/>
      <c r="RNM5" s="107"/>
      <c r="RNN5" s="107"/>
      <c r="RNO5" s="107"/>
      <c r="RNP5" s="107"/>
      <c r="RNQ5" s="107"/>
      <c r="RNR5" s="107"/>
      <c r="RNS5" s="107"/>
      <c r="RNT5" s="107"/>
      <c r="RNU5" s="107"/>
      <c r="RNV5" s="107"/>
      <c r="RNW5" s="107"/>
      <c r="RNX5" s="107"/>
      <c r="RNY5" s="107"/>
      <c r="RNZ5" s="107"/>
      <c r="ROA5" s="107"/>
      <c r="ROB5" s="107"/>
      <c r="ROC5" s="107"/>
      <c r="ROD5" s="107"/>
      <c r="ROE5" s="107"/>
      <c r="ROF5" s="107"/>
      <c r="ROG5" s="107"/>
      <c r="ROH5" s="107"/>
      <c r="ROI5" s="107"/>
      <c r="ROJ5" s="107"/>
      <c r="ROK5" s="107"/>
      <c r="ROL5" s="107"/>
      <c r="ROM5" s="107"/>
      <c r="RON5" s="107"/>
      <c r="ROO5" s="107"/>
      <c r="ROP5" s="107"/>
      <c r="ROQ5" s="107"/>
      <c r="ROR5" s="107"/>
      <c r="ROS5" s="107"/>
      <c r="ROT5" s="107"/>
      <c r="ROU5" s="107"/>
      <c r="ROV5" s="107"/>
      <c r="ROW5" s="107"/>
      <c r="ROX5" s="107"/>
      <c r="ROY5" s="107"/>
      <c r="ROZ5" s="107"/>
      <c r="RPA5" s="107"/>
      <c r="RPB5" s="107"/>
      <c r="RPC5" s="107"/>
      <c r="RPD5" s="107"/>
      <c r="RPE5" s="107"/>
      <c r="RPF5" s="107"/>
      <c r="RPG5" s="107"/>
      <c r="RPH5" s="107"/>
      <c r="RPI5" s="107"/>
      <c r="RPJ5" s="107"/>
      <c r="RPK5" s="107"/>
      <c r="RPL5" s="107"/>
      <c r="RPM5" s="107"/>
      <c r="RPN5" s="107"/>
      <c r="RPO5" s="107"/>
      <c r="RPP5" s="107"/>
      <c r="RPQ5" s="107"/>
      <c r="RPR5" s="107"/>
      <c r="RPS5" s="107"/>
      <c r="RPT5" s="107"/>
      <c r="RPU5" s="107"/>
      <c r="RPV5" s="107"/>
      <c r="RPW5" s="107"/>
      <c r="RPX5" s="107"/>
      <c r="RPY5" s="107"/>
      <c r="RPZ5" s="107"/>
      <c r="RQA5" s="107"/>
      <c r="RQB5" s="107"/>
      <c r="RQC5" s="107"/>
      <c r="RQD5" s="107"/>
      <c r="RQE5" s="107"/>
      <c r="RQF5" s="107"/>
      <c r="RQG5" s="107"/>
      <c r="RQH5" s="107"/>
      <c r="RQI5" s="107"/>
      <c r="RQJ5" s="107"/>
      <c r="RQK5" s="107"/>
      <c r="RQL5" s="107"/>
      <c r="RQM5" s="107"/>
      <c r="RQN5" s="107"/>
      <c r="RQO5" s="107"/>
      <c r="RQP5" s="107"/>
      <c r="RQQ5" s="107"/>
      <c r="RQR5" s="107"/>
      <c r="RQS5" s="107"/>
      <c r="RQT5" s="107"/>
      <c r="RQU5" s="107"/>
      <c r="RQV5" s="107"/>
      <c r="RQW5" s="107"/>
      <c r="RQX5" s="107"/>
      <c r="RQY5" s="107"/>
      <c r="RQZ5" s="107"/>
      <c r="RRA5" s="107"/>
      <c r="RRB5" s="107"/>
      <c r="RRC5" s="107"/>
      <c r="RRD5" s="107"/>
      <c r="RRE5" s="107"/>
      <c r="RRF5" s="107"/>
      <c r="RRG5" s="107"/>
      <c r="RRH5" s="107"/>
      <c r="RRI5" s="107"/>
      <c r="RRJ5" s="107"/>
      <c r="RRK5" s="107"/>
      <c r="RRL5" s="107"/>
      <c r="RRM5" s="107"/>
      <c r="RRN5" s="107"/>
      <c r="RRO5" s="107"/>
      <c r="RRP5" s="107"/>
      <c r="RRQ5" s="107"/>
      <c r="RRR5" s="107"/>
      <c r="RRS5" s="107"/>
      <c r="RRT5" s="107"/>
      <c r="RRU5" s="107"/>
      <c r="RRV5" s="107"/>
      <c r="RRW5" s="107"/>
      <c r="RRX5" s="107"/>
      <c r="RRY5" s="107"/>
      <c r="RRZ5" s="107"/>
      <c r="RSA5" s="107"/>
      <c r="RSB5" s="107"/>
      <c r="RSC5" s="107"/>
      <c r="RSD5" s="107"/>
      <c r="RSE5" s="107"/>
      <c r="RSF5" s="107"/>
      <c r="RSG5" s="107"/>
      <c r="RSH5" s="107"/>
      <c r="RSI5" s="107"/>
      <c r="RSJ5" s="107"/>
      <c r="RSK5" s="107"/>
      <c r="RSL5" s="107"/>
      <c r="RSM5" s="107"/>
      <c r="RSN5" s="107"/>
      <c r="RSO5" s="107"/>
      <c r="RSP5" s="107"/>
      <c r="RSQ5" s="107"/>
      <c r="RSR5" s="107"/>
      <c r="RSS5" s="107"/>
      <c r="RST5" s="107"/>
      <c r="RSU5" s="107"/>
      <c r="RSV5" s="107"/>
      <c r="RSW5" s="107"/>
      <c r="RSX5" s="107"/>
      <c r="RSY5" s="107"/>
      <c r="RSZ5" s="107"/>
      <c r="RTA5" s="107"/>
      <c r="RTB5" s="107"/>
      <c r="RTC5" s="107"/>
      <c r="RTD5" s="107"/>
      <c r="RTE5" s="107"/>
      <c r="RTF5" s="107"/>
      <c r="RTG5" s="107"/>
      <c r="RTH5" s="107"/>
      <c r="RTI5" s="107"/>
      <c r="RTJ5" s="107"/>
      <c r="RTK5" s="107"/>
      <c r="RTL5" s="107"/>
      <c r="RTM5" s="107"/>
      <c r="RTN5" s="107"/>
      <c r="RTO5" s="107"/>
      <c r="RTP5" s="107"/>
      <c r="RTQ5" s="107"/>
      <c r="RTR5" s="107"/>
      <c r="RTS5" s="107"/>
      <c r="RTT5" s="107"/>
      <c r="RTU5" s="107"/>
      <c r="RTV5" s="107"/>
      <c r="RTW5" s="107"/>
      <c r="RTX5" s="107"/>
      <c r="RTY5" s="107"/>
      <c r="RTZ5" s="107"/>
      <c r="RUA5" s="107"/>
      <c r="RUB5" s="107"/>
      <c r="RUC5" s="107"/>
      <c r="RUD5" s="107"/>
      <c r="RUE5" s="107"/>
      <c r="RUF5" s="107"/>
      <c r="RUG5" s="107"/>
      <c r="RUH5" s="107"/>
      <c r="RUI5" s="107"/>
      <c r="RUJ5" s="107"/>
      <c r="RUK5" s="107"/>
      <c r="RUL5" s="107"/>
      <c r="RUM5" s="107"/>
      <c r="RUN5" s="107"/>
      <c r="RUO5" s="107"/>
      <c r="RUP5" s="107"/>
      <c r="RUQ5" s="107"/>
      <c r="RUR5" s="107"/>
      <c r="RUS5" s="107"/>
      <c r="RUT5" s="107"/>
      <c r="RUU5" s="107"/>
      <c r="RUV5" s="107"/>
      <c r="RUW5" s="107"/>
      <c r="RUX5" s="107"/>
      <c r="RUY5" s="107"/>
      <c r="RUZ5" s="107"/>
      <c r="RVA5" s="107"/>
      <c r="RVB5" s="107"/>
      <c r="RVC5" s="107"/>
      <c r="RVD5" s="107"/>
      <c r="RVE5" s="107"/>
      <c r="RVF5" s="107"/>
      <c r="RVG5" s="107"/>
      <c r="RVH5" s="107"/>
      <c r="RVI5" s="107"/>
      <c r="RVJ5" s="107"/>
      <c r="RVK5" s="107"/>
      <c r="RVL5" s="107"/>
      <c r="RVM5" s="107"/>
      <c r="RVN5" s="107"/>
      <c r="RVO5" s="107"/>
      <c r="RVP5" s="107"/>
      <c r="RVQ5" s="107"/>
      <c r="RVR5" s="107"/>
      <c r="RVS5" s="107"/>
      <c r="RVT5" s="107"/>
      <c r="RVU5" s="107"/>
      <c r="RVV5" s="107"/>
      <c r="RVW5" s="107"/>
      <c r="RVX5" s="107"/>
      <c r="RVY5" s="107"/>
      <c r="RVZ5" s="107"/>
      <c r="RWA5" s="107"/>
      <c r="RWB5" s="107"/>
      <c r="RWC5" s="107"/>
      <c r="RWD5" s="107"/>
      <c r="RWE5" s="107"/>
      <c r="RWF5" s="107"/>
      <c r="RWG5" s="107"/>
      <c r="RWH5" s="107"/>
      <c r="RWI5" s="107"/>
      <c r="RWJ5" s="107"/>
      <c r="RWK5" s="107"/>
      <c r="RWL5" s="107"/>
      <c r="RWM5" s="107"/>
      <c r="RWN5" s="107"/>
      <c r="RWO5" s="107"/>
      <c r="RWP5" s="107"/>
      <c r="RWQ5" s="107"/>
      <c r="RWR5" s="107"/>
      <c r="RWS5" s="107"/>
      <c r="RWT5" s="107"/>
      <c r="RWU5" s="107"/>
      <c r="RWV5" s="107"/>
      <c r="RWW5" s="107"/>
      <c r="RWX5" s="107"/>
      <c r="RWY5" s="107"/>
      <c r="RWZ5" s="107"/>
      <c r="RXA5" s="107"/>
      <c r="RXB5" s="107"/>
      <c r="RXC5" s="107"/>
      <c r="RXD5" s="107"/>
      <c r="RXE5" s="107"/>
      <c r="RXF5" s="107"/>
      <c r="RXG5" s="107"/>
      <c r="RXH5" s="107"/>
      <c r="RXI5" s="107"/>
      <c r="RXJ5" s="107"/>
      <c r="RXK5" s="107"/>
      <c r="RXL5" s="107"/>
      <c r="RXM5" s="107"/>
      <c r="RXN5" s="107"/>
      <c r="RXO5" s="107"/>
      <c r="RXP5" s="107"/>
      <c r="RXQ5" s="107"/>
      <c r="RXR5" s="107"/>
      <c r="RXS5" s="107"/>
      <c r="RXT5" s="107"/>
      <c r="RXU5" s="107"/>
      <c r="RXV5" s="107"/>
      <c r="RXW5" s="107"/>
      <c r="RXX5" s="107"/>
      <c r="RXY5" s="107"/>
      <c r="RXZ5" s="107"/>
      <c r="RYA5" s="107"/>
      <c r="RYB5" s="107"/>
      <c r="RYC5" s="107"/>
      <c r="RYD5" s="107"/>
      <c r="RYE5" s="107"/>
      <c r="RYF5" s="107"/>
      <c r="RYG5" s="107"/>
      <c r="RYH5" s="107"/>
      <c r="RYI5" s="107"/>
      <c r="RYJ5" s="107"/>
      <c r="RYK5" s="107"/>
      <c r="RYL5" s="107"/>
      <c r="RYM5" s="107"/>
      <c r="RYN5" s="107"/>
      <c r="RYO5" s="107"/>
      <c r="RYP5" s="107"/>
      <c r="RYQ5" s="107"/>
      <c r="RYR5" s="107"/>
      <c r="RYS5" s="107"/>
      <c r="RYT5" s="107"/>
      <c r="RYU5" s="107"/>
      <c r="RYV5" s="107"/>
      <c r="RYW5" s="107"/>
      <c r="RYX5" s="107"/>
      <c r="RYY5" s="107"/>
      <c r="RYZ5" s="107"/>
      <c r="RZA5" s="107"/>
      <c r="RZB5" s="107"/>
      <c r="RZC5" s="107"/>
      <c r="RZD5" s="107"/>
      <c r="RZE5" s="107"/>
      <c r="RZF5" s="107"/>
      <c r="RZG5" s="107"/>
      <c r="RZH5" s="107"/>
      <c r="RZI5" s="107"/>
      <c r="RZJ5" s="107"/>
      <c r="RZK5" s="107"/>
      <c r="RZL5" s="107"/>
      <c r="RZM5" s="107"/>
      <c r="RZN5" s="107"/>
      <c r="RZO5" s="107"/>
      <c r="RZP5" s="107"/>
      <c r="RZQ5" s="107"/>
      <c r="RZR5" s="107"/>
      <c r="RZS5" s="107"/>
      <c r="RZT5" s="107"/>
      <c r="RZU5" s="107"/>
      <c r="RZV5" s="107"/>
      <c r="RZW5" s="107"/>
      <c r="RZX5" s="107"/>
      <c r="RZY5" s="107"/>
      <c r="RZZ5" s="107"/>
      <c r="SAA5" s="107"/>
      <c r="SAB5" s="107"/>
      <c r="SAC5" s="107"/>
      <c r="SAD5" s="107"/>
      <c r="SAE5" s="107"/>
      <c r="SAF5" s="107"/>
      <c r="SAG5" s="107"/>
      <c r="SAH5" s="107"/>
      <c r="SAI5" s="107"/>
      <c r="SAJ5" s="107"/>
      <c r="SAK5" s="107"/>
      <c r="SAL5" s="107"/>
      <c r="SAM5" s="107"/>
      <c r="SAN5" s="107"/>
      <c r="SAO5" s="107"/>
      <c r="SAP5" s="107"/>
      <c r="SAQ5" s="107"/>
      <c r="SAR5" s="107"/>
      <c r="SAS5" s="107"/>
      <c r="SAT5" s="107"/>
      <c r="SAU5" s="107"/>
      <c r="SAV5" s="107"/>
      <c r="SAW5" s="107"/>
      <c r="SAX5" s="107"/>
      <c r="SAY5" s="107"/>
      <c r="SAZ5" s="107"/>
      <c r="SBA5" s="107"/>
      <c r="SBB5" s="107"/>
      <c r="SBC5" s="107"/>
      <c r="SBD5" s="107"/>
      <c r="SBE5" s="107"/>
      <c r="SBF5" s="107"/>
      <c r="SBG5" s="107"/>
      <c r="SBH5" s="107"/>
      <c r="SBI5" s="107"/>
      <c r="SBJ5" s="107"/>
      <c r="SBK5" s="107"/>
      <c r="SBL5" s="107"/>
      <c r="SBM5" s="107"/>
      <c r="SBN5" s="107"/>
      <c r="SBO5" s="107"/>
      <c r="SBP5" s="107"/>
      <c r="SBQ5" s="107"/>
      <c r="SBR5" s="107"/>
      <c r="SBS5" s="107"/>
      <c r="SBT5" s="107"/>
      <c r="SBU5" s="107"/>
      <c r="SBV5" s="107"/>
      <c r="SBW5" s="107"/>
      <c r="SBX5" s="107"/>
      <c r="SBY5" s="107"/>
      <c r="SBZ5" s="107"/>
      <c r="SCA5" s="107"/>
      <c r="SCB5" s="107"/>
      <c r="SCC5" s="107"/>
      <c r="SCD5" s="107"/>
      <c r="SCE5" s="107"/>
      <c r="SCF5" s="107"/>
      <c r="SCG5" s="107"/>
      <c r="SCH5" s="107"/>
      <c r="SCI5" s="107"/>
      <c r="SCJ5" s="107"/>
      <c r="SCK5" s="107"/>
      <c r="SCL5" s="107"/>
      <c r="SCM5" s="107"/>
      <c r="SCN5" s="107"/>
      <c r="SCO5" s="107"/>
      <c r="SCP5" s="107"/>
      <c r="SCQ5" s="107"/>
      <c r="SCR5" s="107"/>
      <c r="SCS5" s="107"/>
      <c r="SCT5" s="107"/>
      <c r="SCU5" s="107"/>
      <c r="SCV5" s="107"/>
      <c r="SCW5" s="107"/>
      <c r="SCX5" s="107"/>
      <c r="SCY5" s="107"/>
      <c r="SCZ5" s="107"/>
      <c r="SDA5" s="107"/>
      <c r="SDB5" s="107"/>
      <c r="SDC5" s="107"/>
      <c r="SDD5" s="107"/>
      <c r="SDE5" s="107"/>
      <c r="SDF5" s="107"/>
      <c r="SDG5" s="107"/>
      <c r="SDH5" s="107"/>
      <c r="SDI5" s="107"/>
      <c r="SDJ5" s="107"/>
      <c r="SDK5" s="107"/>
      <c r="SDL5" s="107"/>
      <c r="SDM5" s="107"/>
      <c r="SDN5" s="107"/>
      <c r="SDO5" s="107"/>
      <c r="SDP5" s="107"/>
      <c r="SDQ5" s="107"/>
      <c r="SDR5" s="107"/>
      <c r="SDS5" s="107"/>
      <c r="SDT5" s="107"/>
      <c r="SDU5" s="107"/>
      <c r="SDV5" s="107"/>
      <c r="SDW5" s="107"/>
      <c r="SDX5" s="107"/>
      <c r="SDY5" s="107"/>
      <c r="SDZ5" s="107"/>
      <c r="SEA5" s="107"/>
      <c r="SEB5" s="107"/>
      <c r="SEC5" s="107"/>
      <c r="SED5" s="107"/>
      <c r="SEE5" s="107"/>
      <c r="SEF5" s="107"/>
      <c r="SEG5" s="107"/>
      <c r="SEH5" s="107"/>
      <c r="SEI5" s="107"/>
      <c r="SEJ5" s="107"/>
      <c r="SEK5" s="107"/>
      <c r="SEL5" s="107"/>
      <c r="SEM5" s="107"/>
      <c r="SEN5" s="107"/>
      <c r="SEO5" s="107"/>
      <c r="SEP5" s="107"/>
      <c r="SEQ5" s="107"/>
      <c r="SER5" s="107"/>
      <c r="SES5" s="107"/>
      <c r="SET5" s="107"/>
      <c r="SEU5" s="107"/>
      <c r="SEV5" s="107"/>
      <c r="SEW5" s="107"/>
      <c r="SEX5" s="107"/>
      <c r="SEY5" s="107"/>
      <c r="SEZ5" s="107"/>
      <c r="SFA5" s="107"/>
      <c r="SFB5" s="107"/>
      <c r="SFC5" s="107"/>
      <c r="SFD5" s="107"/>
      <c r="SFE5" s="107"/>
      <c r="SFF5" s="107"/>
      <c r="SFG5" s="107"/>
      <c r="SFH5" s="107"/>
      <c r="SFI5" s="107"/>
      <c r="SFJ5" s="107"/>
      <c r="SFK5" s="107"/>
      <c r="SFL5" s="107"/>
      <c r="SFM5" s="107"/>
      <c r="SFN5" s="107"/>
      <c r="SFO5" s="107"/>
      <c r="SFP5" s="107"/>
      <c r="SFQ5" s="107"/>
      <c r="SFR5" s="107"/>
      <c r="SFS5" s="107"/>
      <c r="SFT5" s="107"/>
      <c r="SFU5" s="107"/>
      <c r="SFV5" s="107"/>
      <c r="SFW5" s="107"/>
      <c r="SFX5" s="107"/>
      <c r="SFY5" s="107"/>
      <c r="SFZ5" s="107"/>
      <c r="SGA5" s="107"/>
      <c r="SGB5" s="107"/>
      <c r="SGC5" s="107"/>
      <c r="SGD5" s="107"/>
      <c r="SGE5" s="107"/>
      <c r="SGF5" s="107"/>
      <c r="SGG5" s="107"/>
      <c r="SGH5" s="107"/>
      <c r="SGI5" s="107"/>
      <c r="SGJ5" s="107"/>
      <c r="SGK5" s="107"/>
      <c r="SGL5" s="107"/>
      <c r="SGM5" s="107"/>
      <c r="SGN5" s="107"/>
      <c r="SGO5" s="107"/>
      <c r="SGP5" s="107"/>
      <c r="SGQ5" s="107"/>
      <c r="SGR5" s="107"/>
      <c r="SGS5" s="107"/>
      <c r="SGT5" s="107"/>
      <c r="SGU5" s="107"/>
      <c r="SGV5" s="107"/>
      <c r="SGW5" s="107"/>
      <c r="SGX5" s="107"/>
      <c r="SGY5" s="107"/>
      <c r="SGZ5" s="107"/>
      <c r="SHA5" s="107"/>
      <c r="SHB5" s="107"/>
      <c r="SHC5" s="107"/>
      <c r="SHD5" s="107"/>
      <c r="SHE5" s="107"/>
      <c r="SHF5" s="107"/>
      <c r="SHG5" s="107"/>
      <c r="SHH5" s="107"/>
      <c r="SHI5" s="107"/>
      <c r="SHJ5" s="107"/>
      <c r="SHK5" s="107"/>
      <c r="SHL5" s="107"/>
      <c r="SHM5" s="107"/>
      <c r="SHN5" s="107"/>
      <c r="SHO5" s="107"/>
      <c r="SHP5" s="107"/>
      <c r="SHQ5" s="107"/>
      <c r="SHR5" s="107"/>
      <c r="SHS5" s="107"/>
      <c r="SHT5" s="107"/>
      <c r="SHU5" s="107"/>
      <c r="SHV5" s="107"/>
      <c r="SHW5" s="107"/>
      <c r="SHX5" s="107"/>
      <c r="SHY5" s="107"/>
      <c r="SHZ5" s="107"/>
      <c r="SIA5" s="107"/>
      <c r="SIB5" s="107"/>
      <c r="SIC5" s="107"/>
      <c r="SID5" s="107"/>
      <c r="SIE5" s="107"/>
      <c r="SIF5" s="107"/>
      <c r="SIG5" s="107"/>
      <c r="SIH5" s="107"/>
      <c r="SII5" s="107"/>
      <c r="SIJ5" s="107"/>
      <c r="SIK5" s="107"/>
      <c r="SIL5" s="107"/>
      <c r="SIM5" s="107"/>
      <c r="SIN5" s="107"/>
      <c r="SIO5" s="107"/>
      <c r="SIP5" s="107"/>
      <c r="SIQ5" s="107"/>
      <c r="SIR5" s="107"/>
      <c r="SIS5" s="107"/>
      <c r="SIT5" s="107"/>
      <c r="SIU5" s="107"/>
      <c r="SIV5" s="107"/>
      <c r="SIW5" s="107"/>
      <c r="SIX5" s="107"/>
      <c r="SIY5" s="107"/>
      <c r="SIZ5" s="107"/>
      <c r="SJA5" s="107"/>
      <c r="SJB5" s="107"/>
      <c r="SJC5" s="107"/>
      <c r="SJD5" s="107"/>
      <c r="SJE5" s="107"/>
      <c r="SJF5" s="107"/>
      <c r="SJG5" s="107"/>
      <c r="SJH5" s="107"/>
      <c r="SJI5" s="107"/>
      <c r="SJJ5" s="107"/>
      <c r="SJK5" s="107"/>
      <c r="SJL5" s="107"/>
      <c r="SJM5" s="107"/>
      <c r="SJN5" s="107"/>
      <c r="SJO5" s="107"/>
      <c r="SJP5" s="107"/>
      <c r="SJQ5" s="107"/>
      <c r="SJR5" s="107"/>
      <c r="SJS5" s="107"/>
      <c r="SJT5" s="107"/>
      <c r="SJU5" s="107"/>
      <c r="SJV5" s="107"/>
      <c r="SJW5" s="107"/>
      <c r="SJX5" s="107"/>
      <c r="SJY5" s="107"/>
      <c r="SJZ5" s="107"/>
      <c r="SKA5" s="107"/>
      <c r="SKB5" s="107"/>
      <c r="SKC5" s="107"/>
      <c r="SKD5" s="107"/>
      <c r="SKE5" s="107"/>
      <c r="SKF5" s="107"/>
      <c r="SKG5" s="107"/>
      <c r="SKH5" s="107"/>
      <c r="SKI5" s="107"/>
      <c r="SKJ5" s="107"/>
      <c r="SKK5" s="107"/>
      <c r="SKL5" s="107"/>
      <c r="SKM5" s="107"/>
      <c r="SKN5" s="107"/>
      <c r="SKO5" s="107"/>
      <c r="SKP5" s="107"/>
      <c r="SKQ5" s="107"/>
      <c r="SKR5" s="107"/>
      <c r="SKS5" s="107"/>
      <c r="SKT5" s="107"/>
      <c r="SKU5" s="107"/>
      <c r="SKV5" s="107"/>
      <c r="SKW5" s="107"/>
      <c r="SKX5" s="107"/>
      <c r="SKY5" s="107"/>
      <c r="SKZ5" s="107"/>
      <c r="SLA5" s="107"/>
      <c r="SLB5" s="107"/>
      <c r="SLC5" s="107"/>
      <c r="SLD5" s="107"/>
      <c r="SLE5" s="107"/>
      <c r="SLF5" s="107"/>
      <c r="SLG5" s="107"/>
      <c r="SLH5" s="107"/>
      <c r="SLI5" s="107"/>
      <c r="SLJ5" s="107"/>
      <c r="SLK5" s="107"/>
      <c r="SLL5" s="107"/>
      <c r="SLM5" s="107"/>
      <c r="SLN5" s="107"/>
      <c r="SLO5" s="107"/>
      <c r="SLP5" s="107"/>
      <c r="SLQ5" s="107"/>
      <c r="SLR5" s="107"/>
      <c r="SLS5" s="107"/>
      <c r="SLT5" s="107"/>
      <c r="SLU5" s="107"/>
      <c r="SLV5" s="107"/>
      <c r="SLW5" s="107"/>
      <c r="SLX5" s="107"/>
      <c r="SLY5" s="107"/>
      <c r="SLZ5" s="107"/>
      <c r="SMA5" s="107"/>
      <c r="SMB5" s="107"/>
      <c r="SMC5" s="107"/>
      <c r="SMD5" s="107"/>
      <c r="SME5" s="107"/>
      <c r="SMF5" s="107"/>
      <c r="SMG5" s="107"/>
      <c r="SMH5" s="107"/>
      <c r="SMI5" s="107"/>
      <c r="SMJ5" s="107"/>
      <c r="SMK5" s="107"/>
      <c r="SML5" s="107"/>
      <c r="SMM5" s="107"/>
      <c r="SMN5" s="107"/>
      <c r="SMO5" s="107"/>
      <c r="SMP5" s="107"/>
      <c r="SMQ5" s="107"/>
      <c r="SMR5" s="107"/>
      <c r="SMS5" s="107"/>
      <c r="SMT5" s="107"/>
      <c r="SMU5" s="107"/>
      <c r="SMV5" s="107"/>
      <c r="SMW5" s="107"/>
      <c r="SMX5" s="107"/>
      <c r="SMY5" s="107"/>
      <c r="SMZ5" s="107"/>
      <c r="SNA5" s="107"/>
      <c r="SNB5" s="107"/>
      <c r="SNC5" s="107"/>
      <c r="SND5" s="107"/>
      <c r="SNE5" s="107"/>
      <c r="SNF5" s="107"/>
      <c r="SNG5" s="107"/>
      <c r="SNH5" s="107"/>
      <c r="SNI5" s="107"/>
      <c r="SNJ5" s="107"/>
      <c r="SNK5" s="107"/>
      <c r="SNL5" s="107"/>
      <c r="SNM5" s="107"/>
      <c r="SNN5" s="107"/>
      <c r="SNO5" s="107"/>
      <c r="SNP5" s="107"/>
      <c r="SNQ5" s="107"/>
      <c r="SNR5" s="107"/>
      <c r="SNS5" s="107"/>
      <c r="SNT5" s="107"/>
      <c r="SNU5" s="107"/>
      <c r="SNV5" s="107"/>
      <c r="SNW5" s="107"/>
      <c r="SNX5" s="107"/>
      <c r="SNY5" s="107"/>
      <c r="SNZ5" s="107"/>
      <c r="SOA5" s="107"/>
      <c r="SOB5" s="107"/>
      <c r="SOC5" s="107"/>
      <c r="SOD5" s="107"/>
      <c r="SOE5" s="107"/>
      <c r="SOF5" s="107"/>
      <c r="SOG5" s="107"/>
      <c r="SOH5" s="107"/>
      <c r="SOI5" s="107"/>
      <c r="SOJ5" s="107"/>
      <c r="SOK5" s="107"/>
      <c r="SOL5" s="107"/>
      <c r="SOM5" s="107"/>
      <c r="SON5" s="107"/>
      <c r="SOO5" s="107"/>
      <c r="SOP5" s="107"/>
      <c r="SOQ5" s="107"/>
      <c r="SOR5" s="107"/>
      <c r="SOS5" s="107"/>
      <c r="SOT5" s="107"/>
      <c r="SOU5" s="107"/>
      <c r="SOV5" s="107"/>
      <c r="SOW5" s="107"/>
      <c r="SOX5" s="107"/>
      <c r="SOY5" s="107"/>
      <c r="SOZ5" s="107"/>
      <c r="SPA5" s="107"/>
      <c r="SPB5" s="107"/>
      <c r="SPC5" s="107"/>
      <c r="SPD5" s="107"/>
      <c r="SPE5" s="107"/>
      <c r="SPF5" s="107"/>
      <c r="SPG5" s="107"/>
      <c r="SPH5" s="107"/>
      <c r="SPI5" s="107"/>
      <c r="SPJ5" s="107"/>
      <c r="SPK5" s="107"/>
      <c r="SPL5" s="107"/>
      <c r="SPM5" s="107"/>
      <c r="SPN5" s="107"/>
      <c r="SPO5" s="107"/>
      <c r="SPP5" s="107"/>
      <c r="SPQ5" s="107"/>
      <c r="SPR5" s="107"/>
      <c r="SPS5" s="107"/>
      <c r="SPT5" s="107"/>
      <c r="SPU5" s="107"/>
      <c r="SPV5" s="107"/>
      <c r="SPW5" s="107"/>
      <c r="SPX5" s="107"/>
      <c r="SPY5" s="107"/>
      <c r="SPZ5" s="107"/>
      <c r="SQA5" s="107"/>
      <c r="SQB5" s="107"/>
      <c r="SQC5" s="107"/>
      <c r="SQD5" s="107"/>
      <c r="SQE5" s="107"/>
      <c r="SQF5" s="107"/>
      <c r="SQG5" s="107"/>
      <c r="SQH5" s="107"/>
      <c r="SQI5" s="107"/>
      <c r="SQJ5" s="107"/>
      <c r="SQK5" s="107"/>
      <c r="SQL5" s="107"/>
      <c r="SQM5" s="107"/>
      <c r="SQN5" s="107"/>
      <c r="SQO5" s="107"/>
      <c r="SQP5" s="107"/>
      <c r="SQQ5" s="107"/>
      <c r="SQR5" s="107"/>
      <c r="SQS5" s="107"/>
      <c r="SQT5" s="107"/>
      <c r="SQU5" s="107"/>
      <c r="SQV5" s="107"/>
      <c r="SQW5" s="107"/>
      <c r="SQX5" s="107"/>
      <c r="SQY5" s="107"/>
      <c r="SQZ5" s="107"/>
      <c r="SRA5" s="107"/>
      <c r="SRB5" s="107"/>
      <c r="SRC5" s="107"/>
      <c r="SRD5" s="107"/>
      <c r="SRE5" s="107"/>
      <c r="SRF5" s="107"/>
      <c r="SRG5" s="107"/>
      <c r="SRH5" s="107"/>
      <c r="SRI5" s="107"/>
      <c r="SRJ5" s="107"/>
      <c r="SRK5" s="107"/>
      <c r="SRL5" s="107"/>
      <c r="SRM5" s="107"/>
      <c r="SRN5" s="107"/>
      <c r="SRO5" s="107"/>
      <c r="SRP5" s="107"/>
      <c r="SRQ5" s="107"/>
      <c r="SRR5" s="107"/>
      <c r="SRS5" s="107"/>
      <c r="SRT5" s="107"/>
      <c r="SRU5" s="107"/>
      <c r="SRV5" s="107"/>
      <c r="SRW5" s="107"/>
      <c r="SRX5" s="107"/>
      <c r="SRY5" s="107"/>
      <c r="SRZ5" s="107"/>
      <c r="SSA5" s="107"/>
      <c r="SSB5" s="107"/>
      <c r="SSC5" s="107"/>
      <c r="SSD5" s="107"/>
      <c r="SSE5" s="107"/>
      <c r="SSF5" s="107"/>
      <c r="SSG5" s="107"/>
      <c r="SSH5" s="107"/>
      <c r="SSI5" s="107"/>
      <c r="SSJ5" s="107"/>
      <c r="SSK5" s="107"/>
      <c r="SSL5" s="107"/>
      <c r="SSM5" s="107"/>
      <c r="SSN5" s="107"/>
      <c r="SSO5" s="107"/>
      <c r="SSP5" s="107"/>
      <c r="SSQ5" s="107"/>
      <c r="SSR5" s="107"/>
      <c r="SSS5" s="107"/>
      <c r="SST5" s="107"/>
      <c r="SSU5" s="107"/>
      <c r="SSV5" s="107"/>
      <c r="SSW5" s="107"/>
      <c r="SSX5" s="107"/>
      <c r="SSY5" s="107"/>
      <c r="SSZ5" s="107"/>
      <c r="STA5" s="107"/>
      <c r="STB5" s="107"/>
      <c r="STC5" s="107"/>
      <c r="STD5" s="107"/>
      <c r="STE5" s="107"/>
      <c r="STF5" s="107"/>
      <c r="STG5" s="107"/>
      <c r="STH5" s="107"/>
      <c r="STI5" s="107"/>
      <c r="STJ5" s="107"/>
      <c r="STK5" s="107"/>
      <c r="STL5" s="107"/>
      <c r="STM5" s="107"/>
      <c r="STN5" s="107"/>
      <c r="STO5" s="107"/>
      <c r="STP5" s="107"/>
      <c r="STQ5" s="107"/>
      <c r="STR5" s="107"/>
      <c r="STS5" s="107"/>
      <c r="STT5" s="107"/>
      <c r="STU5" s="107"/>
      <c r="STV5" s="107"/>
      <c r="STW5" s="107"/>
      <c r="STX5" s="107"/>
      <c r="STY5" s="107"/>
      <c r="STZ5" s="107"/>
      <c r="SUA5" s="107"/>
      <c r="SUB5" s="107"/>
      <c r="SUC5" s="107"/>
      <c r="SUD5" s="107"/>
      <c r="SUE5" s="107"/>
      <c r="SUF5" s="107"/>
      <c r="SUG5" s="107"/>
      <c r="SUH5" s="107"/>
      <c r="SUI5" s="107"/>
      <c r="SUJ5" s="107"/>
      <c r="SUK5" s="107"/>
      <c r="SUL5" s="107"/>
      <c r="SUM5" s="107"/>
      <c r="SUN5" s="107"/>
      <c r="SUO5" s="107"/>
      <c r="SUP5" s="107"/>
      <c r="SUQ5" s="107"/>
      <c r="SUR5" s="107"/>
      <c r="SUS5" s="107"/>
      <c r="SUT5" s="107"/>
      <c r="SUU5" s="107"/>
      <c r="SUV5" s="107"/>
      <c r="SUW5" s="107"/>
      <c r="SUX5" s="107"/>
      <c r="SUY5" s="107"/>
      <c r="SUZ5" s="107"/>
      <c r="SVA5" s="107"/>
      <c r="SVB5" s="107"/>
      <c r="SVC5" s="107"/>
      <c r="SVD5" s="107"/>
      <c r="SVE5" s="107"/>
      <c r="SVF5" s="107"/>
      <c r="SVG5" s="107"/>
      <c r="SVH5" s="107"/>
      <c r="SVI5" s="107"/>
      <c r="SVJ5" s="107"/>
      <c r="SVK5" s="107"/>
      <c r="SVL5" s="107"/>
      <c r="SVM5" s="107"/>
      <c r="SVN5" s="107"/>
      <c r="SVO5" s="107"/>
      <c r="SVP5" s="107"/>
      <c r="SVQ5" s="107"/>
      <c r="SVR5" s="107"/>
      <c r="SVS5" s="107"/>
      <c r="SVT5" s="107"/>
      <c r="SVU5" s="107"/>
      <c r="SVV5" s="107"/>
      <c r="SVW5" s="107"/>
      <c r="SVX5" s="107"/>
      <c r="SVY5" s="107"/>
      <c r="SVZ5" s="107"/>
      <c r="SWA5" s="107"/>
      <c r="SWB5" s="107"/>
      <c r="SWC5" s="107"/>
      <c r="SWD5" s="107"/>
      <c r="SWE5" s="107"/>
      <c r="SWF5" s="107"/>
      <c r="SWG5" s="107"/>
      <c r="SWH5" s="107"/>
      <c r="SWI5" s="107"/>
      <c r="SWJ5" s="107"/>
      <c r="SWK5" s="107"/>
      <c r="SWL5" s="107"/>
      <c r="SWM5" s="107"/>
      <c r="SWN5" s="107"/>
      <c r="SWO5" s="107"/>
      <c r="SWP5" s="107"/>
      <c r="SWQ5" s="107"/>
      <c r="SWR5" s="107"/>
      <c r="SWS5" s="107"/>
      <c r="SWT5" s="107"/>
      <c r="SWU5" s="107"/>
      <c r="SWV5" s="107"/>
      <c r="SWW5" s="107"/>
      <c r="SWX5" s="107"/>
      <c r="SWY5" s="107"/>
      <c r="SWZ5" s="107"/>
      <c r="SXA5" s="107"/>
      <c r="SXB5" s="107"/>
      <c r="SXC5" s="107"/>
      <c r="SXD5" s="107"/>
      <c r="SXE5" s="107"/>
      <c r="SXF5" s="107"/>
      <c r="SXG5" s="107"/>
      <c r="SXH5" s="107"/>
      <c r="SXI5" s="107"/>
      <c r="SXJ5" s="107"/>
      <c r="SXK5" s="107"/>
      <c r="SXL5" s="107"/>
      <c r="SXM5" s="107"/>
      <c r="SXN5" s="107"/>
      <c r="SXO5" s="107"/>
      <c r="SXP5" s="107"/>
      <c r="SXQ5" s="107"/>
      <c r="SXR5" s="107"/>
      <c r="SXS5" s="107"/>
      <c r="SXT5" s="107"/>
      <c r="SXU5" s="107"/>
      <c r="SXV5" s="107"/>
      <c r="SXW5" s="107"/>
      <c r="SXX5" s="107"/>
      <c r="SXY5" s="107"/>
      <c r="SXZ5" s="107"/>
      <c r="SYA5" s="107"/>
      <c r="SYB5" s="107"/>
      <c r="SYC5" s="107"/>
      <c r="SYD5" s="107"/>
      <c r="SYE5" s="107"/>
      <c r="SYF5" s="107"/>
      <c r="SYG5" s="107"/>
      <c r="SYH5" s="107"/>
      <c r="SYI5" s="107"/>
      <c r="SYJ5" s="107"/>
      <c r="SYK5" s="107"/>
      <c r="SYL5" s="107"/>
      <c r="SYM5" s="107"/>
      <c r="SYN5" s="107"/>
      <c r="SYO5" s="107"/>
      <c r="SYP5" s="107"/>
      <c r="SYQ5" s="107"/>
      <c r="SYR5" s="107"/>
      <c r="SYS5" s="107"/>
      <c r="SYT5" s="107"/>
      <c r="SYU5" s="107"/>
      <c r="SYV5" s="107"/>
      <c r="SYW5" s="107"/>
      <c r="SYX5" s="107"/>
      <c r="SYY5" s="107"/>
      <c r="SYZ5" s="107"/>
      <c r="SZA5" s="107"/>
      <c r="SZB5" s="107"/>
      <c r="SZC5" s="107"/>
      <c r="SZD5" s="107"/>
      <c r="SZE5" s="107"/>
      <c r="SZF5" s="107"/>
      <c r="SZG5" s="107"/>
      <c r="SZH5" s="107"/>
      <c r="SZI5" s="107"/>
      <c r="SZJ5" s="107"/>
      <c r="SZK5" s="107"/>
      <c r="SZL5" s="107"/>
      <c r="SZM5" s="107"/>
      <c r="SZN5" s="107"/>
      <c r="SZO5" s="107"/>
      <c r="SZP5" s="107"/>
      <c r="SZQ5" s="107"/>
      <c r="SZR5" s="107"/>
      <c r="SZS5" s="107"/>
      <c r="SZT5" s="107"/>
      <c r="SZU5" s="107"/>
      <c r="SZV5" s="107"/>
      <c r="SZW5" s="107"/>
      <c r="SZX5" s="107"/>
      <c r="SZY5" s="107"/>
      <c r="SZZ5" s="107"/>
      <c r="TAA5" s="107"/>
      <c r="TAB5" s="107"/>
      <c r="TAC5" s="107"/>
      <c r="TAD5" s="107"/>
      <c r="TAE5" s="107"/>
      <c r="TAF5" s="107"/>
      <c r="TAG5" s="107"/>
      <c r="TAH5" s="107"/>
      <c r="TAI5" s="107"/>
      <c r="TAJ5" s="107"/>
      <c r="TAK5" s="107"/>
      <c r="TAL5" s="107"/>
      <c r="TAM5" s="107"/>
      <c r="TAN5" s="107"/>
      <c r="TAO5" s="107"/>
      <c r="TAP5" s="107"/>
      <c r="TAQ5" s="107"/>
      <c r="TAR5" s="107"/>
      <c r="TAS5" s="107"/>
      <c r="TAT5" s="107"/>
      <c r="TAU5" s="107"/>
      <c r="TAV5" s="107"/>
      <c r="TAW5" s="107"/>
      <c r="TAX5" s="107"/>
      <c r="TAY5" s="107"/>
      <c r="TAZ5" s="107"/>
      <c r="TBA5" s="107"/>
      <c r="TBB5" s="107"/>
      <c r="TBC5" s="107"/>
      <c r="TBD5" s="107"/>
      <c r="TBE5" s="107"/>
      <c r="TBF5" s="107"/>
      <c r="TBG5" s="107"/>
      <c r="TBH5" s="107"/>
      <c r="TBI5" s="107"/>
      <c r="TBJ5" s="107"/>
      <c r="TBK5" s="107"/>
      <c r="TBL5" s="107"/>
      <c r="TBM5" s="107"/>
      <c r="TBN5" s="107"/>
      <c r="TBO5" s="107"/>
      <c r="TBP5" s="107"/>
      <c r="TBQ5" s="107"/>
      <c r="TBR5" s="107"/>
      <c r="TBS5" s="107"/>
      <c r="TBT5" s="107"/>
      <c r="TBU5" s="107"/>
      <c r="TBV5" s="107"/>
      <c r="TBW5" s="107"/>
      <c r="TBX5" s="107"/>
      <c r="TBY5" s="107"/>
      <c r="TBZ5" s="107"/>
      <c r="TCA5" s="107"/>
      <c r="TCB5" s="107"/>
      <c r="TCC5" s="107"/>
      <c r="TCD5" s="107"/>
      <c r="TCE5" s="107"/>
      <c r="TCF5" s="107"/>
      <c r="TCG5" s="107"/>
      <c r="TCH5" s="107"/>
      <c r="TCI5" s="107"/>
      <c r="TCJ5" s="107"/>
      <c r="TCK5" s="107"/>
      <c r="TCL5" s="107"/>
      <c r="TCM5" s="107"/>
      <c r="TCN5" s="107"/>
      <c r="TCO5" s="107"/>
      <c r="TCP5" s="107"/>
      <c r="TCQ5" s="107"/>
      <c r="TCR5" s="107"/>
      <c r="TCS5" s="107"/>
      <c r="TCT5" s="107"/>
      <c r="TCU5" s="107"/>
      <c r="TCV5" s="107"/>
      <c r="TCW5" s="107"/>
      <c r="TCX5" s="107"/>
      <c r="TCY5" s="107"/>
      <c r="TCZ5" s="107"/>
      <c r="TDA5" s="107"/>
      <c r="TDB5" s="107"/>
      <c r="TDC5" s="107"/>
      <c r="TDD5" s="107"/>
      <c r="TDE5" s="107"/>
      <c r="TDF5" s="107"/>
      <c r="TDG5" s="107"/>
      <c r="TDH5" s="107"/>
      <c r="TDI5" s="107"/>
      <c r="TDJ5" s="107"/>
      <c r="TDK5" s="107"/>
      <c r="TDL5" s="107"/>
      <c r="TDM5" s="107"/>
      <c r="TDN5" s="107"/>
      <c r="TDO5" s="107"/>
      <c r="TDP5" s="107"/>
      <c r="TDQ5" s="107"/>
      <c r="TDR5" s="107"/>
      <c r="TDS5" s="107"/>
      <c r="TDT5" s="107"/>
      <c r="TDU5" s="107"/>
      <c r="TDV5" s="107"/>
      <c r="TDW5" s="107"/>
      <c r="TDX5" s="107"/>
      <c r="TDY5" s="107"/>
      <c r="TDZ5" s="107"/>
      <c r="TEA5" s="107"/>
      <c r="TEB5" s="107"/>
      <c r="TEC5" s="107"/>
      <c r="TED5" s="107"/>
      <c r="TEE5" s="107"/>
      <c r="TEF5" s="107"/>
      <c r="TEG5" s="107"/>
      <c r="TEH5" s="107"/>
      <c r="TEI5" s="107"/>
      <c r="TEJ5" s="107"/>
      <c r="TEK5" s="107"/>
      <c r="TEL5" s="107"/>
      <c r="TEM5" s="107"/>
      <c r="TEN5" s="107"/>
      <c r="TEO5" s="107"/>
      <c r="TEP5" s="107"/>
      <c r="TEQ5" s="107"/>
      <c r="TER5" s="107"/>
      <c r="TES5" s="107"/>
      <c r="TET5" s="107"/>
      <c r="TEU5" s="107"/>
      <c r="TEV5" s="107"/>
      <c r="TEW5" s="107"/>
      <c r="TEX5" s="107"/>
      <c r="TEY5" s="107"/>
      <c r="TEZ5" s="107"/>
      <c r="TFA5" s="107"/>
      <c r="TFB5" s="107"/>
      <c r="TFC5" s="107"/>
      <c r="TFD5" s="107"/>
      <c r="TFE5" s="107"/>
      <c r="TFF5" s="107"/>
      <c r="TFG5" s="107"/>
      <c r="TFH5" s="107"/>
      <c r="TFI5" s="107"/>
      <c r="TFJ5" s="107"/>
      <c r="TFK5" s="107"/>
      <c r="TFL5" s="107"/>
      <c r="TFM5" s="107"/>
      <c r="TFN5" s="107"/>
      <c r="TFO5" s="107"/>
      <c r="TFP5" s="107"/>
      <c r="TFQ5" s="107"/>
      <c r="TFR5" s="107"/>
      <c r="TFS5" s="107"/>
      <c r="TFT5" s="107"/>
      <c r="TFU5" s="107"/>
      <c r="TFV5" s="107"/>
      <c r="TFW5" s="107"/>
      <c r="TFX5" s="107"/>
      <c r="TFY5" s="107"/>
      <c r="TFZ5" s="107"/>
      <c r="TGA5" s="107"/>
      <c r="TGB5" s="107"/>
      <c r="TGC5" s="107"/>
      <c r="TGD5" s="107"/>
      <c r="TGE5" s="107"/>
      <c r="TGF5" s="107"/>
      <c r="TGG5" s="107"/>
      <c r="TGH5" s="107"/>
      <c r="TGI5" s="107"/>
      <c r="TGJ5" s="107"/>
      <c r="TGK5" s="107"/>
      <c r="TGL5" s="107"/>
      <c r="TGM5" s="107"/>
      <c r="TGN5" s="107"/>
      <c r="TGO5" s="107"/>
      <c r="TGP5" s="107"/>
      <c r="TGQ5" s="107"/>
      <c r="TGR5" s="107"/>
      <c r="TGS5" s="107"/>
      <c r="TGT5" s="107"/>
      <c r="TGU5" s="107"/>
      <c r="TGV5" s="107"/>
      <c r="TGW5" s="107"/>
      <c r="TGX5" s="107"/>
      <c r="TGY5" s="107"/>
      <c r="TGZ5" s="107"/>
      <c r="THA5" s="107"/>
      <c r="THB5" s="107"/>
      <c r="THC5" s="107"/>
      <c r="THD5" s="107"/>
      <c r="THE5" s="107"/>
      <c r="THF5" s="107"/>
      <c r="THG5" s="107"/>
      <c r="THH5" s="107"/>
      <c r="THI5" s="107"/>
      <c r="THJ5" s="107"/>
      <c r="THK5" s="107"/>
      <c r="THL5" s="107"/>
      <c r="THM5" s="107"/>
      <c r="THN5" s="107"/>
      <c r="THO5" s="107"/>
      <c r="THP5" s="107"/>
      <c r="THQ5" s="107"/>
      <c r="THR5" s="107"/>
      <c r="THS5" s="107"/>
      <c r="THT5" s="107"/>
      <c r="THU5" s="107"/>
      <c r="THV5" s="107"/>
      <c r="THW5" s="107"/>
      <c r="THX5" s="107"/>
      <c r="THY5" s="107"/>
      <c r="THZ5" s="107"/>
      <c r="TIA5" s="107"/>
      <c r="TIB5" s="107"/>
      <c r="TIC5" s="107"/>
      <c r="TID5" s="107"/>
      <c r="TIE5" s="107"/>
      <c r="TIF5" s="107"/>
      <c r="TIG5" s="107"/>
      <c r="TIH5" s="107"/>
      <c r="TII5" s="107"/>
      <c r="TIJ5" s="107"/>
      <c r="TIK5" s="107"/>
      <c r="TIL5" s="107"/>
      <c r="TIM5" s="107"/>
      <c r="TIN5" s="107"/>
      <c r="TIO5" s="107"/>
      <c r="TIP5" s="107"/>
      <c r="TIQ5" s="107"/>
      <c r="TIR5" s="107"/>
      <c r="TIS5" s="107"/>
      <c r="TIT5" s="107"/>
      <c r="TIU5" s="107"/>
      <c r="TIV5" s="107"/>
      <c r="TIW5" s="107"/>
      <c r="TIX5" s="107"/>
      <c r="TIY5" s="107"/>
      <c r="TIZ5" s="107"/>
      <c r="TJA5" s="107"/>
      <c r="TJB5" s="107"/>
      <c r="TJC5" s="107"/>
      <c r="TJD5" s="107"/>
      <c r="TJE5" s="107"/>
      <c r="TJF5" s="107"/>
      <c r="TJG5" s="107"/>
      <c r="TJH5" s="107"/>
      <c r="TJI5" s="107"/>
      <c r="TJJ5" s="107"/>
      <c r="TJK5" s="107"/>
      <c r="TJL5" s="107"/>
      <c r="TJM5" s="107"/>
      <c r="TJN5" s="107"/>
      <c r="TJO5" s="107"/>
      <c r="TJP5" s="107"/>
      <c r="TJQ5" s="107"/>
      <c r="TJR5" s="107"/>
      <c r="TJS5" s="107"/>
      <c r="TJT5" s="107"/>
      <c r="TJU5" s="107"/>
      <c r="TJV5" s="107"/>
      <c r="TJW5" s="107"/>
      <c r="TJX5" s="107"/>
      <c r="TJY5" s="107"/>
      <c r="TJZ5" s="107"/>
      <c r="TKA5" s="107"/>
      <c r="TKB5" s="107"/>
      <c r="TKC5" s="107"/>
      <c r="TKD5" s="107"/>
      <c r="TKE5" s="107"/>
      <c r="TKF5" s="107"/>
      <c r="TKG5" s="107"/>
      <c r="TKH5" s="107"/>
      <c r="TKI5" s="107"/>
      <c r="TKJ5" s="107"/>
      <c r="TKK5" s="107"/>
      <c r="TKL5" s="107"/>
      <c r="TKM5" s="107"/>
      <c r="TKN5" s="107"/>
      <c r="TKO5" s="107"/>
      <c r="TKP5" s="107"/>
      <c r="TKQ5" s="107"/>
      <c r="TKR5" s="107"/>
      <c r="TKS5" s="107"/>
      <c r="TKT5" s="107"/>
      <c r="TKU5" s="107"/>
      <c r="TKV5" s="107"/>
      <c r="TKW5" s="107"/>
      <c r="TKX5" s="107"/>
      <c r="TKY5" s="107"/>
      <c r="TKZ5" s="107"/>
      <c r="TLA5" s="107"/>
      <c r="TLB5" s="107"/>
      <c r="TLC5" s="107"/>
      <c r="TLD5" s="107"/>
      <c r="TLE5" s="107"/>
      <c r="TLF5" s="107"/>
      <c r="TLG5" s="107"/>
      <c r="TLH5" s="107"/>
      <c r="TLI5" s="107"/>
      <c r="TLJ5" s="107"/>
      <c r="TLK5" s="107"/>
      <c r="TLL5" s="107"/>
      <c r="TLM5" s="107"/>
      <c r="TLN5" s="107"/>
      <c r="TLO5" s="107"/>
      <c r="TLP5" s="107"/>
      <c r="TLQ5" s="107"/>
      <c r="TLR5" s="107"/>
      <c r="TLS5" s="107"/>
      <c r="TLT5" s="107"/>
      <c r="TLU5" s="107"/>
      <c r="TLV5" s="107"/>
      <c r="TLW5" s="107"/>
      <c r="TLX5" s="107"/>
      <c r="TLY5" s="107"/>
      <c r="TLZ5" s="107"/>
      <c r="TMA5" s="107"/>
      <c r="TMB5" s="107"/>
      <c r="TMC5" s="107"/>
      <c r="TMD5" s="107"/>
      <c r="TME5" s="107"/>
      <c r="TMF5" s="107"/>
      <c r="TMG5" s="107"/>
      <c r="TMH5" s="107"/>
      <c r="TMI5" s="107"/>
      <c r="TMJ5" s="107"/>
      <c r="TMK5" s="107"/>
      <c r="TML5" s="107"/>
      <c r="TMM5" s="107"/>
      <c r="TMN5" s="107"/>
      <c r="TMO5" s="107"/>
      <c r="TMP5" s="107"/>
      <c r="TMQ5" s="107"/>
      <c r="TMR5" s="107"/>
      <c r="TMS5" s="107"/>
      <c r="TMT5" s="107"/>
      <c r="TMU5" s="107"/>
      <c r="TMV5" s="107"/>
      <c r="TMW5" s="107"/>
      <c r="TMX5" s="107"/>
      <c r="TMY5" s="107"/>
      <c r="TMZ5" s="107"/>
      <c r="TNA5" s="107"/>
      <c r="TNB5" s="107"/>
      <c r="TNC5" s="107"/>
      <c r="TND5" s="107"/>
      <c r="TNE5" s="107"/>
      <c r="TNF5" s="107"/>
      <c r="TNG5" s="107"/>
      <c r="TNH5" s="107"/>
      <c r="TNI5" s="107"/>
      <c r="TNJ5" s="107"/>
      <c r="TNK5" s="107"/>
      <c r="TNL5" s="107"/>
      <c r="TNM5" s="107"/>
      <c r="TNN5" s="107"/>
      <c r="TNO5" s="107"/>
      <c r="TNP5" s="107"/>
      <c r="TNQ5" s="107"/>
      <c r="TNR5" s="107"/>
      <c r="TNS5" s="107"/>
      <c r="TNT5" s="107"/>
      <c r="TNU5" s="107"/>
      <c r="TNV5" s="107"/>
      <c r="TNW5" s="107"/>
      <c r="TNX5" s="107"/>
      <c r="TNY5" s="107"/>
      <c r="TNZ5" s="107"/>
      <c r="TOA5" s="107"/>
      <c r="TOB5" s="107"/>
      <c r="TOC5" s="107"/>
      <c r="TOD5" s="107"/>
      <c r="TOE5" s="107"/>
      <c r="TOF5" s="107"/>
      <c r="TOG5" s="107"/>
      <c r="TOH5" s="107"/>
      <c r="TOI5" s="107"/>
      <c r="TOJ5" s="107"/>
      <c r="TOK5" s="107"/>
      <c r="TOL5" s="107"/>
      <c r="TOM5" s="107"/>
      <c r="TON5" s="107"/>
      <c r="TOO5" s="107"/>
      <c r="TOP5" s="107"/>
      <c r="TOQ5" s="107"/>
      <c r="TOR5" s="107"/>
      <c r="TOS5" s="107"/>
      <c r="TOT5" s="107"/>
      <c r="TOU5" s="107"/>
      <c r="TOV5" s="107"/>
      <c r="TOW5" s="107"/>
      <c r="TOX5" s="107"/>
      <c r="TOY5" s="107"/>
      <c r="TOZ5" s="107"/>
      <c r="TPA5" s="107"/>
      <c r="TPB5" s="107"/>
      <c r="TPC5" s="107"/>
      <c r="TPD5" s="107"/>
      <c r="TPE5" s="107"/>
      <c r="TPF5" s="107"/>
      <c r="TPG5" s="107"/>
      <c r="TPH5" s="107"/>
      <c r="TPI5" s="107"/>
      <c r="TPJ5" s="107"/>
      <c r="TPK5" s="107"/>
      <c r="TPL5" s="107"/>
      <c r="TPM5" s="107"/>
      <c r="TPN5" s="107"/>
      <c r="TPO5" s="107"/>
      <c r="TPP5" s="107"/>
      <c r="TPQ5" s="107"/>
      <c r="TPR5" s="107"/>
      <c r="TPS5" s="107"/>
      <c r="TPT5" s="107"/>
      <c r="TPU5" s="107"/>
      <c r="TPV5" s="107"/>
      <c r="TPW5" s="107"/>
      <c r="TPX5" s="107"/>
      <c r="TPY5" s="107"/>
      <c r="TPZ5" s="107"/>
      <c r="TQA5" s="107"/>
      <c r="TQB5" s="107"/>
      <c r="TQC5" s="107"/>
      <c r="TQD5" s="107"/>
      <c r="TQE5" s="107"/>
      <c r="TQF5" s="107"/>
      <c r="TQG5" s="107"/>
      <c r="TQH5" s="107"/>
      <c r="TQI5" s="107"/>
      <c r="TQJ5" s="107"/>
      <c r="TQK5" s="107"/>
      <c r="TQL5" s="107"/>
      <c r="TQM5" s="107"/>
      <c r="TQN5" s="107"/>
      <c r="TQO5" s="107"/>
      <c r="TQP5" s="107"/>
      <c r="TQQ5" s="107"/>
      <c r="TQR5" s="107"/>
      <c r="TQS5" s="107"/>
      <c r="TQT5" s="107"/>
      <c r="TQU5" s="107"/>
      <c r="TQV5" s="107"/>
      <c r="TQW5" s="107"/>
      <c r="TQX5" s="107"/>
      <c r="TQY5" s="107"/>
      <c r="TQZ5" s="107"/>
      <c r="TRA5" s="107"/>
      <c r="TRB5" s="107"/>
      <c r="TRC5" s="107"/>
      <c r="TRD5" s="107"/>
      <c r="TRE5" s="107"/>
      <c r="TRF5" s="107"/>
      <c r="TRG5" s="107"/>
      <c r="TRH5" s="107"/>
      <c r="TRI5" s="107"/>
      <c r="TRJ5" s="107"/>
      <c r="TRK5" s="107"/>
      <c r="TRL5" s="107"/>
      <c r="TRM5" s="107"/>
      <c r="TRN5" s="107"/>
      <c r="TRO5" s="107"/>
      <c r="TRP5" s="107"/>
      <c r="TRQ5" s="107"/>
      <c r="TRR5" s="107"/>
      <c r="TRS5" s="107"/>
      <c r="TRT5" s="107"/>
      <c r="TRU5" s="107"/>
      <c r="TRV5" s="107"/>
      <c r="TRW5" s="107"/>
      <c r="TRX5" s="107"/>
      <c r="TRY5" s="107"/>
      <c r="TRZ5" s="107"/>
      <c r="TSA5" s="107"/>
      <c r="TSB5" s="107"/>
      <c r="TSC5" s="107"/>
      <c r="TSD5" s="107"/>
      <c r="TSE5" s="107"/>
      <c r="TSF5" s="107"/>
      <c r="TSG5" s="107"/>
      <c r="TSH5" s="107"/>
      <c r="TSI5" s="107"/>
      <c r="TSJ5" s="107"/>
      <c r="TSK5" s="107"/>
      <c r="TSL5" s="107"/>
      <c r="TSM5" s="107"/>
      <c r="TSN5" s="107"/>
      <c r="TSO5" s="107"/>
      <c r="TSP5" s="107"/>
      <c r="TSQ5" s="107"/>
      <c r="TSR5" s="107"/>
      <c r="TSS5" s="107"/>
      <c r="TST5" s="107"/>
      <c r="TSU5" s="107"/>
      <c r="TSV5" s="107"/>
      <c r="TSW5" s="107"/>
      <c r="TSX5" s="107"/>
      <c r="TSY5" s="107"/>
      <c r="TSZ5" s="107"/>
      <c r="TTA5" s="107"/>
      <c r="TTB5" s="107"/>
      <c r="TTC5" s="107"/>
      <c r="TTD5" s="107"/>
      <c r="TTE5" s="107"/>
      <c r="TTF5" s="107"/>
      <c r="TTG5" s="107"/>
      <c r="TTH5" s="107"/>
      <c r="TTI5" s="107"/>
      <c r="TTJ5" s="107"/>
      <c r="TTK5" s="107"/>
      <c r="TTL5" s="107"/>
      <c r="TTM5" s="107"/>
      <c r="TTN5" s="107"/>
      <c r="TTO5" s="107"/>
      <c r="TTP5" s="107"/>
      <c r="TTQ5" s="107"/>
      <c r="TTR5" s="107"/>
      <c r="TTS5" s="107"/>
      <c r="TTT5" s="107"/>
      <c r="TTU5" s="107"/>
      <c r="TTV5" s="107"/>
      <c r="TTW5" s="107"/>
      <c r="TTX5" s="107"/>
      <c r="TTY5" s="107"/>
      <c r="TTZ5" s="107"/>
      <c r="TUA5" s="107"/>
      <c r="TUB5" s="107"/>
      <c r="TUC5" s="107"/>
      <c r="TUD5" s="107"/>
      <c r="TUE5" s="107"/>
      <c r="TUF5" s="107"/>
      <c r="TUG5" s="107"/>
      <c r="TUH5" s="107"/>
      <c r="TUI5" s="107"/>
      <c r="TUJ5" s="107"/>
      <c r="TUK5" s="107"/>
      <c r="TUL5" s="107"/>
      <c r="TUM5" s="107"/>
      <c r="TUN5" s="107"/>
      <c r="TUO5" s="107"/>
      <c r="TUP5" s="107"/>
      <c r="TUQ5" s="107"/>
      <c r="TUR5" s="107"/>
      <c r="TUS5" s="107"/>
      <c r="TUT5" s="107"/>
      <c r="TUU5" s="107"/>
      <c r="TUV5" s="107"/>
      <c r="TUW5" s="107"/>
      <c r="TUX5" s="107"/>
      <c r="TUY5" s="107"/>
      <c r="TUZ5" s="107"/>
      <c r="TVA5" s="107"/>
      <c r="TVB5" s="107"/>
      <c r="TVC5" s="107"/>
      <c r="TVD5" s="107"/>
      <c r="TVE5" s="107"/>
      <c r="TVF5" s="107"/>
      <c r="TVG5" s="107"/>
      <c r="TVH5" s="107"/>
      <c r="TVI5" s="107"/>
      <c r="TVJ5" s="107"/>
      <c r="TVK5" s="107"/>
      <c r="TVL5" s="107"/>
      <c r="TVM5" s="107"/>
      <c r="TVN5" s="107"/>
      <c r="TVO5" s="107"/>
      <c r="TVP5" s="107"/>
      <c r="TVQ5" s="107"/>
      <c r="TVR5" s="107"/>
      <c r="TVS5" s="107"/>
      <c r="TVT5" s="107"/>
      <c r="TVU5" s="107"/>
      <c r="TVV5" s="107"/>
      <c r="TVW5" s="107"/>
      <c r="TVX5" s="107"/>
      <c r="TVY5" s="107"/>
      <c r="TVZ5" s="107"/>
      <c r="TWA5" s="107"/>
      <c r="TWB5" s="107"/>
      <c r="TWC5" s="107"/>
      <c r="TWD5" s="107"/>
      <c r="TWE5" s="107"/>
      <c r="TWF5" s="107"/>
      <c r="TWG5" s="107"/>
      <c r="TWH5" s="107"/>
      <c r="TWI5" s="107"/>
      <c r="TWJ5" s="107"/>
      <c r="TWK5" s="107"/>
      <c r="TWL5" s="107"/>
      <c r="TWM5" s="107"/>
      <c r="TWN5" s="107"/>
      <c r="TWO5" s="107"/>
      <c r="TWP5" s="107"/>
      <c r="TWQ5" s="107"/>
      <c r="TWR5" s="107"/>
      <c r="TWS5" s="107"/>
      <c r="TWT5" s="107"/>
      <c r="TWU5" s="107"/>
      <c r="TWV5" s="107"/>
      <c r="TWW5" s="107"/>
      <c r="TWX5" s="107"/>
      <c r="TWY5" s="107"/>
      <c r="TWZ5" s="107"/>
      <c r="TXA5" s="107"/>
      <c r="TXB5" s="107"/>
      <c r="TXC5" s="107"/>
      <c r="TXD5" s="107"/>
      <c r="TXE5" s="107"/>
      <c r="TXF5" s="107"/>
      <c r="TXG5" s="107"/>
      <c r="TXH5" s="107"/>
      <c r="TXI5" s="107"/>
      <c r="TXJ5" s="107"/>
      <c r="TXK5" s="107"/>
      <c r="TXL5" s="107"/>
      <c r="TXM5" s="107"/>
      <c r="TXN5" s="107"/>
      <c r="TXO5" s="107"/>
      <c r="TXP5" s="107"/>
      <c r="TXQ5" s="107"/>
      <c r="TXR5" s="107"/>
      <c r="TXS5" s="107"/>
      <c r="TXT5" s="107"/>
      <c r="TXU5" s="107"/>
      <c r="TXV5" s="107"/>
      <c r="TXW5" s="107"/>
      <c r="TXX5" s="107"/>
      <c r="TXY5" s="107"/>
      <c r="TXZ5" s="107"/>
      <c r="TYA5" s="107"/>
      <c r="TYB5" s="107"/>
      <c r="TYC5" s="107"/>
      <c r="TYD5" s="107"/>
      <c r="TYE5" s="107"/>
      <c r="TYF5" s="107"/>
      <c r="TYG5" s="107"/>
      <c r="TYH5" s="107"/>
      <c r="TYI5" s="107"/>
      <c r="TYJ5" s="107"/>
      <c r="TYK5" s="107"/>
      <c r="TYL5" s="107"/>
      <c r="TYM5" s="107"/>
      <c r="TYN5" s="107"/>
      <c r="TYO5" s="107"/>
      <c r="TYP5" s="107"/>
      <c r="TYQ5" s="107"/>
      <c r="TYR5" s="107"/>
      <c r="TYS5" s="107"/>
      <c r="TYT5" s="107"/>
      <c r="TYU5" s="107"/>
      <c r="TYV5" s="107"/>
      <c r="TYW5" s="107"/>
      <c r="TYX5" s="107"/>
      <c r="TYY5" s="107"/>
      <c r="TYZ5" s="107"/>
      <c r="TZA5" s="107"/>
      <c r="TZB5" s="107"/>
      <c r="TZC5" s="107"/>
      <c r="TZD5" s="107"/>
      <c r="TZE5" s="107"/>
      <c r="TZF5" s="107"/>
      <c r="TZG5" s="107"/>
      <c r="TZH5" s="107"/>
      <c r="TZI5" s="107"/>
      <c r="TZJ5" s="107"/>
      <c r="TZK5" s="107"/>
      <c r="TZL5" s="107"/>
      <c r="TZM5" s="107"/>
      <c r="TZN5" s="107"/>
      <c r="TZO5" s="107"/>
      <c r="TZP5" s="107"/>
      <c r="TZQ5" s="107"/>
      <c r="TZR5" s="107"/>
      <c r="TZS5" s="107"/>
      <c r="TZT5" s="107"/>
      <c r="TZU5" s="107"/>
      <c r="TZV5" s="107"/>
      <c r="TZW5" s="107"/>
      <c r="TZX5" s="107"/>
      <c r="TZY5" s="107"/>
      <c r="TZZ5" s="107"/>
      <c r="UAA5" s="107"/>
      <c r="UAB5" s="107"/>
      <c r="UAC5" s="107"/>
      <c r="UAD5" s="107"/>
      <c r="UAE5" s="107"/>
      <c r="UAF5" s="107"/>
      <c r="UAG5" s="107"/>
      <c r="UAH5" s="107"/>
      <c r="UAI5" s="107"/>
      <c r="UAJ5" s="107"/>
      <c r="UAK5" s="107"/>
      <c r="UAL5" s="107"/>
      <c r="UAM5" s="107"/>
      <c r="UAN5" s="107"/>
      <c r="UAO5" s="107"/>
      <c r="UAP5" s="107"/>
      <c r="UAQ5" s="107"/>
      <c r="UAR5" s="107"/>
      <c r="UAS5" s="107"/>
      <c r="UAT5" s="107"/>
      <c r="UAU5" s="107"/>
      <c r="UAV5" s="107"/>
      <c r="UAW5" s="107"/>
      <c r="UAX5" s="107"/>
      <c r="UAY5" s="107"/>
      <c r="UAZ5" s="107"/>
      <c r="UBA5" s="107"/>
      <c r="UBB5" s="107"/>
      <c r="UBC5" s="107"/>
      <c r="UBD5" s="107"/>
      <c r="UBE5" s="107"/>
      <c r="UBF5" s="107"/>
      <c r="UBG5" s="107"/>
      <c r="UBH5" s="107"/>
      <c r="UBI5" s="107"/>
      <c r="UBJ5" s="107"/>
      <c r="UBK5" s="107"/>
      <c r="UBL5" s="107"/>
      <c r="UBM5" s="107"/>
      <c r="UBN5" s="107"/>
      <c r="UBO5" s="107"/>
      <c r="UBP5" s="107"/>
      <c r="UBQ5" s="107"/>
      <c r="UBR5" s="107"/>
      <c r="UBS5" s="107"/>
      <c r="UBT5" s="107"/>
      <c r="UBU5" s="107"/>
      <c r="UBV5" s="107"/>
      <c r="UBW5" s="107"/>
      <c r="UBX5" s="107"/>
      <c r="UBY5" s="107"/>
      <c r="UBZ5" s="107"/>
      <c r="UCA5" s="107"/>
      <c r="UCB5" s="107"/>
      <c r="UCC5" s="107"/>
      <c r="UCD5" s="107"/>
      <c r="UCE5" s="107"/>
      <c r="UCF5" s="107"/>
      <c r="UCG5" s="107"/>
      <c r="UCH5" s="107"/>
      <c r="UCI5" s="107"/>
      <c r="UCJ5" s="107"/>
      <c r="UCK5" s="107"/>
      <c r="UCL5" s="107"/>
      <c r="UCM5" s="107"/>
      <c r="UCN5" s="107"/>
      <c r="UCO5" s="107"/>
      <c r="UCP5" s="107"/>
      <c r="UCQ5" s="107"/>
      <c r="UCR5" s="107"/>
      <c r="UCS5" s="107"/>
      <c r="UCT5" s="107"/>
      <c r="UCU5" s="107"/>
      <c r="UCV5" s="107"/>
      <c r="UCW5" s="107"/>
      <c r="UCX5" s="107"/>
      <c r="UCY5" s="107"/>
      <c r="UCZ5" s="107"/>
      <c r="UDA5" s="107"/>
      <c r="UDB5" s="107"/>
      <c r="UDC5" s="107"/>
      <c r="UDD5" s="107"/>
      <c r="UDE5" s="107"/>
      <c r="UDF5" s="107"/>
      <c r="UDG5" s="107"/>
      <c r="UDH5" s="107"/>
      <c r="UDI5" s="107"/>
      <c r="UDJ5" s="107"/>
      <c r="UDK5" s="107"/>
      <c r="UDL5" s="107"/>
      <c r="UDM5" s="107"/>
      <c r="UDN5" s="107"/>
      <c r="UDO5" s="107"/>
      <c r="UDP5" s="107"/>
      <c r="UDQ5" s="107"/>
      <c r="UDR5" s="107"/>
      <c r="UDS5" s="107"/>
      <c r="UDT5" s="107"/>
      <c r="UDU5" s="107"/>
      <c r="UDV5" s="107"/>
      <c r="UDW5" s="107"/>
      <c r="UDX5" s="107"/>
      <c r="UDY5" s="107"/>
      <c r="UDZ5" s="107"/>
      <c r="UEA5" s="107"/>
      <c r="UEB5" s="107"/>
      <c r="UEC5" s="107"/>
      <c r="UED5" s="107"/>
      <c r="UEE5" s="107"/>
      <c r="UEF5" s="107"/>
      <c r="UEG5" s="107"/>
      <c r="UEH5" s="107"/>
      <c r="UEI5" s="107"/>
      <c r="UEJ5" s="107"/>
      <c r="UEK5" s="107"/>
      <c r="UEL5" s="107"/>
      <c r="UEM5" s="107"/>
      <c r="UEN5" s="107"/>
      <c r="UEO5" s="107"/>
      <c r="UEP5" s="107"/>
      <c r="UEQ5" s="107"/>
      <c r="UER5" s="107"/>
      <c r="UES5" s="107"/>
      <c r="UET5" s="107"/>
      <c r="UEU5" s="107"/>
      <c r="UEV5" s="107"/>
      <c r="UEW5" s="107"/>
      <c r="UEX5" s="107"/>
      <c r="UEY5" s="107"/>
      <c r="UEZ5" s="107"/>
      <c r="UFA5" s="107"/>
      <c r="UFB5" s="107"/>
      <c r="UFC5" s="107"/>
      <c r="UFD5" s="107"/>
      <c r="UFE5" s="107"/>
      <c r="UFF5" s="107"/>
      <c r="UFG5" s="107"/>
      <c r="UFH5" s="107"/>
      <c r="UFI5" s="107"/>
      <c r="UFJ5" s="107"/>
      <c r="UFK5" s="107"/>
      <c r="UFL5" s="107"/>
      <c r="UFM5" s="107"/>
      <c r="UFN5" s="107"/>
      <c r="UFO5" s="107"/>
      <c r="UFP5" s="107"/>
      <c r="UFQ5" s="107"/>
      <c r="UFR5" s="107"/>
      <c r="UFS5" s="107"/>
      <c r="UFT5" s="107"/>
      <c r="UFU5" s="107"/>
      <c r="UFV5" s="107"/>
      <c r="UFW5" s="107"/>
      <c r="UFX5" s="107"/>
      <c r="UFY5" s="107"/>
      <c r="UFZ5" s="107"/>
      <c r="UGA5" s="107"/>
      <c r="UGB5" s="107"/>
      <c r="UGC5" s="107"/>
      <c r="UGD5" s="107"/>
      <c r="UGE5" s="107"/>
      <c r="UGF5" s="107"/>
      <c r="UGG5" s="107"/>
      <c r="UGH5" s="107"/>
      <c r="UGI5" s="107"/>
      <c r="UGJ5" s="107"/>
      <c r="UGK5" s="107"/>
      <c r="UGL5" s="107"/>
      <c r="UGM5" s="107"/>
      <c r="UGN5" s="107"/>
      <c r="UGO5" s="107"/>
      <c r="UGP5" s="107"/>
      <c r="UGQ5" s="107"/>
      <c r="UGR5" s="107"/>
      <c r="UGS5" s="107"/>
      <c r="UGT5" s="107"/>
      <c r="UGU5" s="107"/>
      <c r="UGV5" s="107"/>
      <c r="UGW5" s="107"/>
      <c r="UGX5" s="107"/>
      <c r="UGY5" s="107"/>
      <c r="UGZ5" s="107"/>
      <c r="UHA5" s="107"/>
      <c r="UHB5" s="107"/>
      <c r="UHC5" s="107"/>
      <c r="UHD5" s="107"/>
      <c r="UHE5" s="107"/>
      <c r="UHF5" s="107"/>
      <c r="UHG5" s="107"/>
      <c r="UHH5" s="107"/>
      <c r="UHI5" s="107"/>
      <c r="UHJ5" s="107"/>
      <c r="UHK5" s="107"/>
      <c r="UHL5" s="107"/>
      <c r="UHM5" s="107"/>
      <c r="UHN5" s="107"/>
      <c r="UHO5" s="107"/>
      <c r="UHP5" s="107"/>
      <c r="UHQ5" s="107"/>
      <c r="UHR5" s="107"/>
      <c r="UHS5" s="107"/>
      <c r="UHT5" s="107"/>
      <c r="UHU5" s="107"/>
      <c r="UHV5" s="107"/>
      <c r="UHW5" s="107"/>
      <c r="UHX5" s="107"/>
      <c r="UHY5" s="107"/>
      <c r="UHZ5" s="107"/>
      <c r="UIA5" s="107"/>
      <c r="UIB5" s="107"/>
      <c r="UIC5" s="107"/>
      <c r="UID5" s="107"/>
      <c r="UIE5" s="107"/>
      <c r="UIF5" s="107"/>
      <c r="UIG5" s="107"/>
      <c r="UIH5" s="107"/>
      <c r="UII5" s="107"/>
      <c r="UIJ5" s="107"/>
      <c r="UIK5" s="107"/>
      <c r="UIL5" s="107"/>
      <c r="UIM5" s="107"/>
      <c r="UIN5" s="107"/>
      <c r="UIO5" s="107"/>
      <c r="UIP5" s="107"/>
      <c r="UIQ5" s="107"/>
      <c r="UIR5" s="107"/>
      <c r="UIS5" s="107"/>
      <c r="UIT5" s="107"/>
      <c r="UIU5" s="107"/>
      <c r="UIV5" s="107"/>
      <c r="UIW5" s="107"/>
      <c r="UIX5" s="107"/>
      <c r="UIY5" s="107"/>
      <c r="UIZ5" s="107"/>
      <c r="UJA5" s="107"/>
      <c r="UJB5" s="107"/>
      <c r="UJC5" s="107"/>
      <c r="UJD5" s="107"/>
      <c r="UJE5" s="107"/>
      <c r="UJF5" s="107"/>
      <c r="UJG5" s="107"/>
      <c r="UJH5" s="107"/>
      <c r="UJI5" s="107"/>
      <c r="UJJ5" s="107"/>
      <c r="UJK5" s="107"/>
      <c r="UJL5" s="107"/>
      <c r="UJM5" s="107"/>
      <c r="UJN5" s="107"/>
      <c r="UJO5" s="107"/>
      <c r="UJP5" s="107"/>
      <c r="UJQ5" s="107"/>
      <c r="UJR5" s="107"/>
      <c r="UJS5" s="107"/>
      <c r="UJT5" s="107"/>
      <c r="UJU5" s="107"/>
      <c r="UJV5" s="107"/>
      <c r="UJW5" s="107"/>
      <c r="UJX5" s="107"/>
      <c r="UJY5" s="107"/>
      <c r="UJZ5" s="107"/>
      <c r="UKA5" s="107"/>
      <c r="UKB5" s="107"/>
      <c r="UKC5" s="107"/>
      <c r="UKD5" s="107"/>
      <c r="UKE5" s="107"/>
      <c r="UKF5" s="107"/>
      <c r="UKG5" s="107"/>
      <c r="UKH5" s="107"/>
      <c r="UKI5" s="107"/>
      <c r="UKJ5" s="107"/>
      <c r="UKK5" s="107"/>
      <c r="UKL5" s="107"/>
      <c r="UKM5" s="107"/>
      <c r="UKN5" s="107"/>
      <c r="UKO5" s="107"/>
      <c r="UKP5" s="107"/>
      <c r="UKQ5" s="107"/>
      <c r="UKR5" s="107"/>
      <c r="UKS5" s="107"/>
      <c r="UKT5" s="107"/>
      <c r="UKU5" s="107"/>
      <c r="UKV5" s="107"/>
      <c r="UKW5" s="107"/>
      <c r="UKX5" s="107"/>
      <c r="UKY5" s="107"/>
      <c r="UKZ5" s="107"/>
      <c r="ULA5" s="107"/>
      <c r="ULB5" s="107"/>
      <c r="ULC5" s="107"/>
      <c r="ULD5" s="107"/>
      <c r="ULE5" s="107"/>
      <c r="ULF5" s="107"/>
      <c r="ULG5" s="107"/>
      <c r="ULH5" s="107"/>
      <c r="ULI5" s="107"/>
      <c r="ULJ5" s="107"/>
      <c r="ULK5" s="107"/>
      <c r="ULL5" s="107"/>
      <c r="ULM5" s="107"/>
      <c r="ULN5" s="107"/>
      <c r="ULO5" s="107"/>
      <c r="ULP5" s="107"/>
      <c r="ULQ5" s="107"/>
      <c r="ULR5" s="107"/>
      <c r="ULS5" s="107"/>
      <c r="ULT5" s="107"/>
      <c r="ULU5" s="107"/>
      <c r="ULV5" s="107"/>
      <c r="ULW5" s="107"/>
      <c r="ULX5" s="107"/>
      <c r="ULY5" s="107"/>
      <c r="ULZ5" s="107"/>
      <c r="UMA5" s="107"/>
      <c r="UMB5" s="107"/>
      <c r="UMC5" s="107"/>
      <c r="UMD5" s="107"/>
      <c r="UME5" s="107"/>
      <c r="UMF5" s="107"/>
      <c r="UMG5" s="107"/>
      <c r="UMH5" s="107"/>
      <c r="UMI5" s="107"/>
      <c r="UMJ5" s="107"/>
      <c r="UMK5" s="107"/>
      <c r="UML5" s="107"/>
      <c r="UMM5" s="107"/>
      <c r="UMN5" s="107"/>
      <c r="UMO5" s="107"/>
      <c r="UMP5" s="107"/>
      <c r="UMQ5" s="107"/>
      <c r="UMR5" s="107"/>
      <c r="UMS5" s="107"/>
      <c r="UMT5" s="107"/>
      <c r="UMU5" s="107"/>
      <c r="UMV5" s="107"/>
      <c r="UMW5" s="107"/>
      <c r="UMX5" s="107"/>
      <c r="UMY5" s="107"/>
      <c r="UMZ5" s="107"/>
      <c r="UNA5" s="107"/>
      <c r="UNB5" s="107"/>
      <c r="UNC5" s="107"/>
      <c r="UND5" s="107"/>
      <c r="UNE5" s="107"/>
      <c r="UNF5" s="107"/>
      <c r="UNG5" s="107"/>
      <c r="UNH5" s="107"/>
      <c r="UNI5" s="107"/>
      <c r="UNJ5" s="107"/>
      <c r="UNK5" s="107"/>
      <c r="UNL5" s="107"/>
      <c r="UNM5" s="107"/>
      <c r="UNN5" s="107"/>
      <c r="UNO5" s="107"/>
      <c r="UNP5" s="107"/>
      <c r="UNQ5" s="107"/>
      <c r="UNR5" s="107"/>
      <c r="UNS5" s="107"/>
      <c r="UNT5" s="107"/>
      <c r="UNU5" s="107"/>
      <c r="UNV5" s="107"/>
      <c r="UNW5" s="107"/>
      <c r="UNX5" s="107"/>
      <c r="UNY5" s="107"/>
      <c r="UNZ5" s="107"/>
      <c r="UOA5" s="107"/>
      <c r="UOB5" s="107"/>
      <c r="UOC5" s="107"/>
      <c r="UOD5" s="107"/>
      <c r="UOE5" s="107"/>
      <c r="UOF5" s="107"/>
      <c r="UOG5" s="107"/>
      <c r="UOH5" s="107"/>
      <c r="UOI5" s="107"/>
      <c r="UOJ5" s="107"/>
      <c r="UOK5" s="107"/>
      <c r="UOL5" s="107"/>
      <c r="UOM5" s="107"/>
      <c r="UON5" s="107"/>
      <c r="UOO5" s="107"/>
      <c r="UOP5" s="107"/>
      <c r="UOQ5" s="107"/>
      <c r="UOR5" s="107"/>
      <c r="UOS5" s="107"/>
      <c r="UOT5" s="107"/>
      <c r="UOU5" s="107"/>
      <c r="UOV5" s="107"/>
      <c r="UOW5" s="107"/>
      <c r="UOX5" s="107"/>
      <c r="UOY5" s="107"/>
      <c r="UOZ5" s="107"/>
      <c r="UPA5" s="107"/>
      <c r="UPB5" s="107"/>
      <c r="UPC5" s="107"/>
      <c r="UPD5" s="107"/>
      <c r="UPE5" s="107"/>
      <c r="UPF5" s="107"/>
      <c r="UPG5" s="107"/>
      <c r="UPH5" s="107"/>
      <c r="UPI5" s="107"/>
      <c r="UPJ5" s="107"/>
      <c r="UPK5" s="107"/>
      <c r="UPL5" s="107"/>
      <c r="UPM5" s="107"/>
      <c r="UPN5" s="107"/>
      <c r="UPO5" s="107"/>
      <c r="UPP5" s="107"/>
      <c r="UPQ5" s="107"/>
      <c r="UPR5" s="107"/>
      <c r="UPS5" s="107"/>
      <c r="UPT5" s="107"/>
      <c r="UPU5" s="107"/>
      <c r="UPV5" s="107"/>
      <c r="UPW5" s="107"/>
      <c r="UPX5" s="107"/>
      <c r="UPY5" s="107"/>
      <c r="UPZ5" s="107"/>
      <c r="UQA5" s="107"/>
      <c r="UQB5" s="107"/>
      <c r="UQC5" s="107"/>
      <c r="UQD5" s="107"/>
      <c r="UQE5" s="107"/>
      <c r="UQF5" s="107"/>
      <c r="UQG5" s="107"/>
      <c r="UQH5" s="107"/>
      <c r="UQI5" s="107"/>
      <c r="UQJ5" s="107"/>
      <c r="UQK5" s="107"/>
      <c r="UQL5" s="107"/>
      <c r="UQM5" s="107"/>
      <c r="UQN5" s="107"/>
      <c r="UQO5" s="107"/>
      <c r="UQP5" s="107"/>
      <c r="UQQ5" s="107"/>
      <c r="UQR5" s="107"/>
      <c r="UQS5" s="107"/>
      <c r="UQT5" s="107"/>
      <c r="UQU5" s="107"/>
      <c r="UQV5" s="107"/>
      <c r="UQW5" s="107"/>
      <c r="UQX5" s="107"/>
      <c r="UQY5" s="107"/>
      <c r="UQZ5" s="107"/>
      <c r="URA5" s="107"/>
      <c r="URB5" s="107"/>
      <c r="URC5" s="107"/>
      <c r="URD5" s="107"/>
      <c r="URE5" s="107"/>
      <c r="URF5" s="107"/>
      <c r="URG5" s="107"/>
      <c r="URH5" s="107"/>
      <c r="URI5" s="107"/>
      <c r="URJ5" s="107"/>
      <c r="URK5" s="107"/>
      <c r="URL5" s="107"/>
      <c r="URM5" s="107"/>
      <c r="URN5" s="107"/>
      <c r="URO5" s="107"/>
      <c r="URP5" s="107"/>
      <c r="URQ5" s="107"/>
      <c r="URR5" s="107"/>
      <c r="URS5" s="107"/>
      <c r="URT5" s="107"/>
      <c r="URU5" s="107"/>
      <c r="URV5" s="107"/>
      <c r="URW5" s="107"/>
      <c r="URX5" s="107"/>
      <c r="URY5" s="107"/>
      <c r="URZ5" s="107"/>
      <c r="USA5" s="107"/>
      <c r="USB5" s="107"/>
      <c r="USC5" s="107"/>
      <c r="USD5" s="107"/>
      <c r="USE5" s="107"/>
      <c r="USF5" s="107"/>
      <c r="USG5" s="107"/>
      <c r="USH5" s="107"/>
      <c r="USI5" s="107"/>
      <c r="USJ5" s="107"/>
      <c r="USK5" s="107"/>
      <c r="USL5" s="107"/>
      <c r="USM5" s="107"/>
      <c r="USN5" s="107"/>
      <c r="USO5" s="107"/>
      <c r="USP5" s="107"/>
      <c r="USQ5" s="107"/>
      <c r="USR5" s="107"/>
      <c r="USS5" s="107"/>
      <c r="UST5" s="107"/>
      <c r="USU5" s="107"/>
      <c r="USV5" s="107"/>
      <c r="USW5" s="107"/>
      <c r="USX5" s="107"/>
      <c r="USY5" s="107"/>
      <c r="USZ5" s="107"/>
      <c r="UTA5" s="107"/>
      <c r="UTB5" s="107"/>
      <c r="UTC5" s="107"/>
      <c r="UTD5" s="107"/>
      <c r="UTE5" s="107"/>
      <c r="UTF5" s="107"/>
      <c r="UTG5" s="107"/>
      <c r="UTH5" s="107"/>
      <c r="UTI5" s="107"/>
      <c r="UTJ5" s="107"/>
      <c r="UTK5" s="107"/>
      <c r="UTL5" s="107"/>
      <c r="UTM5" s="107"/>
      <c r="UTN5" s="107"/>
      <c r="UTO5" s="107"/>
      <c r="UTP5" s="107"/>
      <c r="UTQ5" s="107"/>
      <c r="UTR5" s="107"/>
      <c r="UTS5" s="107"/>
      <c r="UTT5" s="107"/>
      <c r="UTU5" s="107"/>
      <c r="UTV5" s="107"/>
      <c r="UTW5" s="107"/>
      <c r="UTX5" s="107"/>
      <c r="UTY5" s="107"/>
      <c r="UTZ5" s="107"/>
      <c r="UUA5" s="107"/>
      <c r="UUB5" s="107"/>
      <c r="UUC5" s="107"/>
      <c r="UUD5" s="107"/>
      <c r="UUE5" s="107"/>
      <c r="UUF5" s="107"/>
      <c r="UUG5" s="107"/>
      <c r="UUH5" s="107"/>
      <c r="UUI5" s="107"/>
      <c r="UUJ5" s="107"/>
      <c r="UUK5" s="107"/>
      <c r="UUL5" s="107"/>
      <c r="UUM5" s="107"/>
      <c r="UUN5" s="107"/>
      <c r="UUO5" s="107"/>
      <c r="UUP5" s="107"/>
      <c r="UUQ5" s="107"/>
      <c r="UUR5" s="107"/>
      <c r="UUS5" s="107"/>
      <c r="UUT5" s="107"/>
      <c r="UUU5" s="107"/>
      <c r="UUV5" s="107"/>
      <c r="UUW5" s="107"/>
      <c r="UUX5" s="107"/>
      <c r="UUY5" s="107"/>
      <c r="UUZ5" s="107"/>
      <c r="UVA5" s="107"/>
      <c r="UVB5" s="107"/>
      <c r="UVC5" s="107"/>
      <c r="UVD5" s="107"/>
      <c r="UVE5" s="107"/>
      <c r="UVF5" s="107"/>
      <c r="UVG5" s="107"/>
      <c r="UVH5" s="107"/>
      <c r="UVI5" s="107"/>
      <c r="UVJ5" s="107"/>
      <c r="UVK5" s="107"/>
      <c r="UVL5" s="107"/>
      <c r="UVM5" s="107"/>
      <c r="UVN5" s="107"/>
      <c r="UVO5" s="107"/>
      <c r="UVP5" s="107"/>
      <c r="UVQ5" s="107"/>
      <c r="UVR5" s="107"/>
      <c r="UVS5" s="107"/>
      <c r="UVT5" s="107"/>
      <c r="UVU5" s="107"/>
      <c r="UVV5" s="107"/>
      <c r="UVW5" s="107"/>
      <c r="UVX5" s="107"/>
      <c r="UVY5" s="107"/>
      <c r="UVZ5" s="107"/>
      <c r="UWA5" s="107"/>
      <c r="UWB5" s="107"/>
      <c r="UWC5" s="107"/>
      <c r="UWD5" s="107"/>
      <c r="UWE5" s="107"/>
      <c r="UWF5" s="107"/>
      <c r="UWG5" s="107"/>
      <c r="UWH5" s="107"/>
      <c r="UWI5" s="107"/>
      <c r="UWJ5" s="107"/>
      <c r="UWK5" s="107"/>
      <c r="UWL5" s="107"/>
      <c r="UWM5" s="107"/>
      <c r="UWN5" s="107"/>
      <c r="UWO5" s="107"/>
      <c r="UWP5" s="107"/>
      <c r="UWQ5" s="107"/>
      <c r="UWR5" s="107"/>
      <c r="UWS5" s="107"/>
      <c r="UWT5" s="107"/>
      <c r="UWU5" s="107"/>
      <c r="UWV5" s="107"/>
      <c r="UWW5" s="107"/>
      <c r="UWX5" s="107"/>
      <c r="UWY5" s="107"/>
      <c r="UWZ5" s="107"/>
      <c r="UXA5" s="107"/>
      <c r="UXB5" s="107"/>
      <c r="UXC5" s="107"/>
      <c r="UXD5" s="107"/>
      <c r="UXE5" s="107"/>
      <c r="UXF5" s="107"/>
      <c r="UXG5" s="107"/>
      <c r="UXH5" s="107"/>
      <c r="UXI5" s="107"/>
      <c r="UXJ5" s="107"/>
      <c r="UXK5" s="107"/>
      <c r="UXL5" s="107"/>
      <c r="UXM5" s="107"/>
      <c r="UXN5" s="107"/>
      <c r="UXO5" s="107"/>
      <c r="UXP5" s="107"/>
      <c r="UXQ5" s="107"/>
      <c r="UXR5" s="107"/>
      <c r="UXS5" s="107"/>
      <c r="UXT5" s="107"/>
      <c r="UXU5" s="107"/>
      <c r="UXV5" s="107"/>
      <c r="UXW5" s="107"/>
      <c r="UXX5" s="107"/>
      <c r="UXY5" s="107"/>
      <c r="UXZ5" s="107"/>
      <c r="UYA5" s="107"/>
      <c r="UYB5" s="107"/>
      <c r="UYC5" s="107"/>
      <c r="UYD5" s="107"/>
      <c r="UYE5" s="107"/>
      <c r="UYF5" s="107"/>
      <c r="UYG5" s="107"/>
      <c r="UYH5" s="107"/>
      <c r="UYI5" s="107"/>
      <c r="UYJ5" s="107"/>
      <c r="UYK5" s="107"/>
      <c r="UYL5" s="107"/>
      <c r="UYM5" s="107"/>
      <c r="UYN5" s="107"/>
      <c r="UYO5" s="107"/>
      <c r="UYP5" s="107"/>
      <c r="UYQ5" s="107"/>
      <c r="UYR5" s="107"/>
      <c r="UYS5" s="107"/>
      <c r="UYT5" s="107"/>
      <c r="UYU5" s="107"/>
      <c r="UYV5" s="107"/>
      <c r="UYW5" s="107"/>
      <c r="UYX5" s="107"/>
      <c r="UYY5" s="107"/>
      <c r="UYZ5" s="107"/>
      <c r="UZA5" s="107"/>
      <c r="UZB5" s="107"/>
      <c r="UZC5" s="107"/>
      <c r="UZD5" s="107"/>
      <c r="UZE5" s="107"/>
      <c r="UZF5" s="107"/>
      <c r="UZG5" s="107"/>
      <c r="UZH5" s="107"/>
      <c r="UZI5" s="107"/>
      <c r="UZJ5" s="107"/>
      <c r="UZK5" s="107"/>
      <c r="UZL5" s="107"/>
      <c r="UZM5" s="107"/>
      <c r="UZN5" s="107"/>
      <c r="UZO5" s="107"/>
      <c r="UZP5" s="107"/>
      <c r="UZQ5" s="107"/>
      <c r="UZR5" s="107"/>
      <c r="UZS5" s="107"/>
      <c r="UZT5" s="107"/>
      <c r="UZU5" s="107"/>
      <c r="UZV5" s="107"/>
      <c r="UZW5" s="107"/>
      <c r="UZX5" s="107"/>
      <c r="UZY5" s="107"/>
      <c r="UZZ5" s="107"/>
      <c r="VAA5" s="107"/>
      <c r="VAB5" s="107"/>
      <c r="VAC5" s="107"/>
      <c r="VAD5" s="107"/>
      <c r="VAE5" s="107"/>
      <c r="VAF5" s="107"/>
      <c r="VAG5" s="107"/>
      <c r="VAH5" s="107"/>
      <c r="VAI5" s="107"/>
      <c r="VAJ5" s="107"/>
      <c r="VAK5" s="107"/>
      <c r="VAL5" s="107"/>
      <c r="VAM5" s="107"/>
      <c r="VAN5" s="107"/>
      <c r="VAO5" s="107"/>
      <c r="VAP5" s="107"/>
      <c r="VAQ5" s="107"/>
      <c r="VAR5" s="107"/>
      <c r="VAS5" s="107"/>
      <c r="VAT5" s="107"/>
      <c r="VAU5" s="107"/>
      <c r="VAV5" s="107"/>
      <c r="VAW5" s="107"/>
      <c r="VAX5" s="107"/>
      <c r="VAY5" s="107"/>
      <c r="VAZ5" s="107"/>
      <c r="VBA5" s="107"/>
      <c r="VBB5" s="107"/>
      <c r="VBC5" s="107"/>
      <c r="VBD5" s="107"/>
      <c r="VBE5" s="107"/>
      <c r="VBF5" s="107"/>
      <c r="VBG5" s="107"/>
      <c r="VBH5" s="107"/>
      <c r="VBI5" s="107"/>
      <c r="VBJ5" s="107"/>
      <c r="VBK5" s="107"/>
      <c r="VBL5" s="107"/>
      <c r="VBM5" s="107"/>
      <c r="VBN5" s="107"/>
      <c r="VBO5" s="107"/>
      <c r="VBP5" s="107"/>
      <c r="VBQ5" s="107"/>
      <c r="VBR5" s="107"/>
      <c r="VBS5" s="107"/>
      <c r="VBT5" s="107"/>
      <c r="VBU5" s="107"/>
      <c r="VBV5" s="107"/>
      <c r="VBW5" s="107"/>
      <c r="VBX5" s="107"/>
      <c r="VBY5" s="107"/>
      <c r="VBZ5" s="107"/>
      <c r="VCA5" s="107"/>
      <c r="VCB5" s="107"/>
      <c r="VCC5" s="107"/>
      <c r="VCD5" s="107"/>
      <c r="VCE5" s="107"/>
      <c r="VCF5" s="107"/>
      <c r="VCG5" s="107"/>
      <c r="VCH5" s="107"/>
      <c r="VCI5" s="107"/>
      <c r="VCJ5" s="107"/>
      <c r="VCK5" s="107"/>
      <c r="VCL5" s="107"/>
      <c r="VCM5" s="107"/>
      <c r="VCN5" s="107"/>
      <c r="VCO5" s="107"/>
      <c r="VCP5" s="107"/>
      <c r="VCQ5" s="107"/>
      <c r="VCR5" s="107"/>
      <c r="VCS5" s="107"/>
      <c r="VCT5" s="107"/>
      <c r="VCU5" s="107"/>
      <c r="VCV5" s="107"/>
      <c r="VCW5" s="107"/>
      <c r="VCX5" s="107"/>
      <c r="VCY5" s="107"/>
      <c r="VCZ5" s="107"/>
      <c r="VDA5" s="107"/>
      <c r="VDB5" s="107"/>
      <c r="VDC5" s="107"/>
      <c r="VDD5" s="107"/>
      <c r="VDE5" s="107"/>
      <c r="VDF5" s="107"/>
      <c r="VDG5" s="107"/>
      <c r="VDH5" s="107"/>
      <c r="VDI5" s="107"/>
      <c r="VDJ5" s="107"/>
      <c r="VDK5" s="107"/>
      <c r="VDL5" s="107"/>
      <c r="VDM5" s="107"/>
      <c r="VDN5" s="107"/>
      <c r="VDO5" s="107"/>
      <c r="VDP5" s="107"/>
      <c r="VDQ5" s="107"/>
      <c r="VDR5" s="107"/>
      <c r="VDS5" s="107"/>
      <c r="VDT5" s="107"/>
      <c r="VDU5" s="107"/>
      <c r="VDV5" s="107"/>
      <c r="VDW5" s="107"/>
      <c r="VDX5" s="107"/>
      <c r="VDY5" s="107"/>
      <c r="VDZ5" s="107"/>
      <c r="VEA5" s="107"/>
      <c r="VEB5" s="107"/>
      <c r="VEC5" s="107"/>
      <c r="VED5" s="107"/>
      <c r="VEE5" s="107"/>
      <c r="VEF5" s="107"/>
      <c r="VEG5" s="107"/>
      <c r="VEH5" s="107"/>
      <c r="VEI5" s="107"/>
      <c r="VEJ5" s="107"/>
      <c r="VEK5" s="107"/>
      <c r="VEL5" s="107"/>
      <c r="VEM5" s="107"/>
      <c r="VEN5" s="107"/>
      <c r="VEO5" s="107"/>
      <c r="VEP5" s="107"/>
      <c r="VEQ5" s="107"/>
      <c r="VER5" s="107"/>
      <c r="VES5" s="107"/>
      <c r="VET5" s="107"/>
      <c r="VEU5" s="107"/>
      <c r="VEV5" s="107"/>
      <c r="VEW5" s="107"/>
      <c r="VEX5" s="107"/>
      <c r="VEY5" s="107"/>
      <c r="VEZ5" s="107"/>
      <c r="VFA5" s="107"/>
      <c r="VFB5" s="107"/>
      <c r="VFC5" s="107"/>
      <c r="VFD5" s="107"/>
      <c r="VFE5" s="107"/>
      <c r="VFF5" s="107"/>
      <c r="VFG5" s="107"/>
      <c r="VFH5" s="107"/>
      <c r="VFI5" s="107"/>
      <c r="VFJ5" s="107"/>
      <c r="VFK5" s="107"/>
      <c r="VFL5" s="107"/>
      <c r="VFM5" s="107"/>
      <c r="VFN5" s="107"/>
      <c r="VFO5" s="107"/>
      <c r="VFP5" s="107"/>
      <c r="VFQ5" s="107"/>
      <c r="VFR5" s="107"/>
      <c r="VFS5" s="107"/>
      <c r="VFT5" s="107"/>
      <c r="VFU5" s="107"/>
      <c r="VFV5" s="107"/>
      <c r="VFW5" s="107"/>
      <c r="VFX5" s="107"/>
      <c r="VFY5" s="107"/>
      <c r="VFZ5" s="107"/>
      <c r="VGA5" s="107"/>
      <c r="VGB5" s="107"/>
      <c r="VGC5" s="107"/>
      <c r="VGD5" s="107"/>
      <c r="VGE5" s="107"/>
      <c r="VGF5" s="107"/>
      <c r="VGG5" s="107"/>
      <c r="VGH5" s="107"/>
      <c r="VGI5" s="107"/>
      <c r="VGJ5" s="107"/>
      <c r="VGK5" s="107"/>
      <c r="VGL5" s="107"/>
      <c r="VGM5" s="107"/>
      <c r="VGN5" s="107"/>
      <c r="VGO5" s="107"/>
      <c r="VGP5" s="107"/>
      <c r="VGQ5" s="107"/>
      <c r="VGR5" s="107"/>
      <c r="VGS5" s="107"/>
      <c r="VGT5" s="107"/>
      <c r="VGU5" s="107"/>
      <c r="VGV5" s="107"/>
      <c r="VGW5" s="107"/>
      <c r="VGX5" s="107"/>
      <c r="VGY5" s="107"/>
      <c r="VGZ5" s="107"/>
      <c r="VHA5" s="107"/>
      <c r="VHB5" s="107"/>
      <c r="VHC5" s="107"/>
      <c r="VHD5" s="107"/>
      <c r="VHE5" s="107"/>
      <c r="VHF5" s="107"/>
      <c r="VHG5" s="107"/>
      <c r="VHH5" s="107"/>
      <c r="VHI5" s="107"/>
      <c r="VHJ5" s="107"/>
      <c r="VHK5" s="107"/>
      <c r="VHL5" s="107"/>
      <c r="VHM5" s="107"/>
      <c r="VHN5" s="107"/>
      <c r="VHO5" s="107"/>
      <c r="VHP5" s="107"/>
      <c r="VHQ5" s="107"/>
      <c r="VHR5" s="107"/>
      <c r="VHS5" s="107"/>
      <c r="VHT5" s="107"/>
      <c r="VHU5" s="107"/>
      <c r="VHV5" s="107"/>
      <c r="VHW5" s="107"/>
      <c r="VHX5" s="107"/>
      <c r="VHY5" s="107"/>
      <c r="VHZ5" s="107"/>
      <c r="VIA5" s="107"/>
      <c r="VIB5" s="107"/>
      <c r="VIC5" s="107"/>
      <c r="VID5" s="107"/>
      <c r="VIE5" s="107"/>
      <c r="VIF5" s="107"/>
      <c r="VIG5" s="107"/>
      <c r="VIH5" s="107"/>
      <c r="VII5" s="107"/>
      <c r="VIJ5" s="107"/>
      <c r="VIK5" s="107"/>
      <c r="VIL5" s="107"/>
      <c r="VIM5" s="107"/>
      <c r="VIN5" s="107"/>
      <c r="VIO5" s="107"/>
      <c r="VIP5" s="107"/>
      <c r="VIQ5" s="107"/>
      <c r="VIR5" s="107"/>
      <c r="VIS5" s="107"/>
      <c r="VIT5" s="107"/>
      <c r="VIU5" s="107"/>
      <c r="VIV5" s="107"/>
      <c r="VIW5" s="107"/>
      <c r="VIX5" s="107"/>
      <c r="VIY5" s="107"/>
      <c r="VIZ5" s="107"/>
      <c r="VJA5" s="107"/>
      <c r="VJB5" s="107"/>
      <c r="VJC5" s="107"/>
      <c r="VJD5" s="107"/>
      <c r="VJE5" s="107"/>
      <c r="VJF5" s="107"/>
      <c r="VJG5" s="107"/>
      <c r="VJH5" s="107"/>
      <c r="VJI5" s="107"/>
      <c r="VJJ5" s="107"/>
      <c r="VJK5" s="107"/>
      <c r="VJL5" s="107"/>
      <c r="VJM5" s="107"/>
      <c r="VJN5" s="107"/>
      <c r="VJO5" s="107"/>
      <c r="VJP5" s="107"/>
      <c r="VJQ5" s="107"/>
      <c r="VJR5" s="107"/>
      <c r="VJS5" s="107"/>
      <c r="VJT5" s="107"/>
      <c r="VJU5" s="107"/>
      <c r="VJV5" s="107"/>
      <c r="VJW5" s="107"/>
      <c r="VJX5" s="107"/>
      <c r="VJY5" s="107"/>
      <c r="VJZ5" s="107"/>
      <c r="VKA5" s="107"/>
      <c r="VKB5" s="107"/>
      <c r="VKC5" s="107"/>
      <c r="VKD5" s="107"/>
      <c r="VKE5" s="107"/>
      <c r="VKF5" s="107"/>
      <c r="VKG5" s="107"/>
      <c r="VKH5" s="107"/>
      <c r="VKI5" s="107"/>
      <c r="VKJ5" s="107"/>
      <c r="VKK5" s="107"/>
      <c r="VKL5" s="107"/>
      <c r="VKM5" s="107"/>
      <c r="VKN5" s="107"/>
      <c r="VKO5" s="107"/>
      <c r="VKP5" s="107"/>
      <c r="VKQ5" s="107"/>
      <c r="VKR5" s="107"/>
      <c r="VKS5" s="107"/>
      <c r="VKT5" s="107"/>
      <c r="VKU5" s="107"/>
      <c r="VKV5" s="107"/>
      <c r="VKW5" s="107"/>
      <c r="VKX5" s="107"/>
      <c r="VKY5" s="107"/>
      <c r="VKZ5" s="107"/>
      <c r="VLA5" s="107"/>
      <c r="VLB5" s="107"/>
      <c r="VLC5" s="107"/>
      <c r="VLD5" s="107"/>
      <c r="VLE5" s="107"/>
      <c r="VLF5" s="107"/>
      <c r="VLG5" s="107"/>
      <c r="VLH5" s="107"/>
      <c r="VLI5" s="107"/>
      <c r="VLJ5" s="107"/>
      <c r="VLK5" s="107"/>
      <c r="VLL5" s="107"/>
      <c r="VLM5" s="107"/>
      <c r="VLN5" s="107"/>
      <c r="VLO5" s="107"/>
      <c r="VLP5" s="107"/>
      <c r="VLQ5" s="107"/>
      <c r="VLR5" s="107"/>
      <c r="VLS5" s="107"/>
      <c r="VLT5" s="107"/>
      <c r="VLU5" s="107"/>
      <c r="VLV5" s="107"/>
      <c r="VLW5" s="107"/>
      <c r="VLX5" s="107"/>
      <c r="VLY5" s="107"/>
      <c r="VLZ5" s="107"/>
      <c r="VMA5" s="107"/>
      <c r="VMB5" s="107"/>
      <c r="VMC5" s="107"/>
      <c r="VMD5" s="107"/>
      <c r="VME5" s="107"/>
      <c r="VMF5" s="107"/>
      <c r="VMG5" s="107"/>
      <c r="VMH5" s="107"/>
      <c r="VMI5" s="107"/>
      <c r="VMJ5" s="107"/>
      <c r="VMK5" s="107"/>
      <c r="VML5" s="107"/>
      <c r="VMM5" s="107"/>
      <c r="VMN5" s="107"/>
      <c r="VMO5" s="107"/>
      <c r="VMP5" s="107"/>
      <c r="VMQ5" s="107"/>
      <c r="VMR5" s="107"/>
      <c r="VMS5" s="107"/>
      <c r="VMT5" s="107"/>
      <c r="VMU5" s="107"/>
      <c r="VMV5" s="107"/>
      <c r="VMW5" s="107"/>
      <c r="VMX5" s="107"/>
      <c r="VMY5" s="107"/>
      <c r="VMZ5" s="107"/>
      <c r="VNA5" s="107"/>
      <c r="VNB5" s="107"/>
      <c r="VNC5" s="107"/>
      <c r="VND5" s="107"/>
      <c r="VNE5" s="107"/>
      <c r="VNF5" s="107"/>
      <c r="VNG5" s="107"/>
      <c r="VNH5" s="107"/>
      <c r="VNI5" s="107"/>
      <c r="VNJ5" s="107"/>
      <c r="VNK5" s="107"/>
      <c r="VNL5" s="107"/>
      <c r="VNM5" s="107"/>
      <c r="VNN5" s="107"/>
      <c r="VNO5" s="107"/>
      <c r="VNP5" s="107"/>
      <c r="VNQ5" s="107"/>
      <c r="VNR5" s="107"/>
      <c r="VNS5" s="107"/>
      <c r="VNT5" s="107"/>
      <c r="VNU5" s="107"/>
      <c r="VNV5" s="107"/>
      <c r="VNW5" s="107"/>
      <c r="VNX5" s="107"/>
      <c r="VNY5" s="107"/>
      <c r="VNZ5" s="107"/>
      <c r="VOA5" s="107"/>
      <c r="VOB5" s="107"/>
      <c r="VOC5" s="107"/>
      <c r="VOD5" s="107"/>
      <c r="VOE5" s="107"/>
      <c r="VOF5" s="107"/>
      <c r="VOG5" s="107"/>
      <c r="VOH5" s="107"/>
      <c r="VOI5" s="107"/>
      <c r="VOJ5" s="107"/>
      <c r="VOK5" s="107"/>
      <c r="VOL5" s="107"/>
      <c r="VOM5" s="107"/>
      <c r="VON5" s="107"/>
      <c r="VOO5" s="107"/>
      <c r="VOP5" s="107"/>
      <c r="VOQ5" s="107"/>
      <c r="VOR5" s="107"/>
      <c r="VOS5" s="107"/>
      <c r="VOT5" s="107"/>
      <c r="VOU5" s="107"/>
      <c r="VOV5" s="107"/>
      <c r="VOW5" s="107"/>
      <c r="VOX5" s="107"/>
      <c r="VOY5" s="107"/>
      <c r="VOZ5" s="107"/>
      <c r="VPA5" s="107"/>
      <c r="VPB5" s="107"/>
      <c r="VPC5" s="107"/>
      <c r="VPD5" s="107"/>
      <c r="VPE5" s="107"/>
      <c r="VPF5" s="107"/>
      <c r="VPG5" s="107"/>
      <c r="VPH5" s="107"/>
      <c r="VPI5" s="107"/>
      <c r="VPJ5" s="107"/>
      <c r="VPK5" s="107"/>
      <c r="VPL5" s="107"/>
      <c r="VPM5" s="107"/>
      <c r="VPN5" s="107"/>
      <c r="VPO5" s="107"/>
      <c r="VPP5" s="107"/>
      <c r="VPQ5" s="107"/>
      <c r="VPR5" s="107"/>
      <c r="VPS5" s="107"/>
      <c r="VPT5" s="107"/>
      <c r="VPU5" s="107"/>
      <c r="VPV5" s="107"/>
      <c r="VPW5" s="107"/>
      <c r="VPX5" s="107"/>
      <c r="VPY5" s="107"/>
      <c r="VPZ5" s="107"/>
      <c r="VQA5" s="107"/>
      <c r="VQB5" s="107"/>
      <c r="VQC5" s="107"/>
      <c r="VQD5" s="107"/>
      <c r="VQE5" s="107"/>
      <c r="VQF5" s="107"/>
      <c r="VQG5" s="107"/>
      <c r="VQH5" s="107"/>
      <c r="VQI5" s="107"/>
      <c r="VQJ5" s="107"/>
      <c r="VQK5" s="107"/>
      <c r="VQL5" s="107"/>
      <c r="VQM5" s="107"/>
      <c r="VQN5" s="107"/>
      <c r="VQO5" s="107"/>
      <c r="VQP5" s="107"/>
      <c r="VQQ5" s="107"/>
      <c r="VQR5" s="107"/>
      <c r="VQS5" s="107"/>
      <c r="VQT5" s="107"/>
      <c r="VQU5" s="107"/>
      <c r="VQV5" s="107"/>
      <c r="VQW5" s="107"/>
      <c r="VQX5" s="107"/>
      <c r="VQY5" s="107"/>
      <c r="VQZ5" s="107"/>
      <c r="VRA5" s="107"/>
      <c r="VRB5" s="107"/>
      <c r="VRC5" s="107"/>
      <c r="VRD5" s="107"/>
      <c r="VRE5" s="107"/>
      <c r="VRF5" s="107"/>
      <c r="VRG5" s="107"/>
      <c r="VRH5" s="107"/>
      <c r="VRI5" s="107"/>
      <c r="VRJ5" s="107"/>
      <c r="VRK5" s="107"/>
      <c r="VRL5" s="107"/>
      <c r="VRM5" s="107"/>
      <c r="VRN5" s="107"/>
      <c r="VRO5" s="107"/>
      <c r="VRP5" s="107"/>
      <c r="VRQ5" s="107"/>
      <c r="VRR5" s="107"/>
      <c r="VRS5" s="107"/>
      <c r="VRT5" s="107"/>
      <c r="VRU5" s="107"/>
      <c r="VRV5" s="107"/>
      <c r="VRW5" s="107"/>
      <c r="VRX5" s="107"/>
      <c r="VRY5" s="107"/>
      <c r="VRZ5" s="107"/>
      <c r="VSA5" s="107"/>
      <c r="VSB5" s="107"/>
      <c r="VSC5" s="107"/>
      <c r="VSD5" s="107"/>
      <c r="VSE5" s="107"/>
      <c r="VSF5" s="107"/>
      <c r="VSG5" s="107"/>
      <c r="VSH5" s="107"/>
      <c r="VSI5" s="107"/>
      <c r="VSJ5" s="107"/>
      <c r="VSK5" s="107"/>
      <c r="VSL5" s="107"/>
      <c r="VSM5" s="107"/>
      <c r="VSN5" s="107"/>
      <c r="VSO5" s="107"/>
      <c r="VSP5" s="107"/>
      <c r="VSQ5" s="107"/>
      <c r="VSR5" s="107"/>
      <c r="VSS5" s="107"/>
      <c r="VST5" s="107"/>
      <c r="VSU5" s="107"/>
      <c r="VSV5" s="107"/>
      <c r="VSW5" s="107"/>
      <c r="VSX5" s="107"/>
      <c r="VSY5" s="107"/>
      <c r="VSZ5" s="107"/>
      <c r="VTA5" s="107"/>
      <c r="VTB5" s="107"/>
      <c r="VTC5" s="107"/>
      <c r="VTD5" s="107"/>
      <c r="VTE5" s="107"/>
      <c r="VTF5" s="107"/>
      <c r="VTG5" s="107"/>
      <c r="VTH5" s="107"/>
      <c r="VTI5" s="107"/>
      <c r="VTJ5" s="107"/>
      <c r="VTK5" s="107"/>
      <c r="VTL5" s="107"/>
      <c r="VTM5" s="107"/>
      <c r="VTN5" s="107"/>
      <c r="VTO5" s="107"/>
      <c r="VTP5" s="107"/>
      <c r="VTQ5" s="107"/>
      <c r="VTR5" s="107"/>
      <c r="VTS5" s="107"/>
      <c r="VTT5" s="107"/>
      <c r="VTU5" s="107"/>
      <c r="VTV5" s="107"/>
      <c r="VTW5" s="107"/>
      <c r="VTX5" s="107"/>
      <c r="VTY5" s="107"/>
      <c r="VTZ5" s="107"/>
      <c r="VUA5" s="107"/>
      <c r="VUB5" s="107"/>
      <c r="VUC5" s="107"/>
      <c r="VUD5" s="107"/>
      <c r="VUE5" s="107"/>
      <c r="VUF5" s="107"/>
      <c r="VUG5" s="107"/>
      <c r="VUH5" s="107"/>
      <c r="VUI5" s="107"/>
      <c r="VUJ5" s="107"/>
      <c r="VUK5" s="107"/>
      <c r="VUL5" s="107"/>
      <c r="VUM5" s="107"/>
      <c r="VUN5" s="107"/>
      <c r="VUO5" s="107"/>
      <c r="VUP5" s="107"/>
      <c r="VUQ5" s="107"/>
      <c r="VUR5" s="107"/>
      <c r="VUS5" s="107"/>
      <c r="VUT5" s="107"/>
      <c r="VUU5" s="107"/>
      <c r="VUV5" s="107"/>
      <c r="VUW5" s="107"/>
      <c r="VUX5" s="107"/>
      <c r="VUY5" s="107"/>
      <c r="VUZ5" s="107"/>
      <c r="VVA5" s="107"/>
      <c r="VVB5" s="107"/>
      <c r="VVC5" s="107"/>
      <c r="VVD5" s="107"/>
      <c r="VVE5" s="107"/>
      <c r="VVF5" s="107"/>
      <c r="VVG5" s="107"/>
      <c r="VVH5" s="107"/>
      <c r="VVI5" s="107"/>
      <c r="VVJ5" s="107"/>
      <c r="VVK5" s="107"/>
      <c r="VVL5" s="107"/>
      <c r="VVM5" s="107"/>
      <c r="VVN5" s="107"/>
      <c r="VVO5" s="107"/>
      <c r="VVP5" s="107"/>
      <c r="VVQ5" s="107"/>
      <c r="VVR5" s="107"/>
      <c r="VVS5" s="107"/>
      <c r="VVT5" s="107"/>
      <c r="VVU5" s="107"/>
      <c r="VVV5" s="107"/>
      <c r="VVW5" s="107"/>
      <c r="VVX5" s="107"/>
      <c r="VVY5" s="107"/>
      <c r="VVZ5" s="107"/>
      <c r="VWA5" s="107"/>
      <c r="VWB5" s="107"/>
      <c r="VWC5" s="107"/>
      <c r="VWD5" s="107"/>
      <c r="VWE5" s="107"/>
      <c r="VWF5" s="107"/>
      <c r="VWG5" s="107"/>
      <c r="VWH5" s="107"/>
      <c r="VWI5" s="107"/>
      <c r="VWJ5" s="107"/>
      <c r="VWK5" s="107"/>
      <c r="VWL5" s="107"/>
      <c r="VWM5" s="107"/>
      <c r="VWN5" s="107"/>
      <c r="VWO5" s="107"/>
      <c r="VWP5" s="107"/>
      <c r="VWQ5" s="107"/>
      <c r="VWR5" s="107"/>
      <c r="VWS5" s="107"/>
      <c r="VWT5" s="107"/>
      <c r="VWU5" s="107"/>
      <c r="VWV5" s="107"/>
      <c r="VWW5" s="107"/>
      <c r="VWX5" s="107"/>
      <c r="VWY5" s="107"/>
      <c r="VWZ5" s="107"/>
      <c r="VXA5" s="107"/>
      <c r="VXB5" s="107"/>
      <c r="VXC5" s="107"/>
      <c r="VXD5" s="107"/>
      <c r="VXE5" s="107"/>
      <c r="VXF5" s="107"/>
      <c r="VXG5" s="107"/>
      <c r="VXH5" s="107"/>
      <c r="VXI5" s="107"/>
      <c r="VXJ5" s="107"/>
      <c r="VXK5" s="107"/>
      <c r="VXL5" s="107"/>
      <c r="VXM5" s="107"/>
      <c r="VXN5" s="107"/>
      <c r="VXO5" s="107"/>
      <c r="VXP5" s="107"/>
      <c r="VXQ5" s="107"/>
      <c r="VXR5" s="107"/>
      <c r="VXS5" s="107"/>
      <c r="VXT5" s="107"/>
      <c r="VXU5" s="107"/>
      <c r="VXV5" s="107"/>
      <c r="VXW5" s="107"/>
      <c r="VXX5" s="107"/>
      <c r="VXY5" s="107"/>
      <c r="VXZ5" s="107"/>
      <c r="VYA5" s="107"/>
      <c r="VYB5" s="107"/>
      <c r="VYC5" s="107"/>
      <c r="VYD5" s="107"/>
      <c r="VYE5" s="107"/>
      <c r="VYF5" s="107"/>
      <c r="VYG5" s="107"/>
      <c r="VYH5" s="107"/>
      <c r="VYI5" s="107"/>
      <c r="VYJ5" s="107"/>
      <c r="VYK5" s="107"/>
      <c r="VYL5" s="107"/>
      <c r="VYM5" s="107"/>
      <c r="VYN5" s="107"/>
      <c r="VYO5" s="107"/>
      <c r="VYP5" s="107"/>
      <c r="VYQ5" s="107"/>
      <c r="VYR5" s="107"/>
      <c r="VYS5" s="107"/>
      <c r="VYT5" s="107"/>
      <c r="VYU5" s="107"/>
      <c r="VYV5" s="107"/>
      <c r="VYW5" s="107"/>
      <c r="VYX5" s="107"/>
      <c r="VYY5" s="107"/>
      <c r="VYZ5" s="107"/>
      <c r="VZA5" s="107"/>
      <c r="VZB5" s="107"/>
      <c r="VZC5" s="107"/>
      <c r="VZD5" s="107"/>
      <c r="VZE5" s="107"/>
      <c r="VZF5" s="107"/>
      <c r="VZG5" s="107"/>
      <c r="VZH5" s="107"/>
      <c r="VZI5" s="107"/>
      <c r="VZJ5" s="107"/>
      <c r="VZK5" s="107"/>
      <c r="VZL5" s="107"/>
      <c r="VZM5" s="107"/>
      <c r="VZN5" s="107"/>
      <c r="VZO5" s="107"/>
      <c r="VZP5" s="107"/>
      <c r="VZQ5" s="107"/>
      <c r="VZR5" s="107"/>
      <c r="VZS5" s="107"/>
      <c r="VZT5" s="107"/>
      <c r="VZU5" s="107"/>
      <c r="VZV5" s="107"/>
      <c r="VZW5" s="107"/>
      <c r="VZX5" s="107"/>
      <c r="VZY5" s="107"/>
      <c r="VZZ5" s="107"/>
      <c r="WAA5" s="107"/>
      <c r="WAB5" s="107"/>
      <c r="WAC5" s="107"/>
      <c r="WAD5" s="107"/>
      <c r="WAE5" s="107"/>
      <c r="WAF5" s="107"/>
      <c r="WAG5" s="107"/>
      <c r="WAH5" s="107"/>
      <c r="WAI5" s="107"/>
      <c r="WAJ5" s="107"/>
      <c r="WAK5" s="107"/>
      <c r="WAL5" s="107"/>
      <c r="WAM5" s="107"/>
      <c r="WAN5" s="107"/>
      <c r="WAO5" s="107"/>
      <c r="WAP5" s="107"/>
      <c r="WAQ5" s="107"/>
      <c r="WAR5" s="107"/>
      <c r="WAS5" s="107"/>
      <c r="WAT5" s="107"/>
      <c r="WAU5" s="107"/>
      <c r="WAV5" s="107"/>
      <c r="WAW5" s="107"/>
      <c r="WAX5" s="107"/>
      <c r="WAY5" s="107"/>
      <c r="WAZ5" s="107"/>
      <c r="WBA5" s="107"/>
      <c r="WBB5" s="107"/>
      <c r="WBC5" s="107"/>
      <c r="WBD5" s="107"/>
      <c r="WBE5" s="107"/>
      <c r="WBF5" s="107"/>
      <c r="WBG5" s="107"/>
      <c r="WBH5" s="107"/>
      <c r="WBI5" s="107"/>
      <c r="WBJ5" s="107"/>
      <c r="WBK5" s="107"/>
      <c r="WBL5" s="107"/>
      <c r="WBM5" s="107"/>
      <c r="WBN5" s="107"/>
      <c r="WBO5" s="107"/>
      <c r="WBP5" s="107"/>
      <c r="WBQ5" s="107"/>
      <c r="WBR5" s="107"/>
      <c r="WBS5" s="107"/>
      <c r="WBT5" s="107"/>
      <c r="WBU5" s="107"/>
      <c r="WBV5" s="107"/>
      <c r="WBW5" s="107"/>
      <c r="WBX5" s="107"/>
      <c r="WBY5" s="107"/>
      <c r="WBZ5" s="107"/>
      <c r="WCA5" s="107"/>
      <c r="WCB5" s="107"/>
      <c r="WCC5" s="107"/>
      <c r="WCD5" s="107"/>
      <c r="WCE5" s="107"/>
      <c r="WCF5" s="107"/>
      <c r="WCG5" s="107"/>
      <c r="WCH5" s="107"/>
      <c r="WCI5" s="107"/>
      <c r="WCJ5" s="107"/>
      <c r="WCK5" s="107"/>
      <c r="WCL5" s="107"/>
      <c r="WCM5" s="107"/>
      <c r="WCN5" s="107"/>
      <c r="WCO5" s="107"/>
      <c r="WCP5" s="107"/>
      <c r="WCQ5" s="107"/>
      <c r="WCR5" s="107"/>
      <c r="WCS5" s="107"/>
      <c r="WCT5" s="107"/>
      <c r="WCU5" s="107"/>
      <c r="WCV5" s="107"/>
      <c r="WCW5" s="107"/>
      <c r="WCX5" s="107"/>
      <c r="WCY5" s="107"/>
      <c r="WCZ5" s="107"/>
      <c r="WDA5" s="107"/>
      <c r="WDB5" s="107"/>
      <c r="WDC5" s="107"/>
      <c r="WDD5" s="107"/>
      <c r="WDE5" s="107"/>
      <c r="WDF5" s="107"/>
      <c r="WDG5" s="107"/>
      <c r="WDH5" s="107"/>
      <c r="WDI5" s="107"/>
      <c r="WDJ5" s="107"/>
      <c r="WDK5" s="107"/>
      <c r="WDL5" s="107"/>
      <c r="WDM5" s="107"/>
      <c r="WDN5" s="107"/>
      <c r="WDO5" s="107"/>
      <c r="WDP5" s="107"/>
      <c r="WDQ5" s="107"/>
      <c r="WDR5" s="107"/>
      <c r="WDS5" s="107"/>
      <c r="WDT5" s="107"/>
      <c r="WDU5" s="107"/>
      <c r="WDV5" s="107"/>
      <c r="WDW5" s="107"/>
      <c r="WDX5" s="107"/>
      <c r="WDY5" s="107"/>
      <c r="WDZ5" s="107"/>
      <c r="WEA5" s="107"/>
      <c r="WEB5" s="107"/>
      <c r="WEC5" s="107"/>
      <c r="WED5" s="107"/>
      <c r="WEE5" s="107"/>
      <c r="WEF5" s="107"/>
      <c r="WEG5" s="107"/>
      <c r="WEH5" s="107"/>
      <c r="WEI5" s="107"/>
      <c r="WEJ5" s="107"/>
      <c r="WEK5" s="107"/>
      <c r="WEL5" s="107"/>
      <c r="WEM5" s="107"/>
      <c r="WEN5" s="107"/>
      <c r="WEO5" s="107"/>
      <c r="WEP5" s="107"/>
      <c r="WEQ5" s="107"/>
      <c r="WER5" s="107"/>
      <c r="WES5" s="107"/>
      <c r="WET5" s="107"/>
      <c r="WEU5" s="107"/>
      <c r="WEV5" s="107"/>
      <c r="WEW5" s="107"/>
      <c r="WEX5" s="107"/>
      <c r="WEY5" s="107"/>
      <c r="WEZ5" s="107"/>
      <c r="WFA5" s="107"/>
      <c r="WFB5" s="107"/>
      <c r="WFC5" s="107"/>
      <c r="WFD5" s="107"/>
      <c r="WFE5" s="107"/>
      <c r="WFF5" s="107"/>
      <c r="WFG5" s="107"/>
      <c r="WFH5" s="107"/>
      <c r="WFI5" s="107"/>
      <c r="WFJ5" s="107"/>
      <c r="WFK5" s="107"/>
      <c r="WFL5" s="107"/>
      <c r="WFM5" s="107"/>
      <c r="WFN5" s="107"/>
      <c r="WFO5" s="107"/>
      <c r="WFP5" s="107"/>
      <c r="WFQ5" s="107"/>
      <c r="WFR5" s="107"/>
      <c r="WFS5" s="107"/>
      <c r="WFT5" s="107"/>
      <c r="WFU5" s="107"/>
      <c r="WFV5" s="107"/>
      <c r="WFW5" s="107"/>
      <c r="WFX5" s="107"/>
      <c r="WFY5" s="107"/>
      <c r="WFZ5" s="107"/>
      <c r="WGA5" s="107"/>
      <c r="WGB5" s="107"/>
      <c r="WGC5" s="107"/>
      <c r="WGD5" s="107"/>
      <c r="WGE5" s="107"/>
      <c r="WGF5" s="107"/>
      <c r="WGG5" s="107"/>
      <c r="WGH5" s="107"/>
      <c r="WGI5" s="107"/>
      <c r="WGJ5" s="107"/>
      <c r="WGK5" s="107"/>
      <c r="WGL5" s="107"/>
      <c r="WGM5" s="107"/>
      <c r="WGN5" s="107"/>
      <c r="WGO5" s="107"/>
      <c r="WGP5" s="107"/>
      <c r="WGQ5" s="107"/>
      <c r="WGR5" s="107"/>
      <c r="WGS5" s="107"/>
      <c r="WGT5" s="107"/>
      <c r="WGU5" s="107"/>
      <c r="WGV5" s="107"/>
      <c r="WGW5" s="107"/>
      <c r="WGX5" s="107"/>
      <c r="WGY5" s="107"/>
      <c r="WGZ5" s="107"/>
      <c r="WHA5" s="107"/>
      <c r="WHB5" s="107"/>
      <c r="WHC5" s="107"/>
      <c r="WHD5" s="107"/>
      <c r="WHE5" s="107"/>
      <c r="WHF5" s="107"/>
      <c r="WHG5" s="107"/>
      <c r="WHH5" s="107"/>
      <c r="WHI5" s="107"/>
      <c r="WHJ5" s="107"/>
      <c r="WHK5" s="107"/>
      <c r="WHL5" s="107"/>
      <c r="WHM5" s="107"/>
      <c r="WHN5" s="107"/>
      <c r="WHO5" s="107"/>
      <c r="WHP5" s="107"/>
      <c r="WHQ5" s="107"/>
      <c r="WHR5" s="107"/>
      <c r="WHS5" s="107"/>
      <c r="WHT5" s="107"/>
      <c r="WHU5" s="107"/>
      <c r="WHV5" s="107"/>
      <c r="WHW5" s="107"/>
      <c r="WHX5" s="107"/>
      <c r="WHY5" s="107"/>
      <c r="WHZ5" s="107"/>
      <c r="WIA5" s="107"/>
      <c r="WIB5" s="107"/>
      <c r="WIC5" s="107"/>
      <c r="WID5" s="107"/>
      <c r="WIE5" s="107"/>
      <c r="WIF5" s="107"/>
      <c r="WIG5" s="107"/>
      <c r="WIH5" s="107"/>
      <c r="WII5" s="107"/>
      <c r="WIJ5" s="107"/>
      <c r="WIK5" s="107"/>
      <c r="WIL5" s="107"/>
      <c r="WIM5" s="107"/>
      <c r="WIN5" s="107"/>
      <c r="WIO5" s="107"/>
      <c r="WIP5" s="107"/>
      <c r="WIQ5" s="107"/>
      <c r="WIR5" s="107"/>
      <c r="WIS5" s="107"/>
      <c r="WIT5" s="107"/>
      <c r="WIU5" s="107"/>
      <c r="WIV5" s="107"/>
      <c r="WIW5" s="107"/>
      <c r="WIX5" s="107"/>
      <c r="WIY5" s="107"/>
      <c r="WIZ5" s="107"/>
      <c r="WJA5" s="107"/>
      <c r="WJB5" s="107"/>
      <c r="WJC5" s="107"/>
      <c r="WJD5" s="107"/>
      <c r="WJE5" s="107"/>
      <c r="WJF5" s="107"/>
      <c r="WJG5" s="107"/>
      <c r="WJH5" s="107"/>
      <c r="WJI5" s="107"/>
      <c r="WJJ5" s="107"/>
      <c r="WJK5" s="107"/>
      <c r="WJL5" s="107"/>
      <c r="WJM5" s="107"/>
      <c r="WJN5" s="107"/>
      <c r="WJO5" s="107"/>
      <c r="WJP5" s="107"/>
      <c r="WJQ5" s="107"/>
      <c r="WJR5" s="107"/>
      <c r="WJS5" s="107"/>
      <c r="WJT5" s="107"/>
      <c r="WJU5" s="107"/>
      <c r="WJV5" s="107"/>
      <c r="WJW5" s="107"/>
      <c r="WJX5" s="107"/>
      <c r="WJY5" s="107"/>
      <c r="WJZ5" s="107"/>
      <c r="WKA5" s="107"/>
      <c r="WKB5" s="107"/>
      <c r="WKC5" s="107"/>
      <c r="WKD5" s="107"/>
      <c r="WKE5" s="107"/>
      <c r="WKF5" s="107"/>
      <c r="WKG5" s="107"/>
      <c r="WKH5" s="107"/>
      <c r="WKI5" s="107"/>
      <c r="WKJ5" s="107"/>
      <c r="WKK5" s="107"/>
      <c r="WKL5" s="107"/>
      <c r="WKM5" s="107"/>
      <c r="WKN5" s="107"/>
      <c r="WKO5" s="107"/>
      <c r="WKP5" s="107"/>
      <c r="WKQ5" s="107"/>
      <c r="WKR5" s="107"/>
      <c r="WKS5" s="107"/>
      <c r="WKT5" s="107"/>
      <c r="WKU5" s="107"/>
      <c r="WKV5" s="107"/>
      <c r="WKW5" s="107"/>
      <c r="WKX5" s="107"/>
      <c r="WKY5" s="107"/>
      <c r="WKZ5" s="107"/>
      <c r="WLA5" s="107"/>
      <c r="WLB5" s="107"/>
      <c r="WLC5" s="107"/>
      <c r="WLD5" s="107"/>
      <c r="WLE5" s="107"/>
      <c r="WLF5" s="107"/>
      <c r="WLG5" s="107"/>
      <c r="WLH5" s="107"/>
      <c r="WLI5" s="107"/>
      <c r="WLJ5" s="107"/>
      <c r="WLK5" s="107"/>
      <c r="WLL5" s="107"/>
      <c r="WLM5" s="107"/>
      <c r="WLN5" s="107"/>
      <c r="WLO5" s="107"/>
      <c r="WLP5" s="107"/>
      <c r="WLQ5" s="107"/>
      <c r="WLR5" s="107"/>
      <c r="WLS5" s="107"/>
      <c r="WLT5" s="107"/>
      <c r="WLU5" s="107"/>
      <c r="WLV5" s="107"/>
      <c r="WLW5" s="107"/>
      <c r="WLX5" s="107"/>
      <c r="WLY5" s="107"/>
      <c r="WLZ5" s="107"/>
      <c r="WMA5" s="107"/>
      <c r="WMB5" s="107"/>
      <c r="WMC5" s="107"/>
      <c r="WMD5" s="107"/>
      <c r="WME5" s="107"/>
      <c r="WMF5" s="107"/>
      <c r="WMG5" s="107"/>
      <c r="WMH5" s="107"/>
      <c r="WMI5" s="107"/>
      <c r="WMJ5" s="107"/>
      <c r="WMK5" s="107"/>
      <c r="WML5" s="107"/>
      <c r="WMM5" s="107"/>
      <c r="WMN5" s="107"/>
      <c r="WMO5" s="107"/>
      <c r="WMP5" s="107"/>
      <c r="WMQ5" s="107"/>
      <c r="WMR5" s="107"/>
      <c r="WMS5" s="107"/>
      <c r="WMT5" s="107"/>
      <c r="WMU5" s="107"/>
      <c r="WMV5" s="107"/>
      <c r="WMW5" s="107"/>
      <c r="WMX5" s="107"/>
      <c r="WMY5" s="107"/>
      <c r="WMZ5" s="107"/>
      <c r="WNA5" s="107"/>
      <c r="WNB5" s="107"/>
      <c r="WNC5" s="107"/>
      <c r="WND5" s="107"/>
      <c r="WNE5" s="107"/>
      <c r="WNF5" s="107"/>
      <c r="WNG5" s="107"/>
      <c r="WNH5" s="107"/>
      <c r="WNI5" s="107"/>
      <c r="WNJ5" s="107"/>
      <c r="WNK5" s="107"/>
      <c r="WNL5" s="107"/>
      <c r="WNM5" s="107"/>
      <c r="WNN5" s="107"/>
      <c r="WNO5" s="107"/>
      <c r="WNP5" s="107"/>
      <c r="WNQ5" s="107"/>
      <c r="WNR5" s="107"/>
      <c r="WNS5" s="107"/>
      <c r="WNT5" s="107"/>
      <c r="WNU5" s="107"/>
      <c r="WNV5" s="107"/>
      <c r="WNW5" s="107"/>
      <c r="WNX5" s="107"/>
      <c r="WNY5" s="107"/>
      <c r="WNZ5" s="107"/>
      <c r="WOA5" s="107"/>
      <c r="WOB5" s="107"/>
      <c r="WOC5" s="107"/>
      <c r="WOD5" s="107"/>
      <c r="WOE5" s="107"/>
      <c r="WOF5" s="107"/>
      <c r="WOG5" s="107"/>
      <c r="WOH5" s="107"/>
      <c r="WOI5" s="107"/>
      <c r="WOJ5" s="107"/>
      <c r="WOK5" s="107"/>
      <c r="WOL5" s="107"/>
      <c r="WOM5" s="107"/>
      <c r="WON5" s="107"/>
      <c r="WOO5" s="107"/>
      <c r="WOP5" s="107"/>
      <c r="WOQ5" s="107"/>
      <c r="WOR5" s="107"/>
      <c r="WOS5" s="107"/>
      <c r="WOT5" s="107"/>
      <c r="WOU5" s="107"/>
      <c r="WOV5" s="107"/>
      <c r="WOW5" s="107"/>
      <c r="WOX5" s="107"/>
      <c r="WOY5" s="107"/>
      <c r="WOZ5" s="107"/>
      <c r="WPA5" s="107"/>
      <c r="WPB5" s="107"/>
      <c r="WPC5" s="107"/>
      <c r="WPD5" s="107"/>
      <c r="WPE5" s="107"/>
      <c r="WPF5" s="107"/>
      <c r="WPG5" s="107"/>
      <c r="WPH5" s="107"/>
      <c r="WPI5" s="107"/>
      <c r="WPJ5" s="107"/>
      <c r="WPK5" s="107"/>
      <c r="WPL5" s="107"/>
      <c r="WPM5" s="107"/>
      <c r="WPN5" s="107"/>
      <c r="WPO5" s="107"/>
      <c r="WPP5" s="107"/>
      <c r="WPQ5" s="107"/>
      <c r="WPR5" s="107"/>
      <c r="WPS5" s="107"/>
      <c r="WPT5" s="107"/>
      <c r="WPU5" s="107"/>
      <c r="WPV5" s="107"/>
      <c r="WPW5" s="107"/>
      <c r="WPX5" s="107"/>
      <c r="WPY5" s="107"/>
      <c r="WPZ5" s="107"/>
      <c r="WQA5" s="107"/>
      <c r="WQB5" s="107"/>
      <c r="WQC5" s="107"/>
      <c r="WQD5" s="107"/>
      <c r="WQE5" s="107"/>
      <c r="WQF5" s="107"/>
      <c r="WQG5" s="107"/>
      <c r="WQH5" s="107"/>
      <c r="WQI5" s="107"/>
      <c r="WQJ5" s="107"/>
      <c r="WQK5" s="107"/>
      <c r="WQL5" s="107"/>
      <c r="WQM5" s="107"/>
      <c r="WQN5" s="107"/>
      <c r="WQO5" s="107"/>
      <c r="WQP5" s="107"/>
      <c r="WQQ5" s="107"/>
      <c r="WQR5" s="107"/>
      <c r="WQS5" s="107"/>
      <c r="WQT5" s="107"/>
      <c r="WQU5" s="107"/>
      <c r="WQV5" s="107"/>
      <c r="WQW5" s="107"/>
      <c r="WQX5" s="107"/>
      <c r="WQY5" s="107"/>
      <c r="WQZ5" s="107"/>
      <c r="WRA5" s="107"/>
      <c r="WRB5" s="107"/>
      <c r="WRC5" s="107"/>
      <c r="WRD5" s="107"/>
      <c r="WRE5" s="107"/>
      <c r="WRF5" s="107"/>
      <c r="WRG5" s="107"/>
      <c r="WRH5" s="107"/>
      <c r="WRI5" s="107"/>
      <c r="WRJ5" s="107"/>
      <c r="WRK5" s="107"/>
      <c r="WRL5" s="107"/>
      <c r="WRM5" s="107"/>
      <c r="WRN5" s="107"/>
      <c r="WRO5" s="107"/>
      <c r="WRP5" s="107"/>
      <c r="WRQ5" s="107"/>
      <c r="WRR5" s="107"/>
      <c r="WRS5" s="107"/>
      <c r="WRT5" s="107"/>
      <c r="WRU5" s="107"/>
      <c r="WRV5" s="107"/>
      <c r="WRW5" s="107"/>
      <c r="WRX5" s="107"/>
      <c r="WRY5" s="107"/>
      <c r="WRZ5" s="107"/>
      <c r="WSA5" s="107"/>
      <c r="WSB5" s="107"/>
      <c r="WSC5" s="107"/>
      <c r="WSD5" s="107"/>
      <c r="WSE5" s="107"/>
      <c r="WSF5" s="107"/>
      <c r="WSG5" s="107"/>
      <c r="WSH5" s="107"/>
      <c r="WSI5" s="107"/>
      <c r="WSJ5" s="107"/>
      <c r="WSK5" s="107"/>
      <c r="WSL5" s="107"/>
      <c r="WSM5" s="107"/>
      <c r="WSN5" s="107"/>
      <c r="WSO5" s="107"/>
      <c r="WSP5" s="107"/>
      <c r="WSQ5" s="107"/>
      <c r="WSR5" s="107"/>
      <c r="WSS5" s="107"/>
      <c r="WST5" s="107"/>
      <c r="WSU5" s="107"/>
      <c r="WSV5" s="107"/>
      <c r="WSW5" s="107"/>
      <c r="WSX5" s="107"/>
      <c r="WSY5" s="107"/>
      <c r="WSZ5" s="107"/>
      <c r="WTA5" s="107"/>
      <c r="WTB5" s="107"/>
      <c r="WTC5" s="107"/>
      <c r="WTD5" s="107"/>
      <c r="WTE5" s="107"/>
      <c r="WTF5" s="107"/>
      <c r="WTG5" s="107"/>
      <c r="WTH5" s="107"/>
      <c r="WTI5" s="107"/>
      <c r="WTJ5" s="107"/>
      <c r="WTK5" s="107"/>
      <c r="WTL5" s="107"/>
      <c r="WTM5" s="107"/>
      <c r="WTN5" s="107"/>
      <c r="WTO5" s="107"/>
      <c r="WTP5" s="107"/>
      <c r="WTQ5" s="107"/>
      <c r="WTR5" s="107"/>
      <c r="WTS5" s="107"/>
      <c r="WTT5" s="107"/>
      <c r="WTU5" s="107"/>
      <c r="WTV5" s="107"/>
      <c r="WTW5" s="107"/>
      <c r="WTX5" s="107"/>
      <c r="WTY5" s="107"/>
      <c r="WTZ5" s="107"/>
      <c r="WUA5" s="107"/>
      <c r="WUB5" s="107"/>
      <c r="WUC5" s="107"/>
      <c r="WUD5" s="107"/>
      <c r="WUE5" s="107"/>
      <c r="WUF5" s="107"/>
      <c r="WUG5" s="107"/>
      <c r="WUH5" s="107"/>
      <c r="WUI5" s="107"/>
      <c r="WUJ5" s="107"/>
      <c r="WUK5" s="107"/>
      <c r="WUL5" s="107"/>
      <c r="WUM5" s="107"/>
      <c r="WUN5" s="107"/>
      <c r="WUO5" s="107"/>
      <c r="WUP5" s="107"/>
      <c r="WUQ5" s="107"/>
      <c r="WUR5" s="107"/>
      <c r="WUS5" s="107"/>
      <c r="WUT5" s="107"/>
      <c r="WUU5" s="107"/>
      <c r="WUV5" s="107"/>
      <c r="WUW5" s="107"/>
      <c r="WUX5" s="107"/>
      <c r="WUY5" s="107"/>
      <c r="WUZ5" s="107"/>
      <c r="WVA5" s="107"/>
      <c r="WVB5" s="107"/>
      <c r="WVC5" s="107"/>
      <c r="WVD5" s="107"/>
      <c r="WVE5" s="107"/>
      <c r="WVF5" s="107"/>
      <c r="WVG5" s="107"/>
      <c r="WVH5" s="107"/>
      <c r="WVI5" s="107"/>
      <c r="WVJ5" s="107"/>
      <c r="WVK5" s="107"/>
      <c r="WVL5" s="107"/>
      <c r="WVM5" s="107"/>
      <c r="WVN5" s="107"/>
      <c r="WVO5" s="107"/>
      <c r="WVP5" s="107"/>
      <c r="WVQ5" s="107"/>
      <c r="WVR5" s="107"/>
      <c r="WVS5" s="107"/>
      <c r="WVT5" s="107"/>
      <c r="WVU5" s="107"/>
      <c r="WVV5" s="107"/>
      <c r="WVW5" s="107"/>
      <c r="WVX5" s="107"/>
      <c r="WVY5" s="107"/>
      <c r="WVZ5" s="107"/>
      <c r="WWA5" s="107"/>
      <c r="WWB5" s="107"/>
      <c r="WWC5" s="107"/>
      <c r="WWD5" s="107"/>
      <c r="WWE5" s="107"/>
      <c r="WWF5" s="107"/>
      <c r="WWG5" s="107"/>
      <c r="WWH5" s="107"/>
      <c r="WWI5" s="107"/>
      <c r="WWJ5" s="107"/>
      <c r="WWK5" s="107"/>
      <c r="WWL5" s="107"/>
      <c r="WWM5" s="107"/>
      <c r="WWN5" s="107"/>
      <c r="WWO5" s="107"/>
      <c r="WWP5" s="107"/>
      <c r="WWQ5" s="107"/>
      <c r="WWR5" s="107"/>
      <c r="WWS5" s="107"/>
      <c r="WWT5" s="107"/>
      <c r="WWU5" s="107"/>
      <c r="WWV5" s="107"/>
      <c r="WWW5" s="107"/>
      <c r="WWX5" s="107"/>
      <c r="WWY5" s="107"/>
      <c r="WWZ5" s="107"/>
      <c r="WXA5" s="107"/>
      <c r="WXB5" s="107"/>
      <c r="WXC5" s="107"/>
      <c r="WXD5" s="107"/>
      <c r="WXE5" s="107"/>
      <c r="WXF5" s="107"/>
      <c r="WXG5" s="107"/>
      <c r="WXH5" s="107"/>
      <c r="WXI5" s="107"/>
      <c r="WXJ5" s="107"/>
      <c r="WXK5" s="107"/>
      <c r="WXL5" s="107"/>
      <c r="WXM5" s="107"/>
      <c r="WXN5" s="107"/>
      <c r="WXO5" s="107"/>
      <c r="WXP5" s="107"/>
      <c r="WXQ5" s="107"/>
      <c r="WXR5" s="107"/>
      <c r="WXS5" s="107"/>
      <c r="WXT5" s="107"/>
      <c r="WXU5" s="107"/>
      <c r="WXV5" s="107"/>
      <c r="WXW5" s="107"/>
      <c r="WXX5" s="107"/>
      <c r="WXY5" s="107"/>
      <c r="WXZ5" s="107"/>
      <c r="WYA5" s="107"/>
      <c r="WYB5" s="107"/>
      <c r="WYC5" s="107"/>
      <c r="WYD5" s="107"/>
      <c r="WYE5" s="107"/>
      <c r="WYF5" s="107"/>
      <c r="WYG5" s="107"/>
      <c r="WYH5" s="107"/>
      <c r="WYI5" s="107"/>
      <c r="WYJ5" s="107"/>
      <c r="WYK5" s="107"/>
      <c r="WYL5" s="107"/>
      <c r="WYM5" s="107"/>
      <c r="WYN5" s="107"/>
      <c r="WYO5" s="107"/>
      <c r="WYP5" s="107"/>
      <c r="WYQ5" s="107"/>
      <c r="WYR5" s="107"/>
      <c r="WYS5" s="107"/>
      <c r="WYT5" s="107"/>
      <c r="WYU5" s="107"/>
      <c r="WYV5" s="107"/>
      <c r="WYW5" s="107"/>
      <c r="WYX5" s="107"/>
      <c r="WYY5" s="107"/>
      <c r="WYZ5" s="107"/>
      <c r="WZA5" s="107"/>
      <c r="WZB5" s="107"/>
      <c r="WZC5" s="107"/>
      <c r="WZD5" s="107"/>
      <c r="WZE5" s="107"/>
      <c r="WZF5" s="107"/>
      <c r="WZG5" s="107"/>
      <c r="WZH5" s="107"/>
      <c r="WZI5" s="107"/>
      <c r="WZJ5" s="107"/>
      <c r="WZK5" s="107"/>
      <c r="WZL5" s="107"/>
      <c r="WZM5" s="107"/>
      <c r="WZN5" s="107"/>
      <c r="WZO5" s="107"/>
      <c r="WZP5" s="107"/>
      <c r="WZQ5" s="107"/>
      <c r="WZR5" s="107"/>
      <c r="WZS5" s="107"/>
      <c r="WZT5" s="107"/>
      <c r="WZU5" s="107"/>
      <c r="WZV5" s="107"/>
      <c r="WZW5" s="107"/>
      <c r="WZX5" s="107"/>
      <c r="WZY5" s="107"/>
      <c r="WZZ5" s="107"/>
      <c r="XAA5" s="107"/>
      <c r="XAB5" s="107"/>
      <c r="XAC5" s="107"/>
      <c r="XAD5" s="107"/>
      <c r="XAE5" s="107"/>
      <c r="XAF5" s="107"/>
      <c r="XAG5" s="107"/>
      <c r="XAH5" s="107"/>
      <c r="XAI5" s="107"/>
      <c r="XAJ5" s="107"/>
      <c r="XAK5" s="107"/>
      <c r="XAL5" s="107"/>
      <c r="XAM5" s="107"/>
      <c r="XAN5" s="107"/>
      <c r="XAO5" s="107"/>
      <c r="XAP5" s="107"/>
      <c r="XAQ5" s="107"/>
      <c r="XAR5" s="107"/>
      <c r="XAS5" s="107"/>
      <c r="XAT5" s="107"/>
      <c r="XAU5" s="107"/>
      <c r="XAV5" s="107"/>
      <c r="XAW5" s="107"/>
      <c r="XAX5" s="107"/>
      <c r="XAY5" s="107"/>
      <c r="XAZ5" s="107"/>
      <c r="XBA5" s="107"/>
      <c r="XBB5" s="107"/>
      <c r="XBC5" s="107"/>
      <c r="XBD5" s="107"/>
      <c r="XBE5" s="107"/>
      <c r="XBF5" s="107"/>
      <c r="XBG5" s="107"/>
      <c r="XBH5" s="107"/>
      <c r="XBI5" s="107"/>
      <c r="XBJ5" s="107"/>
      <c r="XBK5" s="107"/>
      <c r="XBL5" s="107"/>
      <c r="XBM5" s="107"/>
      <c r="XBN5" s="107"/>
      <c r="XBO5" s="107"/>
      <c r="XBP5" s="107"/>
      <c r="XBQ5" s="107"/>
      <c r="XBR5" s="107"/>
      <c r="XBS5" s="107"/>
      <c r="XBT5" s="107"/>
      <c r="XBU5" s="107"/>
      <c r="XBV5" s="107"/>
      <c r="XBW5" s="107"/>
      <c r="XBX5" s="107"/>
      <c r="XBY5" s="107"/>
      <c r="XBZ5" s="107"/>
      <c r="XCA5" s="107"/>
      <c r="XCB5" s="107"/>
      <c r="XCC5" s="107"/>
      <c r="XCD5" s="107"/>
      <c r="XCE5" s="107"/>
      <c r="XCF5" s="107"/>
      <c r="XCG5" s="107"/>
      <c r="XCH5" s="107"/>
      <c r="XCI5" s="107"/>
      <c r="XCJ5" s="107"/>
      <c r="XCK5" s="107"/>
      <c r="XCL5" s="107"/>
      <c r="XCM5" s="107"/>
      <c r="XCN5" s="107"/>
      <c r="XCO5" s="107"/>
      <c r="XCP5" s="107"/>
      <c r="XCQ5" s="107"/>
      <c r="XCR5" s="107"/>
      <c r="XCS5" s="107"/>
      <c r="XCT5" s="107"/>
      <c r="XCU5" s="107"/>
      <c r="XCV5" s="107"/>
      <c r="XCW5" s="107"/>
      <c r="XCX5" s="107"/>
      <c r="XCY5" s="107"/>
      <c r="XCZ5" s="107"/>
      <c r="XDA5" s="107"/>
      <c r="XDB5" s="107"/>
      <c r="XDC5" s="107"/>
      <c r="XDD5" s="107"/>
      <c r="XDE5" s="107"/>
      <c r="XDF5" s="107"/>
      <c r="XDG5" s="107"/>
      <c r="XDH5" s="107"/>
      <c r="XDI5" s="107"/>
      <c r="XDJ5" s="107"/>
      <c r="XDK5" s="107"/>
      <c r="XDL5" s="107"/>
      <c r="XDM5" s="107"/>
      <c r="XDN5" s="107"/>
      <c r="XDO5" s="107"/>
      <c r="XDP5" s="107"/>
      <c r="XDQ5" s="107"/>
      <c r="XDR5" s="107"/>
      <c r="XDS5" s="107"/>
      <c r="XDT5" s="107"/>
      <c r="XDU5" s="107"/>
      <c r="XDV5" s="107"/>
      <c r="XDW5" s="107"/>
      <c r="XDX5" s="107"/>
      <c r="XDY5" s="107"/>
      <c r="XDZ5" s="107"/>
      <c r="XEA5" s="107"/>
      <c r="XEB5" s="107"/>
      <c r="XEC5" s="107"/>
      <c r="XED5" s="107"/>
      <c r="XEE5" s="107"/>
      <c r="XEF5" s="107"/>
      <c r="XEG5" s="107"/>
      <c r="XEH5" s="107"/>
      <c r="XEI5" s="107"/>
      <c r="XEJ5" s="107"/>
      <c r="XEK5" s="107"/>
      <c r="XEL5" s="107"/>
      <c r="XEM5" s="107"/>
      <c r="XEN5" s="107"/>
      <c r="XEO5" s="107"/>
      <c r="XEP5" s="107"/>
      <c r="XEQ5" s="107"/>
      <c r="XER5" s="107"/>
      <c r="XES5" s="107"/>
      <c r="XET5" s="107"/>
      <c r="XEU5" s="107"/>
      <c r="XEV5" s="107"/>
      <c r="XEW5" s="107"/>
      <c r="XEX5" s="107"/>
      <c r="XEY5" s="107"/>
      <c r="XEZ5" s="107"/>
      <c r="XFA5" s="107"/>
      <c r="XFB5" s="107"/>
      <c r="XFC5" s="107"/>
      <c r="XFD5" s="107"/>
    </row>
    <row r="6" spans="1:16384" customFormat="1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>
        <f>SUM(I6:AT6)</f>
        <v>0</v>
      </c>
    </row>
    <row r="7" spans="1:16384" customFormat="1">
      <c r="A7" s="102"/>
      <c r="B7" s="23">
        <v>1</v>
      </c>
      <c r="C7" s="33" t="s">
        <v>171</v>
      </c>
      <c r="D7" s="9" t="s">
        <v>88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9"/>
      <c r="L7" s="49"/>
      <c r="M7" s="47">
        <v>1</v>
      </c>
      <c r="N7" s="47">
        <v>1</v>
      </c>
      <c r="O7" s="47">
        <v>1</v>
      </c>
      <c r="P7" s="47">
        <v>1</v>
      </c>
      <c r="Q7" s="47">
        <v>1</v>
      </c>
      <c r="R7" s="47">
        <v>1</v>
      </c>
      <c r="S7" s="47">
        <v>1</v>
      </c>
      <c r="T7" s="49"/>
      <c r="U7" s="49"/>
      <c r="V7" s="47">
        <v>0</v>
      </c>
      <c r="W7" s="47">
        <v>1</v>
      </c>
      <c r="X7" s="47">
        <v>1</v>
      </c>
      <c r="Y7" s="47">
        <v>1</v>
      </c>
      <c r="Z7" s="47"/>
      <c r="AA7" s="47">
        <v>1</v>
      </c>
      <c r="AB7" s="47">
        <v>1</v>
      </c>
      <c r="AC7" s="49"/>
      <c r="AD7" s="49"/>
      <c r="AE7" s="47">
        <v>1</v>
      </c>
      <c r="AF7" s="47">
        <v>1</v>
      </c>
      <c r="AG7" s="47">
        <v>1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 t="shared" ref="AU7:AU46" si="1">SUM(I7:AT7)</f>
        <v>17</v>
      </c>
    </row>
    <row r="8" spans="1:16384" customFormat="1">
      <c r="A8" s="102"/>
      <c r="B8" s="23">
        <v>2</v>
      </c>
      <c r="C8" s="24" t="s">
        <v>172</v>
      </c>
      <c r="D8" s="9" t="s">
        <v>88</v>
      </c>
      <c r="E8" s="50">
        <v>1</v>
      </c>
      <c r="F8" s="50">
        <v>1</v>
      </c>
      <c r="G8" s="50">
        <v>1</v>
      </c>
      <c r="H8" s="50">
        <v>1</v>
      </c>
      <c r="I8" s="50">
        <v>1</v>
      </c>
      <c r="J8" s="50">
        <v>1</v>
      </c>
      <c r="K8" s="52"/>
      <c r="L8" s="52"/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0</v>
      </c>
      <c r="T8" s="52"/>
      <c r="U8" s="52"/>
      <c r="V8" s="50">
        <v>1</v>
      </c>
      <c r="W8" s="50">
        <v>1</v>
      </c>
      <c r="X8" s="50">
        <v>1</v>
      </c>
      <c r="Y8" s="50">
        <v>0</v>
      </c>
      <c r="Z8" s="50"/>
      <c r="AA8" s="50">
        <v>1</v>
      </c>
      <c r="AB8" s="50">
        <v>1</v>
      </c>
      <c r="AC8" s="52"/>
      <c r="AD8" s="52"/>
      <c r="AE8" s="50">
        <v>1</v>
      </c>
      <c r="AF8" s="50">
        <v>1</v>
      </c>
      <c r="AG8" s="50">
        <v>0</v>
      </c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si="1"/>
        <v>15</v>
      </c>
    </row>
    <row r="9" spans="1:16384" customFormat="1">
      <c r="A9" s="102"/>
      <c r="B9" s="23">
        <v>3</v>
      </c>
      <c r="C9" s="24" t="s">
        <v>173</v>
      </c>
      <c r="D9" s="9" t="s">
        <v>88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50">
        <v>1</v>
      </c>
      <c r="K9" s="52"/>
      <c r="L9" s="52"/>
      <c r="M9" s="50">
        <v>1</v>
      </c>
      <c r="N9" s="50">
        <v>1</v>
      </c>
      <c r="O9" s="50">
        <v>1</v>
      </c>
      <c r="P9" s="50">
        <v>0</v>
      </c>
      <c r="Q9" s="50">
        <v>1</v>
      </c>
      <c r="R9" s="50">
        <v>1</v>
      </c>
      <c r="S9" s="50">
        <v>1</v>
      </c>
      <c r="T9" s="52"/>
      <c r="U9" s="52"/>
      <c r="V9" s="50">
        <v>1</v>
      </c>
      <c r="W9" s="50">
        <v>1</v>
      </c>
      <c r="X9" s="50">
        <v>1</v>
      </c>
      <c r="Y9" s="50">
        <v>1</v>
      </c>
      <c r="Z9" s="50"/>
      <c r="AA9" s="50">
        <v>0</v>
      </c>
      <c r="AB9" s="50">
        <v>1</v>
      </c>
      <c r="AC9" s="52"/>
      <c r="AD9" s="52"/>
      <c r="AE9" s="50">
        <v>0</v>
      </c>
      <c r="AF9" s="50">
        <v>1</v>
      </c>
      <c r="AG9" s="50">
        <v>0</v>
      </c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14</v>
      </c>
    </row>
    <row r="10" spans="1:16384" customFormat="1">
      <c r="A10" s="102"/>
      <c r="B10" s="23">
        <v>4</v>
      </c>
      <c r="C10" s="24" t="s">
        <v>174</v>
      </c>
      <c r="D10" s="9" t="s">
        <v>88</v>
      </c>
      <c r="E10" s="50">
        <v>1</v>
      </c>
      <c r="F10" s="50">
        <v>1</v>
      </c>
      <c r="G10" s="50">
        <v>1</v>
      </c>
      <c r="H10" s="50">
        <v>1</v>
      </c>
      <c r="I10" s="50">
        <v>1</v>
      </c>
      <c r="J10" s="50">
        <v>1</v>
      </c>
      <c r="K10" s="52"/>
      <c r="L10" s="52"/>
      <c r="M10" s="50">
        <v>1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2"/>
      <c r="U10" s="52"/>
      <c r="V10" s="50">
        <v>0</v>
      </c>
      <c r="W10" s="50">
        <v>1</v>
      </c>
      <c r="X10" s="50">
        <v>1</v>
      </c>
      <c r="Y10" s="50">
        <v>1</v>
      </c>
      <c r="Z10" s="50"/>
      <c r="AA10" s="50">
        <v>1</v>
      </c>
      <c r="AB10" s="50">
        <v>1</v>
      </c>
      <c r="AC10" s="52"/>
      <c r="AD10" s="52"/>
      <c r="AE10" s="50">
        <v>1</v>
      </c>
      <c r="AF10" s="50">
        <v>1</v>
      </c>
      <c r="AG10" s="50">
        <v>0</v>
      </c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16</v>
      </c>
    </row>
    <row r="11" spans="1:16384" customFormat="1">
      <c r="A11" s="102"/>
      <c r="B11" s="23">
        <v>5</v>
      </c>
      <c r="C11" s="24" t="s">
        <v>175</v>
      </c>
      <c r="D11" s="9" t="s">
        <v>88</v>
      </c>
      <c r="E11" s="50">
        <v>1</v>
      </c>
      <c r="F11" s="50">
        <v>1</v>
      </c>
      <c r="G11" s="50">
        <v>1</v>
      </c>
      <c r="H11" s="50">
        <v>1</v>
      </c>
      <c r="I11" s="50">
        <v>1</v>
      </c>
      <c r="J11" s="50">
        <v>1</v>
      </c>
      <c r="K11" s="52"/>
      <c r="L11" s="52"/>
      <c r="M11" s="50">
        <v>1</v>
      </c>
      <c r="N11" s="50">
        <v>1</v>
      </c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2"/>
      <c r="U11" s="52"/>
      <c r="V11" s="50">
        <v>1</v>
      </c>
      <c r="W11" s="50">
        <v>0</v>
      </c>
      <c r="X11" s="50">
        <v>0</v>
      </c>
      <c r="Y11" s="50">
        <v>1</v>
      </c>
      <c r="Z11" s="50"/>
      <c r="AA11" s="50">
        <v>1</v>
      </c>
      <c r="AB11" s="50">
        <v>1</v>
      </c>
      <c r="AC11" s="52"/>
      <c r="AD11" s="52"/>
      <c r="AE11" s="50">
        <v>1</v>
      </c>
      <c r="AF11" s="50">
        <v>1</v>
      </c>
      <c r="AG11" s="50">
        <v>1</v>
      </c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16</v>
      </c>
    </row>
    <row r="12" spans="1:16384" customFormat="1">
      <c r="A12" s="102"/>
      <c r="B12" s="23">
        <v>6</v>
      </c>
      <c r="C12" s="24" t="s">
        <v>176</v>
      </c>
      <c r="D12" s="9" t="s">
        <v>88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1</v>
      </c>
      <c r="K12" s="52"/>
      <c r="L12" s="52"/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0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/>
      <c r="AA12" s="50">
        <v>1</v>
      </c>
      <c r="AB12" s="50">
        <v>1</v>
      </c>
      <c r="AC12" s="52"/>
      <c r="AD12" s="52"/>
      <c r="AE12" s="50">
        <v>1</v>
      </c>
      <c r="AF12" s="50">
        <v>1</v>
      </c>
      <c r="AG12" s="50">
        <v>1</v>
      </c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17</v>
      </c>
    </row>
    <row r="13" spans="1:16384" customFormat="1">
      <c r="A13" s="102"/>
      <c r="B13" s="23">
        <v>7</v>
      </c>
      <c r="C13" s="24" t="s">
        <v>177</v>
      </c>
      <c r="D13" s="9" t="s">
        <v>88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J13" s="50">
        <v>0</v>
      </c>
      <c r="K13" s="52"/>
      <c r="L13" s="52"/>
      <c r="M13" s="50">
        <v>1</v>
      </c>
      <c r="N13" s="50">
        <v>1</v>
      </c>
      <c r="O13" s="50">
        <v>1</v>
      </c>
      <c r="P13" s="50">
        <v>1</v>
      </c>
      <c r="Q13" s="50">
        <v>0</v>
      </c>
      <c r="R13" s="50">
        <v>1</v>
      </c>
      <c r="S13" s="50">
        <v>0</v>
      </c>
      <c r="T13" s="52"/>
      <c r="U13" s="52"/>
      <c r="V13" s="50">
        <v>1</v>
      </c>
      <c r="W13" s="50">
        <v>1</v>
      </c>
      <c r="X13" s="50">
        <v>1</v>
      </c>
      <c r="Y13" s="50">
        <v>1</v>
      </c>
      <c r="Z13" s="50"/>
      <c r="AA13" s="50">
        <v>1</v>
      </c>
      <c r="AB13" s="50">
        <v>1</v>
      </c>
      <c r="AC13" s="52"/>
      <c r="AD13" s="52"/>
      <c r="AE13" s="50">
        <v>1</v>
      </c>
      <c r="AF13" s="50">
        <v>0</v>
      </c>
      <c r="AG13" s="50">
        <v>1</v>
      </c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14</v>
      </c>
    </row>
    <row r="14" spans="1:16384" customFormat="1">
      <c r="A14" s="102"/>
      <c r="B14" s="23">
        <v>8</v>
      </c>
      <c r="C14" s="24" t="s">
        <v>178</v>
      </c>
      <c r="D14" s="9" t="s">
        <v>88</v>
      </c>
      <c r="E14" s="50">
        <v>1</v>
      </c>
      <c r="F14" s="50">
        <v>1</v>
      </c>
      <c r="G14" s="50">
        <v>1</v>
      </c>
      <c r="H14" s="50">
        <v>1</v>
      </c>
      <c r="I14" s="50">
        <v>1</v>
      </c>
      <c r="J14" s="50">
        <v>1</v>
      </c>
      <c r="K14" s="52"/>
      <c r="L14" s="52"/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2"/>
      <c r="U14" s="52"/>
      <c r="V14" s="50">
        <v>1</v>
      </c>
      <c r="W14" s="50">
        <v>1</v>
      </c>
      <c r="X14" s="50">
        <v>1</v>
      </c>
      <c r="Y14" s="50">
        <v>1</v>
      </c>
      <c r="Z14" s="50"/>
      <c r="AA14" s="50">
        <v>0</v>
      </c>
      <c r="AB14" s="50">
        <v>1</v>
      </c>
      <c r="AC14" s="52"/>
      <c r="AD14" s="52"/>
      <c r="AE14" s="50">
        <v>1</v>
      </c>
      <c r="AF14" s="50">
        <v>1</v>
      </c>
      <c r="AG14" s="50">
        <v>1</v>
      </c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17</v>
      </c>
    </row>
    <row r="15" spans="1:16384" customFormat="1">
      <c r="A15" s="102"/>
      <c r="B15" s="23">
        <v>9</v>
      </c>
      <c r="C15" s="24" t="s">
        <v>179</v>
      </c>
      <c r="D15" s="9" t="s">
        <v>88</v>
      </c>
      <c r="E15" s="47">
        <v>1</v>
      </c>
      <c r="F15" s="47">
        <v>0</v>
      </c>
      <c r="G15" s="47">
        <v>1</v>
      </c>
      <c r="H15" s="47">
        <v>1</v>
      </c>
      <c r="I15" s="47">
        <v>1</v>
      </c>
      <c r="J15" s="47">
        <v>0</v>
      </c>
      <c r="K15" s="49"/>
      <c r="L15" s="49"/>
      <c r="M15" s="47">
        <v>1</v>
      </c>
      <c r="N15" s="47">
        <v>1</v>
      </c>
      <c r="O15" s="47">
        <v>1</v>
      </c>
      <c r="P15" s="47">
        <v>1</v>
      </c>
      <c r="Q15" s="47">
        <v>1</v>
      </c>
      <c r="R15" s="47">
        <v>1</v>
      </c>
      <c r="S15" s="47">
        <v>0</v>
      </c>
      <c r="T15" s="49"/>
      <c r="U15" s="49"/>
      <c r="V15" s="47">
        <v>1</v>
      </c>
      <c r="W15" s="47">
        <v>0</v>
      </c>
      <c r="X15" s="47">
        <v>0</v>
      </c>
      <c r="Y15" s="47">
        <v>1</v>
      </c>
      <c r="Z15" s="47"/>
      <c r="AA15" s="47">
        <v>1</v>
      </c>
      <c r="AB15" s="47">
        <v>1</v>
      </c>
      <c r="AC15" s="49"/>
      <c r="AD15" s="49"/>
      <c r="AE15" s="47">
        <v>1</v>
      </c>
      <c r="AF15" s="47">
        <v>0</v>
      </c>
      <c r="AG15" s="47">
        <v>0</v>
      </c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12</v>
      </c>
    </row>
    <row r="16" spans="1:16384" customFormat="1">
      <c r="A16" s="102"/>
      <c r="B16" s="23">
        <v>10</v>
      </c>
      <c r="C16" s="24" t="s">
        <v>180</v>
      </c>
      <c r="D16" s="9" t="s">
        <v>88</v>
      </c>
      <c r="E16" s="50">
        <v>1</v>
      </c>
      <c r="F16" s="50">
        <v>1</v>
      </c>
      <c r="G16" s="50">
        <v>1</v>
      </c>
      <c r="H16" s="50">
        <v>1</v>
      </c>
      <c r="I16" s="50">
        <v>1</v>
      </c>
      <c r="J16" s="50">
        <v>1</v>
      </c>
      <c r="K16" s="52"/>
      <c r="L16" s="52"/>
      <c r="M16" s="50">
        <v>1</v>
      </c>
      <c r="N16" s="50">
        <v>1</v>
      </c>
      <c r="O16" s="50">
        <v>1</v>
      </c>
      <c r="P16" s="50">
        <v>0</v>
      </c>
      <c r="Q16" s="50">
        <v>1</v>
      </c>
      <c r="R16" s="50">
        <v>1</v>
      </c>
      <c r="S16" s="50">
        <v>1</v>
      </c>
      <c r="T16" s="52"/>
      <c r="U16" s="52"/>
      <c r="V16" s="50">
        <v>1</v>
      </c>
      <c r="W16" s="50">
        <v>1</v>
      </c>
      <c r="X16" s="50">
        <v>1</v>
      </c>
      <c r="Y16" s="50">
        <v>1</v>
      </c>
      <c r="Z16" s="50"/>
      <c r="AA16" s="50">
        <v>1</v>
      </c>
      <c r="AB16" s="50">
        <v>1</v>
      </c>
      <c r="AC16" s="52"/>
      <c r="AD16" s="52"/>
      <c r="AE16" s="50">
        <v>1</v>
      </c>
      <c r="AF16" s="50">
        <v>1</v>
      </c>
      <c r="AG16" s="50">
        <v>1</v>
      </c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17</v>
      </c>
    </row>
    <row r="17" spans="1:47">
      <c r="A17" s="102"/>
      <c r="B17" s="23">
        <v>11</v>
      </c>
      <c r="C17" s="24" t="s">
        <v>181</v>
      </c>
      <c r="D17" s="9" t="s">
        <v>88</v>
      </c>
      <c r="E17" s="50">
        <v>1</v>
      </c>
      <c r="F17" s="50">
        <v>1</v>
      </c>
      <c r="G17" s="50">
        <v>1</v>
      </c>
      <c r="H17" s="50">
        <v>1</v>
      </c>
      <c r="I17" s="50">
        <v>0</v>
      </c>
      <c r="J17" s="50">
        <v>0</v>
      </c>
      <c r="K17" s="52"/>
      <c r="L17" s="52"/>
      <c r="M17" s="50">
        <v>1</v>
      </c>
      <c r="N17" s="50">
        <v>0</v>
      </c>
      <c r="O17" s="50">
        <v>1</v>
      </c>
      <c r="P17" s="50">
        <v>1</v>
      </c>
      <c r="Q17" s="50">
        <v>1</v>
      </c>
      <c r="R17" s="50">
        <v>1</v>
      </c>
      <c r="S17" s="50">
        <v>1</v>
      </c>
      <c r="T17" s="52"/>
      <c r="U17" s="52"/>
      <c r="V17" s="50">
        <v>1</v>
      </c>
      <c r="W17" s="50">
        <v>1</v>
      </c>
      <c r="X17" s="50">
        <v>1</v>
      </c>
      <c r="Y17" s="50">
        <v>1</v>
      </c>
      <c r="Z17" s="50"/>
      <c r="AA17" s="50">
        <v>0</v>
      </c>
      <c r="AB17" s="50">
        <v>1</v>
      </c>
      <c r="AC17" s="52"/>
      <c r="AD17" s="52"/>
      <c r="AE17" s="50">
        <v>1</v>
      </c>
      <c r="AF17" s="50">
        <v>0</v>
      </c>
      <c r="AG17" s="50">
        <v>0</v>
      </c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12</v>
      </c>
    </row>
    <row r="18" spans="1:47">
      <c r="A18" s="102"/>
      <c r="B18" s="23">
        <v>12</v>
      </c>
      <c r="C18" s="24" t="s">
        <v>182</v>
      </c>
      <c r="D18" s="9" t="s">
        <v>88</v>
      </c>
      <c r="E18" s="87">
        <v>0</v>
      </c>
      <c r="F18" s="50">
        <v>1</v>
      </c>
      <c r="G18" s="50">
        <v>1</v>
      </c>
      <c r="H18" s="50">
        <v>1</v>
      </c>
      <c r="I18" s="50">
        <v>1</v>
      </c>
      <c r="J18" s="50">
        <v>1</v>
      </c>
      <c r="K18" s="52"/>
      <c r="L18" s="52"/>
      <c r="M18" s="50">
        <v>1</v>
      </c>
      <c r="N18" s="50">
        <v>1</v>
      </c>
      <c r="O18" s="50">
        <v>1</v>
      </c>
      <c r="P18" s="50">
        <v>1</v>
      </c>
      <c r="Q18" s="50">
        <v>1</v>
      </c>
      <c r="R18" s="50">
        <v>1</v>
      </c>
      <c r="S18" s="50">
        <v>0</v>
      </c>
      <c r="T18" s="52"/>
      <c r="U18" s="52"/>
      <c r="V18" s="50">
        <v>0</v>
      </c>
      <c r="W18" s="50">
        <v>1</v>
      </c>
      <c r="X18" s="50">
        <v>1</v>
      </c>
      <c r="Y18" s="50">
        <v>1</v>
      </c>
      <c r="Z18" s="50"/>
      <c r="AA18" s="50">
        <v>1</v>
      </c>
      <c r="AB18" s="50">
        <v>0</v>
      </c>
      <c r="AC18" s="52"/>
      <c r="AD18" s="52"/>
      <c r="AE18" s="50">
        <v>1</v>
      </c>
      <c r="AF18" s="50">
        <v>1</v>
      </c>
      <c r="AG18" s="50">
        <v>0</v>
      </c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14</v>
      </c>
    </row>
    <row r="19" spans="1:47">
      <c r="A19" s="102"/>
      <c r="B19" s="23">
        <v>13</v>
      </c>
      <c r="C19" s="24" t="s">
        <v>183</v>
      </c>
      <c r="D19" s="9" t="s">
        <v>88</v>
      </c>
      <c r="E19" s="87">
        <v>0</v>
      </c>
      <c r="F19" s="87">
        <v>0</v>
      </c>
      <c r="G19" s="50">
        <v>1</v>
      </c>
      <c r="H19" s="50">
        <v>0</v>
      </c>
      <c r="I19" s="50">
        <v>1</v>
      </c>
      <c r="J19" s="50">
        <v>1</v>
      </c>
      <c r="K19" s="52"/>
      <c r="L19" s="52"/>
      <c r="M19" s="50">
        <v>1</v>
      </c>
      <c r="N19" s="50">
        <v>1</v>
      </c>
      <c r="O19" s="50">
        <v>1</v>
      </c>
      <c r="P19" s="50">
        <v>1</v>
      </c>
      <c r="Q19" s="50">
        <v>1</v>
      </c>
      <c r="R19" s="50">
        <v>1</v>
      </c>
      <c r="S19" s="50">
        <v>1</v>
      </c>
      <c r="T19" s="52"/>
      <c r="U19" s="52"/>
      <c r="V19" s="50">
        <v>1</v>
      </c>
      <c r="W19" s="50">
        <v>1</v>
      </c>
      <c r="X19" s="50">
        <v>1</v>
      </c>
      <c r="Y19" s="50">
        <v>1</v>
      </c>
      <c r="Z19" s="50"/>
      <c r="AA19" s="50">
        <v>1</v>
      </c>
      <c r="AB19" s="50">
        <v>1</v>
      </c>
      <c r="AC19" s="52"/>
      <c r="AD19" s="52"/>
      <c r="AE19" s="50">
        <v>1</v>
      </c>
      <c r="AF19" s="50">
        <v>0</v>
      </c>
      <c r="AG19" s="50">
        <v>1</v>
      </c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17</v>
      </c>
    </row>
    <row r="20" spans="1:47">
      <c r="A20" s="102"/>
      <c r="B20" s="23">
        <v>14</v>
      </c>
      <c r="C20" s="24" t="s">
        <v>184</v>
      </c>
      <c r="D20" s="9" t="s">
        <v>88</v>
      </c>
      <c r="E20" s="87">
        <v>0</v>
      </c>
      <c r="F20" s="87">
        <v>0</v>
      </c>
      <c r="G20" s="87">
        <v>0</v>
      </c>
      <c r="H20" s="50">
        <v>1</v>
      </c>
      <c r="I20" s="50">
        <v>1</v>
      </c>
      <c r="J20" s="50">
        <v>0</v>
      </c>
      <c r="K20" s="52"/>
      <c r="L20" s="52"/>
      <c r="M20" s="50">
        <v>1</v>
      </c>
      <c r="N20" s="50">
        <v>1</v>
      </c>
      <c r="O20" s="50">
        <v>1</v>
      </c>
      <c r="P20" s="50">
        <v>1</v>
      </c>
      <c r="Q20" s="50">
        <v>1</v>
      </c>
      <c r="R20" s="50">
        <v>1</v>
      </c>
      <c r="S20" s="50">
        <v>1</v>
      </c>
      <c r="T20" s="52"/>
      <c r="U20" s="52"/>
      <c r="V20" s="50">
        <v>1</v>
      </c>
      <c r="W20" s="50">
        <v>1</v>
      </c>
      <c r="X20" s="50">
        <v>1</v>
      </c>
      <c r="Y20" s="50">
        <v>1</v>
      </c>
      <c r="Z20" s="50"/>
      <c r="AA20" s="50">
        <v>1</v>
      </c>
      <c r="AB20" s="50">
        <v>1</v>
      </c>
      <c r="AC20" s="52"/>
      <c r="AD20" s="52"/>
      <c r="AE20" s="50">
        <v>1</v>
      </c>
      <c r="AF20" s="50">
        <v>1</v>
      </c>
      <c r="AG20" s="50">
        <v>1</v>
      </c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17</v>
      </c>
    </row>
    <row r="21" spans="1:47">
      <c r="A21" s="102"/>
      <c r="B21" s="23">
        <v>15</v>
      </c>
      <c r="C21" s="24" t="s">
        <v>185</v>
      </c>
      <c r="D21" s="9" t="s">
        <v>88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52"/>
      <c r="L21" s="52"/>
      <c r="M21" s="50">
        <v>1</v>
      </c>
      <c r="N21" s="50">
        <v>1</v>
      </c>
      <c r="O21" s="50">
        <v>1</v>
      </c>
      <c r="P21" s="50">
        <v>1</v>
      </c>
      <c r="Q21" s="50">
        <v>1</v>
      </c>
      <c r="R21" s="50">
        <v>0</v>
      </c>
      <c r="S21" s="50">
        <v>0</v>
      </c>
      <c r="T21" s="52"/>
      <c r="U21" s="52"/>
      <c r="V21" s="50">
        <v>1</v>
      </c>
      <c r="W21" s="50">
        <v>1</v>
      </c>
      <c r="X21" s="50">
        <v>1</v>
      </c>
      <c r="Y21" s="50">
        <v>1</v>
      </c>
      <c r="Z21" s="50"/>
      <c r="AA21" s="50">
        <v>1</v>
      </c>
      <c r="AB21" s="50">
        <v>1</v>
      </c>
      <c r="AC21" s="52"/>
      <c r="AD21" s="52"/>
      <c r="AE21" s="50">
        <v>1</v>
      </c>
      <c r="AF21" s="50">
        <v>1</v>
      </c>
      <c r="AG21" s="50">
        <v>1</v>
      </c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14</v>
      </c>
    </row>
    <row r="22" spans="1:47">
      <c r="A22" s="102"/>
      <c r="B22" s="23">
        <v>16</v>
      </c>
      <c r="C22" s="24" t="s">
        <v>186</v>
      </c>
      <c r="D22" s="9" t="s">
        <v>94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52"/>
      <c r="L22" s="52"/>
      <c r="M22" s="50">
        <v>1</v>
      </c>
      <c r="N22" s="50">
        <v>1</v>
      </c>
      <c r="O22" s="50">
        <v>1</v>
      </c>
      <c r="P22" s="50">
        <v>1</v>
      </c>
      <c r="Q22" s="50">
        <v>1</v>
      </c>
      <c r="R22" s="50">
        <v>1</v>
      </c>
      <c r="S22" s="50">
        <v>1</v>
      </c>
      <c r="T22" s="52"/>
      <c r="U22" s="52"/>
      <c r="V22" s="50">
        <v>1</v>
      </c>
      <c r="W22" s="50">
        <v>1</v>
      </c>
      <c r="X22" s="50">
        <v>1</v>
      </c>
      <c r="Y22" s="50">
        <v>1</v>
      </c>
      <c r="Z22" s="50"/>
      <c r="AA22" s="50">
        <v>1</v>
      </c>
      <c r="AB22" s="50">
        <v>1</v>
      </c>
      <c r="AC22" s="52"/>
      <c r="AD22" s="52"/>
      <c r="AE22" s="50">
        <v>1</v>
      </c>
      <c r="AF22" s="50">
        <v>1</v>
      </c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15</v>
      </c>
    </row>
    <row r="23" spans="1:47" ht="19.5">
      <c r="A23" s="3"/>
      <c r="B23" s="68">
        <v>16</v>
      </c>
      <c r="C23" s="12" t="s">
        <v>48</v>
      </c>
      <c r="D23" s="7"/>
      <c r="E23" s="8">
        <f>COUNTIF(E7:E22,"1")</f>
        <v>11</v>
      </c>
      <c r="F23" s="8">
        <f t="shared" ref="F23:AT23" si="2">COUNTIF(F7:F22,"1")</f>
        <v>11</v>
      </c>
      <c r="G23" s="8">
        <f t="shared" si="2"/>
        <v>13</v>
      </c>
      <c r="H23" s="8">
        <f t="shared" si="2"/>
        <v>13</v>
      </c>
      <c r="I23" s="8">
        <f t="shared" si="2"/>
        <v>13</v>
      </c>
      <c r="J23" s="8">
        <f t="shared" si="2"/>
        <v>10</v>
      </c>
      <c r="K23" s="8">
        <f t="shared" si="2"/>
        <v>0</v>
      </c>
      <c r="L23" s="8">
        <f t="shared" si="2"/>
        <v>0</v>
      </c>
      <c r="M23" s="8">
        <f t="shared" si="2"/>
        <v>16</v>
      </c>
      <c r="N23" s="8">
        <f t="shared" si="2"/>
        <v>15</v>
      </c>
      <c r="O23" s="8">
        <f t="shared" si="2"/>
        <v>16</v>
      </c>
      <c r="P23" s="8">
        <f t="shared" si="2"/>
        <v>14</v>
      </c>
      <c r="Q23" s="8">
        <f t="shared" si="2"/>
        <v>15</v>
      </c>
      <c r="R23" s="8">
        <f t="shared" si="2"/>
        <v>15</v>
      </c>
      <c r="S23" s="8">
        <f t="shared" si="2"/>
        <v>10</v>
      </c>
      <c r="T23" s="8">
        <f t="shared" si="2"/>
        <v>0</v>
      </c>
      <c r="U23" s="8">
        <f t="shared" si="2"/>
        <v>0</v>
      </c>
      <c r="V23" s="8">
        <f t="shared" si="2"/>
        <v>13</v>
      </c>
      <c r="W23" s="8">
        <f t="shared" si="2"/>
        <v>14</v>
      </c>
      <c r="X23" s="8">
        <f t="shared" si="2"/>
        <v>14</v>
      </c>
      <c r="Y23" s="8">
        <f t="shared" si="2"/>
        <v>15</v>
      </c>
      <c r="Z23" s="8">
        <f t="shared" si="2"/>
        <v>0</v>
      </c>
      <c r="AA23" s="8">
        <f t="shared" si="2"/>
        <v>13</v>
      </c>
      <c r="AB23" s="8">
        <f t="shared" si="2"/>
        <v>15</v>
      </c>
      <c r="AC23" s="8">
        <f t="shared" si="2"/>
        <v>0</v>
      </c>
      <c r="AD23" s="8">
        <f t="shared" si="2"/>
        <v>0</v>
      </c>
      <c r="AE23" s="8">
        <f t="shared" si="2"/>
        <v>15</v>
      </c>
      <c r="AF23" s="8">
        <f t="shared" si="2"/>
        <v>12</v>
      </c>
      <c r="AG23" s="8">
        <f t="shared" si="2"/>
        <v>9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244</v>
      </c>
    </row>
    <row r="24" spans="1:47" ht="18" customHeight="1">
      <c r="B24" s="3"/>
      <c r="E24" s="99">
        <v>45910</v>
      </c>
      <c r="F24" s="99">
        <f>E24+7</f>
        <v>45917</v>
      </c>
      <c r="G24" s="99">
        <f t="shared" ref="G24:AT24" si="3">F24+7</f>
        <v>45924</v>
      </c>
      <c r="H24" s="99">
        <f t="shared" si="3"/>
        <v>45931</v>
      </c>
      <c r="I24" s="99">
        <f t="shared" si="3"/>
        <v>45938</v>
      </c>
      <c r="J24" s="99">
        <f t="shared" si="3"/>
        <v>45945</v>
      </c>
      <c r="K24" s="99">
        <f t="shared" si="3"/>
        <v>45952</v>
      </c>
      <c r="L24" s="99">
        <f t="shared" si="3"/>
        <v>45959</v>
      </c>
      <c r="M24" s="99">
        <f t="shared" si="3"/>
        <v>45966</v>
      </c>
      <c r="N24" s="99">
        <f t="shared" si="3"/>
        <v>45973</v>
      </c>
      <c r="O24" s="99">
        <f t="shared" si="3"/>
        <v>45980</v>
      </c>
      <c r="P24" s="99">
        <f t="shared" si="3"/>
        <v>45987</v>
      </c>
      <c r="Q24" s="99">
        <f t="shared" si="3"/>
        <v>45994</v>
      </c>
      <c r="R24" s="99">
        <f t="shared" si="3"/>
        <v>46001</v>
      </c>
      <c r="S24" s="99">
        <f t="shared" si="3"/>
        <v>46008</v>
      </c>
      <c r="T24" s="99">
        <f t="shared" si="3"/>
        <v>46015</v>
      </c>
      <c r="U24" s="99">
        <f t="shared" si="3"/>
        <v>46022</v>
      </c>
      <c r="V24" s="99">
        <f t="shared" si="3"/>
        <v>46029</v>
      </c>
      <c r="W24" s="99">
        <f t="shared" si="3"/>
        <v>46036</v>
      </c>
      <c r="X24" s="99">
        <f t="shared" si="3"/>
        <v>46043</v>
      </c>
      <c r="Y24" s="99">
        <f t="shared" si="3"/>
        <v>46050</v>
      </c>
      <c r="Z24" s="99">
        <f t="shared" si="3"/>
        <v>46057</v>
      </c>
      <c r="AA24" s="99">
        <f t="shared" si="3"/>
        <v>46064</v>
      </c>
      <c r="AB24" s="99">
        <f t="shared" si="3"/>
        <v>46071</v>
      </c>
      <c r="AC24" s="99">
        <f t="shared" si="3"/>
        <v>46078</v>
      </c>
      <c r="AD24" s="99">
        <f t="shared" si="3"/>
        <v>46085</v>
      </c>
      <c r="AE24" s="99">
        <f t="shared" si="3"/>
        <v>46092</v>
      </c>
      <c r="AF24" s="99">
        <f t="shared" si="3"/>
        <v>46099</v>
      </c>
      <c r="AG24" s="99">
        <f t="shared" si="3"/>
        <v>46106</v>
      </c>
      <c r="AH24" s="99">
        <f t="shared" si="3"/>
        <v>46113</v>
      </c>
      <c r="AI24" s="99">
        <f t="shared" si="3"/>
        <v>46120</v>
      </c>
      <c r="AJ24" s="99">
        <f t="shared" si="3"/>
        <v>46127</v>
      </c>
      <c r="AK24" s="99">
        <f t="shared" si="3"/>
        <v>46134</v>
      </c>
      <c r="AL24" s="99">
        <f t="shared" si="3"/>
        <v>46141</v>
      </c>
      <c r="AM24" s="99">
        <f t="shared" si="3"/>
        <v>46148</v>
      </c>
      <c r="AN24" s="99">
        <f t="shared" si="3"/>
        <v>46155</v>
      </c>
      <c r="AO24" s="99">
        <f t="shared" si="3"/>
        <v>46162</v>
      </c>
      <c r="AP24" s="99">
        <f t="shared" si="3"/>
        <v>46169</v>
      </c>
      <c r="AQ24" s="99">
        <f t="shared" si="3"/>
        <v>46176</v>
      </c>
      <c r="AR24" s="99">
        <f t="shared" si="3"/>
        <v>46183</v>
      </c>
      <c r="AS24" s="99">
        <f t="shared" si="3"/>
        <v>46190</v>
      </c>
      <c r="AT24" s="99">
        <f t="shared" si="3"/>
        <v>46197</v>
      </c>
      <c r="AU24" s="1"/>
    </row>
    <row r="25" spans="1:47" ht="18" customHeight="1">
      <c r="B25" s="3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1"/>
    </row>
    <row r="26" spans="1:47" ht="18" customHeight="1">
      <c r="B26" s="3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>
        <f t="shared" si="1"/>
        <v>0</v>
      </c>
    </row>
    <row r="27" spans="1:47">
      <c r="A27" s="102" t="s">
        <v>105</v>
      </c>
      <c r="B27" s="23">
        <v>1</v>
      </c>
      <c r="C27" s="53" t="s">
        <v>187</v>
      </c>
      <c r="D27" s="11" t="s">
        <v>94</v>
      </c>
      <c r="E27" s="47">
        <v>1</v>
      </c>
      <c r="F27" s="47">
        <v>1</v>
      </c>
      <c r="G27" s="47">
        <v>0</v>
      </c>
      <c r="H27" s="47">
        <v>0</v>
      </c>
      <c r="I27" s="47">
        <v>0</v>
      </c>
      <c r="J27" s="47">
        <v>0</v>
      </c>
      <c r="K27" s="49"/>
      <c r="L27" s="49"/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9"/>
      <c r="U27" s="49"/>
      <c r="V27" s="47">
        <v>0</v>
      </c>
      <c r="W27" s="47">
        <v>0</v>
      </c>
      <c r="X27" s="47">
        <v>0</v>
      </c>
      <c r="Y27" s="47">
        <v>1</v>
      </c>
      <c r="Z27" s="47">
        <v>0</v>
      </c>
      <c r="AA27" s="47">
        <v>0</v>
      </c>
      <c r="AB27" s="47">
        <v>1</v>
      </c>
      <c r="AC27" s="49"/>
      <c r="AD27" s="49"/>
      <c r="AE27" s="47">
        <v>1</v>
      </c>
      <c r="AF27" s="47">
        <v>0</v>
      </c>
      <c r="AG27" s="47">
        <v>0</v>
      </c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si="1"/>
        <v>3</v>
      </c>
    </row>
    <row r="28" spans="1:47">
      <c r="A28" s="102"/>
      <c r="B28" s="23">
        <v>2</v>
      </c>
      <c r="C28" s="53" t="s">
        <v>188</v>
      </c>
      <c r="D28" s="11" t="s">
        <v>94</v>
      </c>
      <c r="E28" s="50">
        <v>1</v>
      </c>
      <c r="F28" s="50">
        <v>1</v>
      </c>
      <c r="G28" s="50">
        <v>1</v>
      </c>
      <c r="H28" s="50">
        <v>1</v>
      </c>
      <c r="I28" s="50">
        <v>1</v>
      </c>
      <c r="J28" s="50">
        <v>1</v>
      </c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50">
        <v>1</v>
      </c>
      <c r="R28" s="50">
        <v>1</v>
      </c>
      <c r="S28" s="50">
        <v>1</v>
      </c>
      <c r="T28" s="52"/>
      <c r="U28" s="52"/>
      <c r="V28" s="50">
        <v>1</v>
      </c>
      <c r="W28" s="50">
        <v>0</v>
      </c>
      <c r="X28" s="50">
        <v>1</v>
      </c>
      <c r="Y28" s="50">
        <v>1</v>
      </c>
      <c r="Z28" s="50">
        <v>1</v>
      </c>
      <c r="AA28" s="50">
        <v>0</v>
      </c>
      <c r="AB28" s="50">
        <v>1</v>
      </c>
      <c r="AC28" s="52"/>
      <c r="AD28" s="52"/>
      <c r="AE28" s="50">
        <v>1</v>
      </c>
      <c r="AF28" s="50">
        <v>1</v>
      </c>
      <c r="AG28" s="50">
        <v>1</v>
      </c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1"/>
        <v>17</v>
      </c>
    </row>
    <row r="29" spans="1:47">
      <c r="A29" s="102"/>
      <c r="B29" s="23">
        <v>3</v>
      </c>
      <c r="C29" s="53" t="s">
        <v>189</v>
      </c>
      <c r="D29" s="11" t="s">
        <v>94</v>
      </c>
      <c r="E29" s="50">
        <v>1</v>
      </c>
      <c r="F29" s="50">
        <v>1</v>
      </c>
      <c r="G29" s="50">
        <v>1</v>
      </c>
      <c r="H29" s="50">
        <v>0</v>
      </c>
      <c r="I29" s="50">
        <v>0</v>
      </c>
      <c r="J29" s="50">
        <v>0</v>
      </c>
      <c r="K29" s="52"/>
      <c r="L29" s="52"/>
      <c r="M29" s="50">
        <v>1</v>
      </c>
      <c r="N29" s="50">
        <v>1</v>
      </c>
      <c r="O29" s="50">
        <v>1</v>
      </c>
      <c r="P29" s="50">
        <v>1</v>
      </c>
      <c r="Q29" s="50">
        <v>1</v>
      </c>
      <c r="R29" s="50">
        <v>1</v>
      </c>
      <c r="S29" s="50">
        <v>1</v>
      </c>
      <c r="T29" s="52"/>
      <c r="U29" s="52"/>
      <c r="V29" s="50">
        <v>0</v>
      </c>
      <c r="W29" s="50">
        <v>1</v>
      </c>
      <c r="X29" s="50">
        <v>1</v>
      </c>
      <c r="Y29" s="50">
        <v>1</v>
      </c>
      <c r="Z29" s="50">
        <v>0</v>
      </c>
      <c r="AA29" s="50">
        <v>1</v>
      </c>
      <c r="AB29" s="50">
        <v>1</v>
      </c>
      <c r="AC29" s="52"/>
      <c r="AD29" s="52"/>
      <c r="AE29" s="50">
        <v>1</v>
      </c>
      <c r="AF29" s="50">
        <v>1</v>
      </c>
      <c r="AG29" s="50">
        <v>1</v>
      </c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1"/>
        <v>15</v>
      </c>
    </row>
    <row r="30" spans="1:47">
      <c r="A30" s="102"/>
      <c r="B30" s="23">
        <v>4</v>
      </c>
      <c r="C30" s="11" t="s">
        <v>96</v>
      </c>
      <c r="D30" s="11" t="s">
        <v>94</v>
      </c>
      <c r="E30" s="50">
        <v>1</v>
      </c>
      <c r="F30" s="50">
        <v>1</v>
      </c>
      <c r="G30" s="50">
        <v>1</v>
      </c>
      <c r="H30" s="50">
        <v>1</v>
      </c>
      <c r="I30" s="50">
        <v>1</v>
      </c>
      <c r="J30" s="50">
        <v>1</v>
      </c>
      <c r="K30" s="52"/>
      <c r="L30" s="52"/>
      <c r="M30" s="50">
        <v>1</v>
      </c>
      <c r="N30" s="50">
        <v>1</v>
      </c>
      <c r="O30" s="50">
        <v>1</v>
      </c>
      <c r="P30" s="50">
        <v>1</v>
      </c>
      <c r="Q30" s="50">
        <v>1</v>
      </c>
      <c r="R30" s="50">
        <v>1</v>
      </c>
      <c r="S30" s="50">
        <v>1</v>
      </c>
      <c r="T30" s="52"/>
      <c r="U30" s="52"/>
      <c r="V30" s="50">
        <v>1</v>
      </c>
      <c r="W30" s="50">
        <v>1</v>
      </c>
      <c r="X30" s="50">
        <v>1</v>
      </c>
      <c r="Y30" s="50">
        <v>1</v>
      </c>
      <c r="Z30" s="50">
        <v>1</v>
      </c>
      <c r="AA30" s="50">
        <v>1</v>
      </c>
      <c r="AB30" s="50">
        <v>1</v>
      </c>
      <c r="AC30" s="52"/>
      <c r="AD30" s="52"/>
      <c r="AE30" s="50">
        <v>1</v>
      </c>
      <c r="AF30" s="50">
        <v>1</v>
      </c>
      <c r="AG30" s="50">
        <v>1</v>
      </c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1"/>
        <v>19</v>
      </c>
    </row>
    <row r="31" spans="1:47">
      <c r="A31" s="102"/>
      <c r="B31" s="23">
        <v>5</v>
      </c>
      <c r="C31" s="11" t="s">
        <v>97</v>
      </c>
      <c r="D31" s="11" t="s">
        <v>94</v>
      </c>
      <c r="E31" s="50">
        <v>1</v>
      </c>
      <c r="F31" s="50">
        <v>1</v>
      </c>
      <c r="G31" s="50">
        <v>1</v>
      </c>
      <c r="H31" s="50">
        <v>1</v>
      </c>
      <c r="I31" s="50">
        <v>1</v>
      </c>
      <c r="J31" s="50">
        <v>1</v>
      </c>
      <c r="K31" s="52"/>
      <c r="L31" s="52"/>
      <c r="M31" s="50">
        <v>1</v>
      </c>
      <c r="N31" s="50">
        <v>1</v>
      </c>
      <c r="O31" s="50">
        <v>1</v>
      </c>
      <c r="P31" s="50">
        <v>1</v>
      </c>
      <c r="Q31" s="50">
        <v>1</v>
      </c>
      <c r="R31" s="50">
        <v>1</v>
      </c>
      <c r="S31" s="50">
        <v>1</v>
      </c>
      <c r="T31" s="52"/>
      <c r="U31" s="52"/>
      <c r="V31" s="50">
        <v>1</v>
      </c>
      <c r="W31" s="50">
        <v>1</v>
      </c>
      <c r="X31" s="50">
        <v>1</v>
      </c>
      <c r="Y31" s="50">
        <v>1</v>
      </c>
      <c r="Z31" s="50">
        <v>1</v>
      </c>
      <c r="AA31" s="50">
        <v>1</v>
      </c>
      <c r="AB31" s="50">
        <v>1</v>
      </c>
      <c r="AC31" s="52"/>
      <c r="AD31" s="52"/>
      <c r="AE31" s="50">
        <v>1</v>
      </c>
      <c r="AF31" s="50">
        <v>1</v>
      </c>
      <c r="AG31" s="50">
        <v>1</v>
      </c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1"/>
        <v>19</v>
      </c>
    </row>
    <row r="32" spans="1:47">
      <c r="A32" s="102"/>
      <c r="B32" s="23">
        <v>6</v>
      </c>
      <c r="C32" s="11" t="s">
        <v>190</v>
      </c>
      <c r="D32" s="11" t="s">
        <v>94</v>
      </c>
      <c r="E32" s="87">
        <v>0</v>
      </c>
      <c r="F32" s="50">
        <v>1</v>
      </c>
      <c r="G32" s="50">
        <v>1</v>
      </c>
      <c r="H32" s="50">
        <v>0</v>
      </c>
      <c r="I32" s="50">
        <v>1</v>
      </c>
      <c r="J32" s="50">
        <v>1</v>
      </c>
      <c r="K32" s="52"/>
      <c r="L32" s="52"/>
      <c r="M32" s="50">
        <v>1</v>
      </c>
      <c r="N32" s="50">
        <v>1</v>
      </c>
      <c r="O32" s="50">
        <v>1</v>
      </c>
      <c r="P32" s="50">
        <v>1</v>
      </c>
      <c r="Q32" s="50">
        <v>1</v>
      </c>
      <c r="R32" s="50">
        <v>1</v>
      </c>
      <c r="S32" s="50">
        <v>1</v>
      </c>
      <c r="T32" s="52"/>
      <c r="U32" s="52"/>
      <c r="V32" s="50">
        <v>1</v>
      </c>
      <c r="W32" s="50">
        <v>1</v>
      </c>
      <c r="X32" s="50">
        <v>1</v>
      </c>
      <c r="Y32" s="50">
        <v>1</v>
      </c>
      <c r="Z32" s="50">
        <v>1</v>
      </c>
      <c r="AA32" s="50">
        <v>1</v>
      </c>
      <c r="AB32" s="50">
        <v>1</v>
      </c>
      <c r="AC32" s="52"/>
      <c r="AD32" s="52"/>
      <c r="AE32" s="50">
        <v>1</v>
      </c>
      <c r="AF32" s="50">
        <v>1</v>
      </c>
      <c r="AG32" s="92" t="s">
        <v>191</v>
      </c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1"/>
        <v>18</v>
      </c>
    </row>
    <row r="33" spans="1:47">
      <c r="A33" s="102"/>
      <c r="B33" s="23">
        <v>7</v>
      </c>
      <c r="C33" s="11" t="s">
        <v>192</v>
      </c>
      <c r="D33" s="11" t="s">
        <v>94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50">
        <v>1</v>
      </c>
      <c r="K33" s="52"/>
      <c r="L33" s="52"/>
      <c r="M33" s="50">
        <v>1</v>
      </c>
      <c r="N33" s="50">
        <v>1</v>
      </c>
      <c r="O33" s="50">
        <v>1</v>
      </c>
      <c r="P33" s="50">
        <v>1</v>
      </c>
      <c r="Q33" s="50">
        <v>1</v>
      </c>
      <c r="R33" s="50">
        <v>1</v>
      </c>
      <c r="S33" s="50">
        <v>1</v>
      </c>
      <c r="T33" s="52"/>
      <c r="U33" s="52"/>
      <c r="V33" s="50">
        <v>1</v>
      </c>
      <c r="W33" s="50">
        <v>1</v>
      </c>
      <c r="X33" s="50">
        <v>1</v>
      </c>
      <c r="Y33" s="50">
        <v>1</v>
      </c>
      <c r="Z33" s="50">
        <v>1</v>
      </c>
      <c r="AA33" s="50">
        <v>1</v>
      </c>
      <c r="AB33" s="50">
        <v>1</v>
      </c>
      <c r="AC33" s="52"/>
      <c r="AD33" s="52"/>
      <c r="AE33" s="50">
        <v>1</v>
      </c>
      <c r="AF33" s="50">
        <v>0</v>
      </c>
      <c r="AG33" s="50">
        <v>0</v>
      </c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1"/>
        <v>16</v>
      </c>
    </row>
    <row r="34" spans="1:47">
      <c r="A34" s="102"/>
      <c r="B34" s="23">
        <v>8</v>
      </c>
      <c r="C34" s="9" t="s">
        <v>193</v>
      </c>
      <c r="D34" s="11" t="s">
        <v>101</v>
      </c>
      <c r="E34" s="50">
        <v>1</v>
      </c>
      <c r="F34" s="50">
        <v>1</v>
      </c>
      <c r="G34" s="50">
        <v>1</v>
      </c>
      <c r="H34" s="50">
        <v>1</v>
      </c>
      <c r="I34" s="50">
        <v>0</v>
      </c>
      <c r="J34" s="50">
        <v>1</v>
      </c>
      <c r="K34" s="52"/>
      <c r="L34" s="52"/>
      <c r="M34" s="50">
        <v>1</v>
      </c>
      <c r="N34" s="50">
        <v>0</v>
      </c>
      <c r="O34" s="50">
        <v>0</v>
      </c>
      <c r="P34" s="50">
        <v>1</v>
      </c>
      <c r="Q34" s="50">
        <v>1</v>
      </c>
      <c r="R34" s="50">
        <v>1</v>
      </c>
      <c r="S34" s="50">
        <v>1</v>
      </c>
      <c r="T34" s="52"/>
      <c r="U34" s="52"/>
      <c r="V34" s="50">
        <v>0</v>
      </c>
      <c r="W34" s="50">
        <v>1</v>
      </c>
      <c r="X34" s="50">
        <v>1</v>
      </c>
      <c r="Y34" s="50">
        <v>1</v>
      </c>
      <c r="Z34" s="50">
        <v>1</v>
      </c>
      <c r="AA34" s="50">
        <v>1</v>
      </c>
      <c r="AB34" s="50">
        <v>0</v>
      </c>
      <c r="AC34" s="52"/>
      <c r="AD34" s="52"/>
      <c r="AE34" s="50">
        <v>1</v>
      </c>
      <c r="AF34" s="50">
        <v>0</v>
      </c>
      <c r="AG34" s="50">
        <v>1</v>
      </c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1"/>
        <v>13</v>
      </c>
    </row>
    <row r="35" spans="1:47">
      <c r="B35" s="23">
        <v>9</v>
      </c>
      <c r="C35" s="9" t="s">
        <v>194</v>
      </c>
      <c r="D35" s="11" t="s">
        <v>101</v>
      </c>
      <c r="E35" s="47">
        <v>1</v>
      </c>
      <c r="F35" s="47">
        <v>1</v>
      </c>
      <c r="G35" s="47">
        <v>1</v>
      </c>
      <c r="H35" s="47">
        <v>1</v>
      </c>
      <c r="I35" s="47">
        <v>1</v>
      </c>
      <c r="J35" s="47">
        <v>1</v>
      </c>
      <c r="K35" s="49"/>
      <c r="L35" s="49"/>
      <c r="M35" s="47">
        <v>1</v>
      </c>
      <c r="N35" s="47">
        <v>1</v>
      </c>
      <c r="O35" s="47">
        <v>1</v>
      </c>
      <c r="P35" s="47">
        <v>1</v>
      </c>
      <c r="Q35" s="47">
        <v>1</v>
      </c>
      <c r="R35" s="47">
        <v>1</v>
      </c>
      <c r="S35" s="47">
        <v>1</v>
      </c>
      <c r="T35" s="49"/>
      <c r="U35" s="49"/>
      <c r="V35" s="47">
        <v>1</v>
      </c>
      <c r="W35" s="47">
        <v>0</v>
      </c>
      <c r="X35" s="47">
        <v>0</v>
      </c>
      <c r="Y35" s="47">
        <v>1</v>
      </c>
      <c r="Z35" s="47">
        <v>1</v>
      </c>
      <c r="AA35" s="47">
        <v>1</v>
      </c>
      <c r="AB35" s="47">
        <v>0</v>
      </c>
      <c r="AC35" s="49"/>
      <c r="AD35" s="49"/>
      <c r="AE35" s="47">
        <v>1</v>
      </c>
      <c r="AF35" s="47">
        <v>1</v>
      </c>
      <c r="AG35" s="47">
        <v>1</v>
      </c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1"/>
        <v>16</v>
      </c>
    </row>
    <row r="36" spans="1:47">
      <c r="B36" s="23">
        <v>10</v>
      </c>
      <c r="C36" s="9" t="s">
        <v>195</v>
      </c>
      <c r="D36" s="11" t="s">
        <v>101</v>
      </c>
      <c r="E36" s="50">
        <v>1</v>
      </c>
      <c r="F36" s="50">
        <v>1</v>
      </c>
      <c r="G36" s="50">
        <v>1</v>
      </c>
      <c r="H36" s="50">
        <v>1</v>
      </c>
      <c r="I36" s="50">
        <v>1</v>
      </c>
      <c r="J36" s="50">
        <v>1</v>
      </c>
      <c r="K36" s="52"/>
      <c r="L36" s="52"/>
      <c r="M36" s="50">
        <v>1</v>
      </c>
      <c r="N36" s="50">
        <v>1</v>
      </c>
      <c r="O36" s="50">
        <v>1</v>
      </c>
      <c r="P36" s="50">
        <v>1</v>
      </c>
      <c r="Q36" s="50">
        <v>0</v>
      </c>
      <c r="R36" s="50">
        <v>1</v>
      </c>
      <c r="S36" s="50">
        <v>1</v>
      </c>
      <c r="T36" s="52"/>
      <c r="U36" s="52"/>
      <c r="V36" s="50">
        <v>0</v>
      </c>
      <c r="W36" s="50">
        <v>1</v>
      </c>
      <c r="X36" s="50">
        <v>0</v>
      </c>
      <c r="Y36" s="50">
        <v>0</v>
      </c>
      <c r="Z36" s="50">
        <v>0</v>
      </c>
      <c r="AA36" s="50">
        <v>0</v>
      </c>
      <c r="AB36" s="50">
        <v>1</v>
      </c>
      <c r="AC36" s="52"/>
      <c r="AD36" s="52"/>
      <c r="AE36" s="50">
        <v>1</v>
      </c>
      <c r="AF36" s="50">
        <v>0</v>
      </c>
      <c r="AG36" s="50">
        <v>0</v>
      </c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1"/>
        <v>11</v>
      </c>
    </row>
    <row r="37" spans="1:47">
      <c r="B37" s="23">
        <v>11</v>
      </c>
      <c r="C37" s="11" t="s">
        <v>196</v>
      </c>
      <c r="D37" s="11" t="s">
        <v>101</v>
      </c>
      <c r="E37" s="50">
        <v>1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2"/>
      <c r="L37" s="52"/>
      <c r="M37" s="50">
        <v>1</v>
      </c>
      <c r="N37" s="50">
        <v>1</v>
      </c>
      <c r="O37" s="50">
        <v>1</v>
      </c>
      <c r="P37" s="50">
        <v>1</v>
      </c>
      <c r="Q37" s="50">
        <v>1</v>
      </c>
      <c r="R37" s="50">
        <v>1</v>
      </c>
      <c r="S37" s="50">
        <v>1</v>
      </c>
      <c r="T37" s="52"/>
      <c r="U37" s="52"/>
      <c r="V37" s="50">
        <v>0</v>
      </c>
      <c r="W37" s="50">
        <v>1</v>
      </c>
      <c r="X37" s="50">
        <v>1</v>
      </c>
      <c r="Y37" s="50">
        <v>1</v>
      </c>
      <c r="Z37" s="50">
        <v>1</v>
      </c>
      <c r="AA37" s="50">
        <v>1</v>
      </c>
      <c r="AB37" s="50">
        <v>0</v>
      </c>
      <c r="AC37" s="52"/>
      <c r="AD37" s="52"/>
      <c r="AE37" s="50">
        <v>1</v>
      </c>
      <c r="AF37" s="50">
        <v>0</v>
      </c>
      <c r="AG37" s="50">
        <v>1</v>
      </c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1"/>
        <v>16</v>
      </c>
    </row>
    <row r="38" spans="1:47">
      <c r="B38" s="23">
        <v>12</v>
      </c>
      <c r="C38" s="11" t="s">
        <v>197</v>
      </c>
      <c r="D38" s="11" t="s">
        <v>101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J38" s="50">
        <v>1</v>
      </c>
      <c r="K38" s="52"/>
      <c r="L38" s="52"/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0</v>
      </c>
      <c r="S38" s="50">
        <v>1</v>
      </c>
      <c r="T38" s="52"/>
      <c r="U38" s="52"/>
      <c r="V38" s="50">
        <v>0</v>
      </c>
      <c r="W38" s="50">
        <v>0</v>
      </c>
      <c r="X38" s="50">
        <v>1</v>
      </c>
      <c r="Y38" s="50">
        <v>1</v>
      </c>
      <c r="Z38" s="50">
        <v>1</v>
      </c>
      <c r="AA38" s="50">
        <v>1</v>
      </c>
      <c r="AB38" s="50">
        <v>1</v>
      </c>
      <c r="AC38" s="52"/>
      <c r="AD38" s="52"/>
      <c r="AE38" s="50">
        <v>1</v>
      </c>
      <c r="AF38" s="50">
        <v>1</v>
      </c>
      <c r="AG38" s="50">
        <v>1</v>
      </c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1"/>
        <v>16</v>
      </c>
    </row>
    <row r="39" spans="1:47">
      <c r="B39" s="23">
        <v>13</v>
      </c>
      <c r="C39" s="11" t="s">
        <v>198</v>
      </c>
      <c r="D39" s="11" t="s">
        <v>101</v>
      </c>
      <c r="E39" s="50">
        <v>1</v>
      </c>
      <c r="F39" s="50">
        <v>1</v>
      </c>
      <c r="G39" s="50">
        <v>1</v>
      </c>
      <c r="H39" s="50">
        <v>1</v>
      </c>
      <c r="I39" s="50">
        <v>1</v>
      </c>
      <c r="J39" s="50">
        <v>1</v>
      </c>
      <c r="K39" s="52"/>
      <c r="L39" s="52"/>
      <c r="M39" s="50">
        <v>1</v>
      </c>
      <c r="N39" s="50">
        <v>1</v>
      </c>
      <c r="O39" s="50">
        <v>1</v>
      </c>
      <c r="P39" s="50">
        <v>1</v>
      </c>
      <c r="Q39" s="50">
        <v>1</v>
      </c>
      <c r="R39" s="50">
        <v>1</v>
      </c>
      <c r="S39" s="50">
        <v>1</v>
      </c>
      <c r="T39" s="52"/>
      <c r="U39" s="52"/>
      <c r="V39" s="50">
        <v>1</v>
      </c>
      <c r="W39" s="50">
        <v>1</v>
      </c>
      <c r="X39" s="50">
        <v>1</v>
      </c>
      <c r="Y39" s="50">
        <v>1</v>
      </c>
      <c r="Z39" s="50">
        <v>1</v>
      </c>
      <c r="AA39" s="50">
        <v>1</v>
      </c>
      <c r="AB39" s="50">
        <v>1</v>
      </c>
      <c r="AC39" s="52"/>
      <c r="AD39" s="52"/>
      <c r="AE39" s="50">
        <v>1</v>
      </c>
      <c r="AF39" s="50">
        <v>1</v>
      </c>
      <c r="AG39" s="50">
        <v>1</v>
      </c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1"/>
        <v>19</v>
      </c>
    </row>
    <row r="40" spans="1:47">
      <c r="B40" s="23">
        <v>14</v>
      </c>
      <c r="C40" s="11" t="s">
        <v>199</v>
      </c>
      <c r="D40" s="11" t="s">
        <v>101</v>
      </c>
      <c r="E40" s="50">
        <v>1</v>
      </c>
      <c r="F40" s="50">
        <v>1</v>
      </c>
      <c r="G40" s="50">
        <v>1</v>
      </c>
      <c r="H40" s="50">
        <v>1</v>
      </c>
      <c r="I40" s="50">
        <v>1</v>
      </c>
      <c r="J40" s="50">
        <v>1</v>
      </c>
      <c r="K40" s="52"/>
      <c r="L40" s="52"/>
      <c r="M40" s="50">
        <v>1</v>
      </c>
      <c r="N40" s="50">
        <v>1</v>
      </c>
      <c r="O40" s="50">
        <v>1</v>
      </c>
      <c r="P40" s="50">
        <v>1</v>
      </c>
      <c r="Q40" s="50">
        <v>1</v>
      </c>
      <c r="R40" s="50">
        <v>1</v>
      </c>
      <c r="S40" s="50">
        <v>1</v>
      </c>
      <c r="T40" s="52"/>
      <c r="U40" s="52"/>
      <c r="V40" s="50">
        <v>0</v>
      </c>
      <c r="W40" s="50">
        <v>1</v>
      </c>
      <c r="X40" s="50">
        <v>1</v>
      </c>
      <c r="Y40" s="50">
        <v>0</v>
      </c>
      <c r="Z40" s="50">
        <v>1</v>
      </c>
      <c r="AA40" s="50">
        <v>1</v>
      </c>
      <c r="AB40" s="50">
        <v>1</v>
      </c>
      <c r="AC40" s="52"/>
      <c r="AD40" s="52"/>
      <c r="AE40" s="50">
        <v>1</v>
      </c>
      <c r="AF40" s="50">
        <v>1</v>
      </c>
      <c r="AG40" s="50">
        <v>1</v>
      </c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1"/>
        <v>17</v>
      </c>
    </row>
    <row r="41" spans="1:47">
      <c r="B41" s="23">
        <v>15</v>
      </c>
      <c r="C41" s="11" t="s">
        <v>200</v>
      </c>
      <c r="D41" s="11" t="s">
        <v>101</v>
      </c>
      <c r="E41" s="50">
        <v>1</v>
      </c>
      <c r="F41" s="50">
        <v>1</v>
      </c>
      <c r="G41" s="50">
        <v>1</v>
      </c>
      <c r="H41" s="50">
        <v>1</v>
      </c>
      <c r="I41" s="50">
        <v>1</v>
      </c>
      <c r="J41" s="50">
        <v>1</v>
      </c>
      <c r="K41" s="52"/>
      <c r="L41" s="52"/>
      <c r="M41" s="50">
        <v>1</v>
      </c>
      <c r="N41" s="50">
        <v>1</v>
      </c>
      <c r="O41" s="50">
        <v>1</v>
      </c>
      <c r="P41" s="50">
        <v>1</v>
      </c>
      <c r="Q41" s="50">
        <v>0</v>
      </c>
      <c r="R41" s="50">
        <v>1</v>
      </c>
      <c r="S41" s="50">
        <v>1</v>
      </c>
      <c r="T41" s="52"/>
      <c r="U41" s="52"/>
      <c r="V41" s="50">
        <v>0</v>
      </c>
      <c r="W41" s="50">
        <v>1</v>
      </c>
      <c r="X41" s="50">
        <v>1</v>
      </c>
      <c r="Y41" s="50">
        <v>1</v>
      </c>
      <c r="Z41" s="50">
        <v>0</v>
      </c>
      <c r="AA41" s="50">
        <v>1</v>
      </c>
      <c r="AB41" s="50">
        <v>1</v>
      </c>
      <c r="AC41" s="52"/>
      <c r="AD41" s="52"/>
      <c r="AE41" s="50">
        <v>1</v>
      </c>
      <c r="AF41" s="50">
        <v>1</v>
      </c>
      <c r="AG41" s="50">
        <v>1</v>
      </c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1"/>
        <v>16</v>
      </c>
    </row>
    <row r="42" spans="1:47">
      <c r="B42" s="23">
        <v>16</v>
      </c>
      <c r="C42" s="11" t="s">
        <v>201</v>
      </c>
      <c r="D42" s="11" t="s">
        <v>101</v>
      </c>
      <c r="E42" s="50">
        <v>1</v>
      </c>
      <c r="F42" s="50">
        <v>1</v>
      </c>
      <c r="G42" s="50">
        <v>1</v>
      </c>
      <c r="H42" s="50">
        <v>1</v>
      </c>
      <c r="I42" s="50">
        <v>1</v>
      </c>
      <c r="J42" s="50">
        <v>1</v>
      </c>
      <c r="K42" s="52"/>
      <c r="L42" s="52"/>
      <c r="M42" s="50">
        <v>1</v>
      </c>
      <c r="N42" s="50">
        <v>1</v>
      </c>
      <c r="O42" s="50">
        <v>1</v>
      </c>
      <c r="P42" s="50">
        <v>1</v>
      </c>
      <c r="Q42" s="50">
        <v>1</v>
      </c>
      <c r="R42" s="50">
        <v>1</v>
      </c>
      <c r="S42" s="50">
        <v>1</v>
      </c>
      <c r="T42" s="52"/>
      <c r="U42" s="52"/>
      <c r="V42" s="50">
        <v>1</v>
      </c>
      <c r="W42" s="50">
        <v>1</v>
      </c>
      <c r="X42" s="50">
        <v>1</v>
      </c>
      <c r="Y42" s="50">
        <v>1</v>
      </c>
      <c r="Z42" s="50">
        <v>1</v>
      </c>
      <c r="AA42" s="50">
        <v>1</v>
      </c>
      <c r="AB42" s="50">
        <v>0</v>
      </c>
      <c r="AC42" s="52"/>
      <c r="AD42" s="52"/>
      <c r="AE42" s="50">
        <v>1</v>
      </c>
      <c r="AF42" s="50">
        <v>0</v>
      </c>
      <c r="AG42" s="92" t="s">
        <v>191</v>
      </c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1"/>
        <v>16</v>
      </c>
    </row>
    <row r="43" spans="1:47" ht="18" customHeight="1">
      <c r="B43" s="68">
        <v>16</v>
      </c>
      <c r="C43" s="12" t="s">
        <v>58</v>
      </c>
      <c r="D43" s="11"/>
      <c r="E43" s="8">
        <f>COUNTIF(E27:E42,"1")</f>
        <v>14</v>
      </c>
      <c r="F43" s="8">
        <f>COUNTIF(F27:F42,"1")</f>
        <v>15</v>
      </c>
      <c r="G43" s="8">
        <f>COUNTIF(G27:G42,"1")</f>
        <v>14</v>
      </c>
      <c r="H43" s="8">
        <f>COUNTIF(H27:H42,"1")</f>
        <v>12</v>
      </c>
      <c r="I43" s="8">
        <f>COUNTIF(I27:I42,"1")</f>
        <v>12</v>
      </c>
      <c r="J43" s="8">
        <f>COUNTIF(J27:J42,"1")</f>
        <v>14</v>
      </c>
      <c r="K43" s="8">
        <f>COUNTIF(K27:K42,"1")</f>
        <v>0</v>
      </c>
      <c r="L43" s="8">
        <f>COUNTIF(L27:L42,"1")</f>
        <v>0</v>
      </c>
      <c r="M43" s="8">
        <f>COUNTIF(M27:M42,"1")</f>
        <v>15</v>
      </c>
      <c r="N43" s="8">
        <f>COUNTIF(N27:N42,"1")</f>
        <v>14</v>
      </c>
      <c r="O43" s="8">
        <f>COUNTIF(O27:O42,"1")</f>
        <v>14</v>
      </c>
      <c r="P43" s="8">
        <f>COUNTIF(P27:P42,"1")</f>
        <v>15</v>
      </c>
      <c r="Q43" s="8">
        <f>COUNTIF(Q27:Q42,"1")</f>
        <v>13</v>
      </c>
      <c r="R43" s="8">
        <f>COUNTIF(R27:R42,"1")</f>
        <v>14</v>
      </c>
      <c r="S43" s="8">
        <f>COUNTIF(S27:S42,"1")</f>
        <v>15</v>
      </c>
      <c r="T43" s="8">
        <f>COUNTIF(T27:T42,"1")</f>
        <v>0</v>
      </c>
      <c r="U43" s="8">
        <f>COUNTIF(U27:U42,"1")</f>
        <v>0</v>
      </c>
      <c r="V43" s="8">
        <f>COUNTIF(V27:V42,"1")</f>
        <v>8</v>
      </c>
      <c r="W43" s="8">
        <f>COUNTIF(W27:W42,"1")</f>
        <v>12</v>
      </c>
      <c r="X43" s="8">
        <f>COUNTIF(X27:X42,"1")</f>
        <v>13</v>
      </c>
      <c r="Y43" s="8">
        <f>COUNTIF(Y27:Y42,"1")</f>
        <v>14</v>
      </c>
      <c r="Z43" s="8">
        <f>COUNTIF(Z27:Z42,"1")</f>
        <v>12</v>
      </c>
      <c r="AA43" s="8">
        <f>COUNTIF(AA27:AA42,"1")</f>
        <v>13</v>
      </c>
      <c r="AB43" s="8">
        <f>COUNTIF(AB27:AB42,"1")</f>
        <v>12</v>
      </c>
      <c r="AC43" s="8">
        <f>COUNTIF(AC27:AC42,"1")</f>
        <v>0</v>
      </c>
      <c r="AD43" s="8">
        <f>COUNTIF(AD27:AD42,"1")</f>
        <v>0</v>
      </c>
      <c r="AE43" s="8">
        <f>COUNTIF(AE27:AE42,"1")</f>
        <v>16</v>
      </c>
      <c r="AF43" s="8">
        <f>COUNTIF(AF27:AF42,"1")</f>
        <v>10</v>
      </c>
      <c r="AG43" s="8">
        <f>COUNTIF(AG27:AG42,"1")</f>
        <v>11</v>
      </c>
      <c r="AH43" s="8">
        <f>COUNTIF(AH27:AH42,"1")</f>
        <v>0</v>
      </c>
      <c r="AI43" s="8">
        <f>COUNTIF(AI27:AI42,"1")</f>
        <v>0</v>
      </c>
      <c r="AJ43" s="8">
        <f>COUNTIF(AJ27:AJ42,"1")</f>
        <v>0</v>
      </c>
      <c r="AK43" s="8">
        <f>COUNTIF(AK27:AK42,"1")</f>
        <v>0</v>
      </c>
      <c r="AL43" s="8">
        <f>COUNTIF(AL27:AL42,"1")</f>
        <v>0</v>
      </c>
      <c r="AM43" s="8">
        <f>COUNTIF(AM27:AM42,"1")</f>
        <v>0</v>
      </c>
      <c r="AN43" s="8">
        <f>COUNTIF(AN27:AN42,"1")</f>
        <v>0</v>
      </c>
      <c r="AO43" s="8">
        <f>COUNTIF(AO27:AO42,"1")</f>
        <v>0</v>
      </c>
      <c r="AP43" s="8">
        <f>COUNTIF(AP27:AP42,"1")</f>
        <v>0</v>
      </c>
      <c r="AQ43" s="8">
        <f t="shared" ref="AQ43:AT43" si="4">COUNTIF(AQ27:AQ42,"1")</f>
        <v>0</v>
      </c>
      <c r="AR43" s="8">
        <f t="shared" si="4"/>
        <v>0</v>
      </c>
      <c r="AS43" s="8">
        <f t="shared" si="4"/>
        <v>0</v>
      </c>
      <c r="AT43" s="8">
        <f t="shared" si="4"/>
        <v>0</v>
      </c>
      <c r="AU43" s="1">
        <f t="shared" si="1"/>
        <v>247</v>
      </c>
    </row>
    <row r="44" spans="1:47">
      <c r="B44" s="22"/>
      <c r="C44" s="22"/>
      <c r="D44" s="22"/>
      <c r="E44" s="99">
        <v>45910</v>
      </c>
      <c r="F44" s="99">
        <f>E44+7</f>
        <v>45917</v>
      </c>
      <c r="G44" s="99">
        <f t="shared" ref="G44:AT44" si="5">F44+7</f>
        <v>45924</v>
      </c>
      <c r="H44" s="99">
        <f t="shared" si="5"/>
        <v>45931</v>
      </c>
      <c r="I44" s="99">
        <f t="shared" si="5"/>
        <v>45938</v>
      </c>
      <c r="J44" s="99">
        <f t="shared" si="5"/>
        <v>45945</v>
      </c>
      <c r="K44" s="99">
        <f t="shared" si="5"/>
        <v>45952</v>
      </c>
      <c r="L44" s="99">
        <f t="shared" si="5"/>
        <v>45959</v>
      </c>
      <c r="M44" s="99">
        <f t="shared" si="5"/>
        <v>45966</v>
      </c>
      <c r="N44" s="99">
        <f t="shared" si="5"/>
        <v>45973</v>
      </c>
      <c r="O44" s="99">
        <f t="shared" si="5"/>
        <v>45980</v>
      </c>
      <c r="P44" s="99">
        <f t="shared" si="5"/>
        <v>45987</v>
      </c>
      <c r="Q44" s="99">
        <f t="shared" si="5"/>
        <v>45994</v>
      </c>
      <c r="R44" s="99">
        <f t="shared" si="5"/>
        <v>46001</v>
      </c>
      <c r="S44" s="99">
        <f t="shared" si="5"/>
        <v>46008</v>
      </c>
      <c r="T44" s="99">
        <f t="shared" si="5"/>
        <v>46015</v>
      </c>
      <c r="U44" s="99">
        <f t="shared" si="5"/>
        <v>46022</v>
      </c>
      <c r="V44" s="99">
        <f t="shared" si="5"/>
        <v>46029</v>
      </c>
      <c r="W44" s="99">
        <f t="shared" si="5"/>
        <v>46036</v>
      </c>
      <c r="X44" s="99">
        <f t="shared" si="5"/>
        <v>46043</v>
      </c>
      <c r="Y44" s="99">
        <f t="shared" si="5"/>
        <v>46050</v>
      </c>
      <c r="Z44" s="99">
        <f t="shared" si="5"/>
        <v>46057</v>
      </c>
      <c r="AA44" s="99">
        <f t="shared" si="5"/>
        <v>46064</v>
      </c>
      <c r="AB44" s="99">
        <f t="shared" si="5"/>
        <v>46071</v>
      </c>
      <c r="AC44" s="99">
        <f t="shared" si="5"/>
        <v>46078</v>
      </c>
      <c r="AD44" s="99">
        <f t="shared" si="5"/>
        <v>46085</v>
      </c>
      <c r="AE44" s="99">
        <f t="shared" si="5"/>
        <v>46092</v>
      </c>
      <c r="AF44" s="99">
        <f t="shared" si="5"/>
        <v>46099</v>
      </c>
      <c r="AG44" s="99">
        <f t="shared" si="5"/>
        <v>46106</v>
      </c>
      <c r="AH44" s="99">
        <f t="shared" si="5"/>
        <v>46113</v>
      </c>
      <c r="AI44" s="99">
        <f t="shared" si="5"/>
        <v>46120</v>
      </c>
      <c r="AJ44" s="99">
        <f t="shared" si="5"/>
        <v>46127</v>
      </c>
      <c r="AK44" s="99">
        <f t="shared" si="5"/>
        <v>46134</v>
      </c>
      <c r="AL44" s="99">
        <f t="shared" si="5"/>
        <v>46141</v>
      </c>
      <c r="AM44" s="99">
        <f t="shared" si="5"/>
        <v>46148</v>
      </c>
      <c r="AN44" s="99">
        <f t="shared" si="5"/>
        <v>46155</v>
      </c>
      <c r="AO44" s="99">
        <f t="shared" si="5"/>
        <v>46162</v>
      </c>
      <c r="AP44" s="99">
        <f t="shared" si="5"/>
        <v>46169</v>
      </c>
      <c r="AQ44" s="99">
        <f t="shared" si="5"/>
        <v>46176</v>
      </c>
      <c r="AR44" s="99">
        <f t="shared" si="5"/>
        <v>46183</v>
      </c>
      <c r="AS44" s="99">
        <f t="shared" si="5"/>
        <v>46190</v>
      </c>
      <c r="AT44" s="99">
        <f t="shared" si="5"/>
        <v>46197</v>
      </c>
      <c r="AU44" s="1"/>
    </row>
    <row r="45" spans="1:47">
      <c r="A45"/>
      <c r="B45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1"/>
    </row>
    <row r="46" spans="1:47">
      <c r="A46"/>
      <c r="B46"/>
      <c r="E46" s="6" t="s">
        <v>4</v>
      </c>
      <c r="F46" s="15" t="s">
        <v>5</v>
      </c>
      <c r="G46" s="6" t="s">
        <v>6</v>
      </c>
      <c r="H46" s="15" t="s">
        <v>7</v>
      </c>
      <c r="I46" s="6" t="s">
        <v>8</v>
      </c>
      <c r="J46" s="15" t="s">
        <v>9</v>
      </c>
      <c r="K46" s="27" t="s">
        <v>10</v>
      </c>
      <c r="L46" s="27" t="s">
        <v>10</v>
      </c>
      <c r="M46" s="6" t="s">
        <v>11</v>
      </c>
      <c r="N46" s="15" t="s">
        <v>12</v>
      </c>
      <c r="O46" s="6" t="s">
        <v>13</v>
      </c>
      <c r="P46" s="15" t="s">
        <v>14</v>
      </c>
      <c r="Q46" s="6" t="s">
        <v>15</v>
      </c>
      <c r="R46" s="6" t="s">
        <v>16</v>
      </c>
      <c r="S46" s="6" t="s">
        <v>17</v>
      </c>
      <c r="T46" s="27" t="s">
        <v>10</v>
      </c>
      <c r="U46" s="27" t="s">
        <v>10</v>
      </c>
      <c r="V46" s="15" t="s">
        <v>18</v>
      </c>
      <c r="W46" s="6" t="s">
        <v>19</v>
      </c>
      <c r="X46" s="15" t="s">
        <v>20</v>
      </c>
      <c r="Y46" s="6" t="s">
        <v>21</v>
      </c>
      <c r="Z46" s="15" t="s">
        <v>22</v>
      </c>
      <c r="AA46" s="6" t="s">
        <v>23</v>
      </c>
      <c r="AB46" s="15" t="s">
        <v>24</v>
      </c>
      <c r="AC46" s="27" t="s">
        <v>10</v>
      </c>
      <c r="AD46" s="27" t="s">
        <v>10</v>
      </c>
      <c r="AE46" s="6" t="s">
        <v>25</v>
      </c>
      <c r="AF46" s="15" t="s">
        <v>26</v>
      </c>
      <c r="AG46" s="6" t="s">
        <v>27</v>
      </c>
      <c r="AH46" s="6" t="s">
        <v>28</v>
      </c>
      <c r="AI46" s="15" t="s">
        <v>29</v>
      </c>
      <c r="AJ46" s="6" t="s">
        <v>30</v>
      </c>
      <c r="AK46" s="27" t="s">
        <v>10</v>
      </c>
      <c r="AL46" s="27" t="s">
        <v>10</v>
      </c>
      <c r="AM46" s="15" t="s">
        <v>31</v>
      </c>
      <c r="AN46" s="14" t="s">
        <v>32</v>
      </c>
      <c r="AO46" s="15" t="s">
        <v>33</v>
      </c>
      <c r="AP46" s="14" t="s">
        <v>34</v>
      </c>
      <c r="AQ46" s="14" t="s">
        <v>35</v>
      </c>
      <c r="AR46" s="14" t="s">
        <v>36</v>
      </c>
      <c r="AS46" s="14" t="s">
        <v>37</v>
      </c>
      <c r="AT46" s="14" t="s">
        <v>38</v>
      </c>
      <c r="AU46" s="1">
        <f t="shared" si="1"/>
        <v>0</v>
      </c>
    </row>
    <row r="47" spans="1:47">
      <c r="A47" s="102" t="s">
        <v>157</v>
      </c>
      <c r="B47" s="23">
        <v>1</v>
      </c>
      <c r="C47" s="11" t="s">
        <v>202</v>
      </c>
      <c r="D47" s="11" t="s">
        <v>103</v>
      </c>
      <c r="E47" s="50">
        <v>1</v>
      </c>
      <c r="F47" s="50">
        <v>1</v>
      </c>
      <c r="G47" s="50">
        <v>1</v>
      </c>
      <c r="H47" s="50">
        <v>1</v>
      </c>
      <c r="I47" s="50">
        <v>1</v>
      </c>
      <c r="J47" s="50">
        <v>0</v>
      </c>
      <c r="K47" s="52"/>
      <c r="L47" s="52"/>
      <c r="M47" s="50">
        <v>1</v>
      </c>
      <c r="N47" s="50">
        <v>1</v>
      </c>
      <c r="O47" s="50">
        <v>1</v>
      </c>
      <c r="P47" s="50">
        <v>0</v>
      </c>
      <c r="Q47" s="50">
        <v>1</v>
      </c>
      <c r="R47" s="50">
        <v>0</v>
      </c>
      <c r="S47" s="50">
        <v>1</v>
      </c>
      <c r="T47" s="52"/>
      <c r="U47" s="52"/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50">
        <v>0</v>
      </c>
      <c r="AB47" s="50">
        <v>0</v>
      </c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1">
        <f>SUM(I47:AT47)</f>
        <v>6</v>
      </c>
    </row>
    <row r="48" spans="1:47">
      <c r="A48" s="102"/>
      <c r="B48" s="23">
        <v>2</v>
      </c>
      <c r="C48" s="11" t="s">
        <v>203</v>
      </c>
      <c r="D48" s="11" t="s">
        <v>103</v>
      </c>
      <c r="E48" s="50">
        <v>1</v>
      </c>
      <c r="F48" s="50">
        <v>0</v>
      </c>
      <c r="G48" s="50">
        <v>1</v>
      </c>
      <c r="H48" s="50">
        <v>1</v>
      </c>
      <c r="I48" s="50">
        <v>1</v>
      </c>
      <c r="J48" s="50">
        <v>1</v>
      </c>
      <c r="K48" s="52"/>
      <c r="L48" s="52"/>
      <c r="M48" s="50">
        <v>1</v>
      </c>
      <c r="N48" s="50">
        <v>1</v>
      </c>
      <c r="O48" s="50">
        <v>1</v>
      </c>
      <c r="P48" s="50">
        <v>1</v>
      </c>
      <c r="Q48" s="50">
        <v>1</v>
      </c>
      <c r="R48" s="50">
        <v>1</v>
      </c>
      <c r="S48" s="50">
        <v>1</v>
      </c>
      <c r="T48" s="52"/>
      <c r="U48" s="52"/>
      <c r="V48" s="50">
        <v>1</v>
      </c>
      <c r="W48" s="50">
        <v>1</v>
      </c>
      <c r="X48" s="50">
        <v>1</v>
      </c>
      <c r="Y48" s="50">
        <v>1</v>
      </c>
      <c r="Z48" s="50">
        <v>1</v>
      </c>
      <c r="AA48" s="50">
        <v>1</v>
      </c>
      <c r="AB48" s="50">
        <v>1</v>
      </c>
      <c r="AC48" s="52"/>
      <c r="AD48" s="52"/>
      <c r="AE48" s="50">
        <v>1</v>
      </c>
      <c r="AF48" s="50">
        <v>1</v>
      </c>
      <c r="AG48" s="50">
        <v>1</v>
      </c>
      <c r="AH48" s="51"/>
      <c r="AI48" s="51"/>
      <c r="AJ48" s="51"/>
      <c r="AK48" s="52"/>
      <c r="AL48" s="52"/>
      <c r="AM48" s="51"/>
      <c r="AN48" s="51"/>
      <c r="AO48" s="51"/>
      <c r="AP48" s="51"/>
      <c r="AQ48" s="51"/>
      <c r="AR48" s="51"/>
      <c r="AS48" s="51"/>
      <c r="AT48" s="51"/>
      <c r="AU48" s="1">
        <f t="shared" ref="AU48:AU62" si="6">SUM(I48:AT48)</f>
        <v>19</v>
      </c>
    </row>
    <row r="49" spans="1:47">
      <c r="A49" s="102"/>
      <c r="B49" s="23">
        <v>3</v>
      </c>
      <c r="C49" s="11" t="s">
        <v>204</v>
      </c>
      <c r="D49" s="11" t="s">
        <v>103</v>
      </c>
      <c r="E49" s="50">
        <v>1</v>
      </c>
      <c r="F49" s="50">
        <v>1</v>
      </c>
      <c r="G49" s="50">
        <v>1</v>
      </c>
      <c r="H49" s="50">
        <v>1</v>
      </c>
      <c r="I49" s="50">
        <v>1</v>
      </c>
      <c r="J49" s="50">
        <v>1</v>
      </c>
      <c r="K49" s="52"/>
      <c r="L49" s="52"/>
      <c r="M49" s="50">
        <v>1</v>
      </c>
      <c r="N49" s="50">
        <v>1</v>
      </c>
      <c r="O49" s="50">
        <v>1</v>
      </c>
      <c r="P49" s="50">
        <v>1</v>
      </c>
      <c r="Q49" s="50">
        <v>1</v>
      </c>
      <c r="R49" s="50">
        <v>1</v>
      </c>
      <c r="S49" s="50">
        <v>1</v>
      </c>
      <c r="T49" s="52"/>
      <c r="U49" s="52"/>
      <c r="V49" s="50">
        <v>1</v>
      </c>
      <c r="W49" s="50">
        <v>1</v>
      </c>
      <c r="X49" s="50">
        <v>1</v>
      </c>
      <c r="Y49" s="50">
        <v>1</v>
      </c>
      <c r="Z49" s="50">
        <v>0</v>
      </c>
      <c r="AA49" s="50">
        <v>1</v>
      </c>
      <c r="AB49" s="50">
        <v>1</v>
      </c>
      <c r="AC49" s="52"/>
      <c r="AD49" s="52"/>
      <c r="AE49" s="50">
        <v>1</v>
      </c>
      <c r="AF49" s="50">
        <v>1</v>
      </c>
      <c r="AG49" s="50">
        <v>1</v>
      </c>
      <c r="AH49" s="51"/>
      <c r="AI49" s="51"/>
      <c r="AJ49" s="51"/>
      <c r="AK49" s="52"/>
      <c r="AL49" s="52"/>
      <c r="AM49" s="51"/>
      <c r="AN49" s="51"/>
      <c r="AO49" s="51"/>
      <c r="AP49" s="51"/>
      <c r="AQ49" s="51"/>
      <c r="AR49" s="51"/>
      <c r="AS49" s="51"/>
      <c r="AT49" s="51"/>
      <c r="AU49" s="1">
        <f t="shared" si="6"/>
        <v>18</v>
      </c>
    </row>
    <row r="50" spans="1:47">
      <c r="A50" s="102"/>
      <c r="B50" s="23">
        <v>4</v>
      </c>
      <c r="C50" s="11" t="s">
        <v>205</v>
      </c>
      <c r="D50" s="11" t="s">
        <v>103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50">
        <v>1</v>
      </c>
      <c r="K50" s="52"/>
      <c r="L50" s="52"/>
      <c r="M50" s="50">
        <v>1</v>
      </c>
      <c r="N50" s="50">
        <v>1</v>
      </c>
      <c r="O50" s="50">
        <v>1</v>
      </c>
      <c r="P50" s="50">
        <v>1</v>
      </c>
      <c r="Q50" s="50">
        <v>1</v>
      </c>
      <c r="R50" s="50">
        <v>1</v>
      </c>
      <c r="S50" s="50">
        <v>1</v>
      </c>
      <c r="T50" s="52"/>
      <c r="U50" s="52"/>
      <c r="V50" s="50">
        <v>1</v>
      </c>
      <c r="W50" s="50">
        <v>1</v>
      </c>
      <c r="X50" s="50">
        <v>1</v>
      </c>
      <c r="Y50" s="50">
        <v>1</v>
      </c>
      <c r="Z50" s="50">
        <v>1</v>
      </c>
      <c r="AA50" s="50">
        <v>1</v>
      </c>
      <c r="AB50" s="50">
        <v>1</v>
      </c>
      <c r="AC50" s="52"/>
      <c r="AD50" s="52"/>
      <c r="AE50" s="50">
        <v>1</v>
      </c>
      <c r="AF50" s="50">
        <v>1</v>
      </c>
      <c r="AG50" s="50">
        <v>1</v>
      </c>
      <c r="AH50" s="51"/>
      <c r="AI50" s="51"/>
      <c r="AJ50" s="51"/>
      <c r="AK50" s="52"/>
      <c r="AL50" s="52"/>
      <c r="AM50" s="51"/>
      <c r="AN50" s="51"/>
      <c r="AO50" s="51"/>
      <c r="AP50" s="51"/>
      <c r="AQ50" s="51"/>
      <c r="AR50" s="51"/>
      <c r="AS50" s="51"/>
      <c r="AT50" s="51"/>
      <c r="AU50" s="1">
        <f t="shared" si="6"/>
        <v>18</v>
      </c>
    </row>
    <row r="51" spans="1:47">
      <c r="A51" s="102"/>
      <c r="B51" s="23">
        <v>5</v>
      </c>
      <c r="C51" s="11" t="s">
        <v>206</v>
      </c>
      <c r="D51" s="11" t="s">
        <v>103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52"/>
      <c r="L51" s="52"/>
      <c r="M51" s="50">
        <v>1</v>
      </c>
      <c r="N51" s="50">
        <v>1</v>
      </c>
      <c r="O51" s="50">
        <v>1</v>
      </c>
      <c r="P51" s="50">
        <v>1</v>
      </c>
      <c r="Q51" s="50">
        <v>1</v>
      </c>
      <c r="R51" s="50">
        <v>0</v>
      </c>
      <c r="S51" s="50">
        <v>1</v>
      </c>
      <c r="T51" s="52"/>
      <c r="U51" s="52"/>
      <c r="V51" s="50">
        <v>1</v>
      </c>
      <c r="W51" s="50">
        <v>1</v>
      </c>
      <c r="X51" s="50">
        <v>1</v>
      </c>
      <c r="Y51" s="50">
        <v>1</v>
      </c>
      <c r="Z51" s="50">
        <v>1</v>
      </c>
      <c r="AA51" s="50">
        <v>1</v>
      </c>
      <c r="AB51" s="50">
        <v>0</v>
      </c>
      <c r="AC51" s="52"/>
      <c r="AD51" s="52"/>
      <c r="AE51" s="50">
        <v>1</v>
      </c>
      <c r="AF51" s="50">
        <v>1</v>
      </c>
      <c r="AG51" s="50">
        <v>1</v>
      </c>
      <c r="AH51" s="51"/>
      <c r="AI51" s="51"/>
      <c r="AJ51" s="51"/>
      <c r="AK51" s="52"/>
      <c r="AL51" s="52"/>
      <c r="AM51" s="51"/>
      <c r="AN51" s="51"/>
      <c r="AO51" s="51"/>
      <c r="AP51" s="51"/>
      <c r="AQ51" s="51"/>
      <c r="AR51" s="51"/>
      <c r="AS51" s="51"/>
      <c r="AT51" s="51"/>
      <c r="AU51" s="1">
        <f t="shared" si="6"/>
        <v>15</v>
      </c>
    </row>
    <row r="52" spans="1:47">
      <c r="A52" s="102"/>
      <c r="B52" s="23">
        <v>6</v>
      </c>
      <c r="C52" s="11" t="s">
        <v>207</v>
      </c>
      <c r="D52" s="11" t="s">
        <v>208</v>
      </c>
      <c r="E52" s="50">
        <v>1</v>
      </c>
      <c r="F52" s="50">
        <v>1</v>
      </c>
      <c r="G52" s="50">
        <v>1</v>
      </c>
      <c r="H52" s="50">
        <v>1</v>
      </c>
      <c r="I52" s="50">
        <v>1</v>
      </c>
      <c r="J52" s="50">
        <v>1</v>
      </c>
      <c r="K52" s="52"/>
      <c r="L52" s="52"/>
      <c r="M52" s="50">
        <v>1</v>
      </c>
      <c r="N52" s="50">
        <v>1</v>
      </c>
      <c r="O52" s="50">
        <v>1</v>
      </c>
      <c r="P52" s="50">
        <v>1</v>
      </c>
      <c r="Q52" s="50">
        <v>1</v>
      </c>
      <c r="R52" s="50">
        <v>1</v>
      </c>
      <c r="S52" s="50">
        <v>1</v>
      </c>
      <c r="T52" s="52"/>
      <c r="U52" s="52"/>
      <c r="V52" s="50">
        <v>1</v>
      </c>
      <c r="W52" s="50">
        <v>1</v>
      </c>
      <c r="X52" s="50">
        <v>0</v>
      </c>
      <c r="Y52" s="50">
        <v>1</v>
      </c>
      <c r="Z52" s="50">
        <v>1</v>
      </c>
      <c r="AA52" s="50">
        <v>0</v>
      </c>
      <c r="AB52" s="50">
        <v>1</v>
      </c>
      <c r="AC52" s="52"/>
      <c r="AD52" s="52"/>
      <c r="AE52" s="50">
        <v>1</v>
      </c>
      <c r="AF52" s="50">
        <v>1</v>
      </c>
      <c r="AG52" s="50">
        <v>0</v>
      </c>
      <c r="AH52" s="51"/>
      <c r="AI52" s="51"/>
      <c r="AJ52" s="51"/>
      <c r="AK52" s="52"/>
      <c r="AL52" s="52"/>
      <c r="AM52" s="51"/>
      <c r="AN52" s="51"/>
      <c r="AO52" s="51"/>
      <c r="AP52" s="51"/>
      <c r="AQ52" s="51"/>
      <c r="AR52" s="51"/>
      <c r="AS52" s="51"/>
      <c r="AT52" s="51"/>
      <c r="AU52" s="1">
        <f t="shared" si="6"/>
        <v>16</v>
      </c>
    </row>
    <row r="53" spans="1:47">
      <c r="A53" s="102"/>
      <c r="B53" s="23">
        <v>7</v>
      </c>
      <c r="C53" s="11" t="s">
        <v>209</v>
      </c>
      <c r="D53" s="11" t="s">
        <v>208</v>
      </c>
      <c r="E53" s="47">
        <v>1</v>
      </c>
      <c r="F53" s="47">
        <v>1</v>
      </c>
      <c r="G53" s="47">
        <v>1</v>
      </c>
      <c r="H53" s="47">
        <v>1</v>
      </c>
      <c r="I53" s="47">
        <v>1</v>
      </c>
      <c r="J53" s="47">
        <v>1</v>
      </c>
      <c r="K53" s="49"/>
      <c r="L53" s="49"/>
      <c r="M53" s="47">
        <v>1</v>
      </c>
      <c r="N53" s="47">
        <v>0</v>
      </c>
      <c r="O53" s="47">
        <v>1</v>
      </c>
      <c r="P53" s="47">
        <v>0</v>
      </c>
      <c r="Q53" s="47">
        <v>0</v>
      </c>
      <c r="R53" s="47">
        <v>0</v>
      </c>
      <c r="S53" s="47">
        <v>1</v>
      </c>
      <c r="T53" s="49"/>
      <c r="U53" s="49"/>
      <c r="V53" s="47">
        <v>1</v>
      </c>
      <c r="W53" s="47">
        <v>1</v>
      </c>
      <c r="X53" s="47">
        <v>1</v>
      </c>
      <c r="Y53" s="47">
        <v>1</v>
      </c>
      <c r="Z53" s="47">
        <v>0</v>
      </c>
      <c r="AA53" s="47">
        <v>1</v>
      </c>
      <c r="AB53" s="47">
        <v>0</v>
      </c>
      <c r="AC53" s="52"/>
      <c r="AD53" s="52"/>
      <c r="AE53" s="50"/>
      <c r="AF53" s="50">
        <v>1</v>
      </c>
      <c r="AG53" s="50">
        <v>1</v>
      </c>
      <c r="AH53" s="51"/>
      <c r="AI53" s="51"/>
      <c r="AJ53" s="51"/>
      <c r="AK53" s="52"/>
      <c r="AL53" s="52"/>
      <c r="AM53" s="51"/>
      <c r="AN53" s="51"/>
      <c r="AO53" s="51"/>
      <c r="AP53" s="51"/>
      <c r="AQ53" s="51"/>
      <c r="AR53" s="51"/>
      <c r="AS53" s="51"/>
      <c r="AT53" s="51"/>
      <c r="AU53" s="1">
        <f t="shared" si="6"/>
        <v>12</v>
      </c>
    </row>
    <row r="54" spans="1:47">
      <c r="A54" s="102"/>
      <c r="B54" s="23">
        <v>8</v>
      </c>
      <c r="C54" s="11" t="s">
        <v>210</v>
      </c>
      <c r="D54" s="11" t="s">
        <v>208</v>
      </c>
      <c r="E54" s="87">
        <v>0</v>
      </c>
      <c r="F54" s="87">
        <v>0</v>
      </c>
      <c r="G54" s="87">
        <v>0</v>
      </c>
      <c r="H54" s="87">
        <v>0</v>
      </c>
      <c r="I54" s="50">
        <v>1</v>
      </c>
      <c r="J54" s="50">
        <v>1</v>
      </c>
      <c r="K54" s="52"/>
      <c r="L54" s="52"/>
      <c r="M54" s="50">
        <v>1</v>
      </c>
      <c r="N54" s="50">
        <v>1</v>
      </c>
      <c r="O54" s="50">
        <v>1</v>
      </c>
      <c r="P54" s="50">
        <v>0</v>
      </c>
      <c r="Q54" s="50">
        <v>1</v>
      </c>
      <c r="R54" s="50">
        <v>1</v>
      </c>
      <c r="S54" s="50">
        <v>1</v>
      </c>
      <c r="T54" s="52"/>
      <c r="U54" s="52"/>
      <c r="V54" s="50">
        <v>0</v>
      </c>
      <c r="W54" s="50">
        <v>1</v>
      </c>
      <c r="X54" s="50">
        <v>1</v>
      </c>
      <c r="Y54" s="50">
        <v>0</v>
      </c>
      <c r="Z54" s="50">
        <v>1</v>
      </c>
      <c r="AA54" s="50">
        <v>1</v>
      </c>
      <c r="AB54" s="50">
        <v>1</v>
      </c>
      <c r="AC54" s="49"/>
      <c r="AD54" s="49"/>
      <c r="AE54" s="47">
        <v>1</v>
      </c>
      <c r="AF54" s="47">
        <v>1</v>
      </c>
      <c r="AG54" s="47">
        <v>1</v>
      </c>
      <c r="AH54" s="48"/>
      <c r="AI54" s="48"/>
      <c r="AJ54" s="48"/>
      <c r="AK54" s="49"/>
      <c r="AL54" s="49"/>
      <c r="AM54" s="48"/>
      <c r="AN54" s="48"/>
      <c r="AO54" s="48"/>
      <c r="AP54" s="48"/>
      <c r="AQ54" s="48"/>
      <c r="AR54" s="48"/>
      <c r="AS54" s="48"/>
      <c r="AT54" s="48"/>
      <c r="AU54" s="1">
        <f t="shared" si="6"/>
        <v>16</v>
      </c>
    </row>
    <row r="55" spans="1:47">
      <c r="B55" s="23">
        <v>9</v>
      </c>
      <c r="C55" s="11" t="s">
        <v>211</v>
      </c>
      <c r="D55" s="11" t="s">
        <v>212</v>
      </c>
      <c r="E55" s="50">
        <v>1</v>
      </c>
      <c r="F55" s="50">
        <v>1</v>
      </c>
      <c r="G55" s="50">
        <v>1</v>
      </c>
      <c r="H55" s="50">
        <v>1</v>
      </c>
      <c r="I55" s="50">
        <v>1</v>
      </c>
      <c r="J55" s="50">
        <v>1</v>
      </c>
      <c r="K55" s="52"/>
      <c r="L55" s="52"/>
      <c r="M55" s="50">
        <v>0</v>
      </c>
      <c r="N55" s="50">
        <v>1</v>
      </c>
      <c r="O55" s="50">
        <v>1</v>
      </c>
      <c r="P55" s="50">
        <v>1</v>
      </c>
      <c r="Q55" s="50">
        <v>1</v>
      </c>
      <c r="R55" s="50">
        <v>0</v>
      </c>
      <c r="S55" s="50">
        <v>1</v>
      </c>
      <c r="T55" s="52"/>
      <c r="U55" s="52"/>
      <c r="V55" s="50">
        <v>1</v>
      </c>
      <c r="W55" s="50">
        <v>0</v>
      </c>
      <c r="X55" s="50">
        <v>0</v>
      </c>
      <c r="Y55" s="50">
        <v>1</v>
      </c>
      <c r="Z55" s="50">
        <v>1</v>
      </c>
      <c r="AA55" s="50">
        <v>1</v>
      </c>
      <c r="AB55" s="50">
        <v>0</v>
      </c>
      <c r="AC55" s="52"/>
      <c r="AD55" s="52"/>
      <c r="AE55" s="50">
        <v>1</v>
      </c>
      <c r="AF55" s="50">
        <v>1</v>
      </c>
      <c r="AG55" s="50">
        <v>1</v>
      </c>
      <c r="AH55" s="51"/>
      <c r="AI55" s="51"/>
      <c r="AJ55" s="51"/>
      <c r="AK55" s="52"/>
      <c r="AL55" s="52"/>
      <c r="AM55" s="51"/>
      <c r="AN55" s="51"/>
      <c r="AO55" s="51"/>
      <c r="AP55" s="51"/>
      <c r="AQ55" s="51"/>
      <c r="AR55" s="51"/>
      <c r="AS55" s="51"/>
      <c r="AT55" s="51"/>
      <c r="AU55" s="1">
        <f t="shared" si="6"/>
        <v>14</v>
      </c>
    </row>
    <row r="56" spans="1:47">
      <c r="B56" s="23">
        <v>10</v>
      </c>
      <c r="C56" s="11" t="s">
        <v>213</v>
      </c>
      <c r="D56" s="11" t="s">
        <v>212</v>
      </c>
      <c r="E56" s="50">
        <v>1</v>
      </c>
      <c r="F56" s="50">
        <v>1</v>
      </c>
      <c r="G56" s="50">
        <v>1</v>
      </c>
      <c r="H56" s="50">
        <v>1</v>
      </c>
      <c r="I56" s="50">
        <v>1</v>
      </c>
      <c r="J56" s="50">
        <v>1</v>
      </c>
      <c r="K56" s="52"/>
      <c r="L56" s="52"/>
      <c r="M56" s="50">
        <v>1</v>
      </c>
      <c r="N56" s="50">
        <v>1</v>
      </c>
      <c r="O56" s="50">
        <v>1</v>
      </c>
      <c r="P56" s="50">
        <v>1</v>
      </c>
      <c r="Q56" s="50">
        <v>1</v>
      </c>
      <c r="R56" s="50">
        <v>1</v>
      </c>
      <c r="S56" s="50">
        <v>1</v>
      </c>
      <c r="T56" s="52"/>
      <c r="U56" s="52"/>
      <c r="V56" s="50">
        <v>0</v>
      </c>
      <c r="W56" s="50">
        <v>0</v>
      </c>
      <c r="X56" s="50">
        <v>1</v>
      </c>
      <c r="Y56" s="50">
        <v>0</v>
      </c>
      <c r="Z56" s="50">
        <v>1</v>
      </c>
      <c r="AA56" s="50">
        <v>0</v>
      </c>
      <c r="AB56" s="50">
        <v>1</v>
      </c>
      <c r="AC56" s="52"/>
      <c r="AD56" s="52"/>
      <c r="AE56" s="50">
        <v>1</v>
      </c>
      <c r="AF56" s="50">
        <v>1</v>
      </c>
      <c r="AG56" s="50">
        <v>1</v>
      </c>
      <c r="AH56" s="51"/>
      <c r="AI56" s="51"/>
      <c r="AJ56" s="51"/>
      <c r="AK56" s="52"/>
      <c r="AL56" s="52"/>
      <c r="AM56" s="51"/>
      <c r="AN56" s="51"/>
      <c r="AO56" s="51"/>
      <c r="AP56" s="51"/>
      <c r="AQ56" s="51"/>
      <c r="AR56" s="51"/>
      <c r="AS56" s="51"/>
      <c r="AT56" s="51"/>
      <c r="AU56" s="1">
        <f t="shared" si="6"/>
        <v>15</v>
      </c>
    </row>
    <row r="57" spans="1:47">
      <c r="B57" s="23">
        <v>11</v>
      </c>
      <c r="C57" s="11" t="s">
        <v>214</v>
      </c>
      <c r="D57" s="11" t="s">
        <v>212</v>
      </c>
      <c r="E57" s="50">
        <v>1</v>
      </c>
      <c r="F57" s="50">
        <v>0</v>
      </c>
      <c r="G57" s="50">
        <v>0</v>
      </c>
      <c r="H57" s="50">
        <v>1</v>
      </c>
      <c r="I57" s="50">
        <v>1</v>
      </c>
      <c r="J57" s="50">
        <v>0</v>
      </c>
      <c r="K57" s="52"/>
      <c r="L57" s="52"/>
      <c r="M57" s="50">
        <v>1</v>
      </c>
      <c r="N57" s="50">
        <v>1</v>
      </c>
      <c r="O57" s="50">
        <v>0</v>
      </c>
      <c r="P57" s="50">
        <v>1</v>
      </c>
      <c r="Q57" s="50">
        <v>1</v>
      </c>
      <c r="R57" s="50">
        <v>1</v>
      </c>
      <c r="S57" s="50">
        <v>1</v>
      </c>
      <c r="T57" s="52"/>
      <c r="U57" s="52"/>
      <c r="V57" s="50">
        <v>1</v>
      </c>
      <c r="W57" s="50">
        <v>1</v>
      </c>
      <c r="X57" s="50">
        <v>1</v>
      </c>
      <c r="Y57" s="50">
        <v>0</v>
      </c>
      <c r="Z57" s="50">
        <v>1</v>
      </c>
      <c r="AA57" s="50">
        <v>0</v>
      </c>
      <c r="AB57" s="50">
        <v>0</v>
      </c>
      <c r="AC57" s="52"/>
      <c r="AD57" s="52"/>
      <c r="AE57" s="50">
        <v>1</v>
      </c>
      <c r="AF57" s="50">
        <v>0</v>
      </c>
      <c r="AG57" s="50">
        <v>1</v>
      </c>
      <c r="AH57" s="51"/>
      <c r="AI57" s="51"/>
      <c r="AJ57" s="51"/>
      <c r="AK57" s="52"/>
      <c r="AL57" s="52"/>
      <c r="AM57" s="51"/>
      <c r="AN57" s="51"/>
      <c r="AO57" s="51"/>
      <c r="AP57" s="51"/>
      <c r="AQ57" s="51"/>
      <c r="AR57" s="51"/>
      <c r="AS57" s="51"/>
      <c r="AT57" s="51"/>
      <c r="AU57" s="1">
        <f t="shared" si="6"/>
        <v>13</v>
      </c>
    </row>
    <row r="58" spans="1:47">
      <c r="B58" s="23">
        <v>12</v>
      </c>
      <c r="C58" s="11" t="s">
        <v>215</v>
      </c>
      <c r="D58" s="11" t="s">
        <v>216</v>
      </c>
      <c r="E58" s="50">
        <v>1</v>
      </c>
      <c r="F58" s="50">
        <v>1</v>
      </c>
      <c r="G58" s="50">
        <v>1</v>
      </c>
      <c r="H58" s="50">
        <v>1</v>
      </c>
      <c r="I58" s="50">
        <v>1</v>
      </c>
      <c r="J58" s="50">
        <v>1</v>
      </c>
      <c r="K58" s="52"/>
      <c r="L58" s="52"/>
      <c r="M58" s="50">
        <v>1</v>
      </c>
      <c r="N58" s="50">
        <v>1</v>
      </c>
      <c r="O58" s="50">
        <v>1</v>
      </c>
      <c r="P58" s="50">
        <v>1</v>
      </c>
      <c r="Q58" s="50">
        <v>1</v>
      </c>
      <c r="R58" s="50">
        <v>1</v>
      </c>
      <c r="S58" s="50">
        <v>1</v>
      </c>
      <c r="T58" s="52"/>
      <c r="U58" s="52"/>
      <c r="V58" s="50">
        <v>1</v>
      </c>
      <c r="W58" s="50">
        <v>1</v>
      </c>
      <c r="X58" s="50">
        <v>1</v>
      </c>
      <c r="Y58" s="50">
        <v>1</v>
      </c>
      <c r="Z58" s="50">
        <v>1</v>
      </c>
      <c r="AA58" s="50">
        <v>1</v>
      </c>
      <c r="AB58" s="50">
        <v>1</v>
      </c>
      <c r="AC58" s="52"/>
      <c r="AD58" s="52"/>
      <c r="AE58" s="50">
        <v>1</v>
      </c>
      <c r="AF58" s="50">
        <v>1</v>
      </c>
      <c r="AG58" s="50">
        <v>1</v>
      </c>
      <c r="AH58" s="51"/>
      <c r="AI58" s="51"/>
      <c r="AJ58" s="51"/>
      <c r="AK58" s="52"/>
      <c r="AL58" s="52"/>
      <c r="AM58" s="51"/>
      <c r="AN58" s="51"/>
      <c r="AO58" s="51"/>
      <c r="AP58" s="51"/>
      <c r="AQ58" s="51"/>
      <c r="AR58" s="51"/>
      <c r="AS58" s="51"/>
      <c r="AT58" s="51"/>
      <c r="AU58" s="1">
        <f t="shared" si="6"/>
        <v>19</v>
      </c>
    </row>
    <row r="59" spans="1:47">
      <c r="B59" s="23">
        <v>13</v>
      </c>
      <c r="C59" s="11" t="s">
        <v>217</v>
      </c>
      <c r="D59" s="11" t="s">
        <v>208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/>
      <c r="L59" s="87"/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/>
      <c r="U59" s="87"/>
      <c r="V59" s="87">
        <v>0</v>
      </c>
      <c r="W59" s="50">
        <v>1</v>
      </c>
      <c r="X59" s="50" t="s">
        <v>218</v>
      </c>
      <c r="Y59" s="50" t="s">
        <v>219</v>
      </c>
      <c r="Z59" s="50" t="s">
        <v>219</v>
      </c>
      <c r="AA59" s="50" t="s">
        <v>219</v>
      </c>
      <c r="AB59" s="50" t="s">
        <v>219</v>
      </c>
      <c r="AC59" s="52"/>
      <c r="AD59" s="52"/>
      <c r="AE59" s="50">
        <v>0</v>
      </c>
      <c r="AF59" s="50">
        <v>0</v>
      </c>
      <c r="AG59" s="50">
        <v>0</v>
      </c>
      <c r="AH59" s="51"/>
      <c r="AI59" s="51"/>
      <c r="AJ59" s="51"/>
      <c r="AK59" s="52"/>
      <c r="AL59" s="52"/>
      <c r="AM59" s="51"/>
      <c r="AN59" s="51"/>
      <c r="AO59" s="51"/>
      <c r="AP59" s="51"/>
      <c r="AQ59" s="51"/>
      <c r="AR59" s="51"/>
      <c r="AS59" s="51"/>
      <c r="AT59" s="51"/>
      <c r="AU59" s="1">
        <f t="shared" si="6"/>
        <v>1</v>
      </c>
    </row>
    <row r="60" spans="1:47">
      <c r="B60" s="23">
        <v>14</v>
      </c>
      <c r="C60" s="11"/>
      <c r="D60" s="11"/>
      <c r="E60" s="50"/>
      <c r="F60" s="50"/>
      <c r="G60" s="50"/>
      <c r="H60" s="50"/>
      <c r="I60" s="50"/>
      <c r="J60" s="50"/>
      <c r="K60" s="52"/>
      <c r="L60" s="52"/>
      <c r="M60" s="50"/>
      <c r="N60" s="50"/>
      <c r="O60" s="50"/>
      <c r="P60" s="50"/>
      <c r="Q60" s="50"/>
      <c r="R60" s="50"/>
      <c r="S60" s="50"/>
      <c r="T60" s="52"/>
      <c r="U60" s="52"/>
      <c r="V60" s="50"/>
      <c r="W60" s="50"/>
      <c r="X60" s="50"/>
      <c r="Y60" s="50"/>
      <c r="Z60" s="50"/>
      <c r="AA60" s="50"/>
      <c r="AB60" s="50"/>
      <c r="AC60" s="52"/>
      <c r="AD60" s="52"/>
      <c r="AE60" s="50"/>
      <c r="AF60" s="50"/>
      <c r="AG60" s="50"/>
      <c r="AH60" s="51"/>
      <c r="AI60" s="51"/>
      <c r="AJ60" s="51"/>
      <c r="AK60" s="52"/>
      <c r="AL60" s="52"/>
      <c r="AM60" s="51"/>
      <c r="AN60" s="51"/>
      <c r="AO60" s="51"/>
      <c r="AP60" s="51"/>
      <c r="AQ60" s="51"/>
      <c r="AR60" s="51"/>
      <c r="AS60" s="51"/>
      <c r="AT60" s="51"/>
      <c r="AU60" s="1">
        <f t="shared" si="6"/>
        <v>0</v>
      </c>
    </row>
    <row r="61" spans="1:47">
      <c r="B61" s="23">
        <v>15</v>
      </c>
      <c r="C61" s="11"/>
      <c r="D61" s="11"/>
      <c r="E61" s="50"/>
      <c r="F61" s="50"/>
      <c r="G61" s="50"/>
      <c r="H61" s="50"/>
      <c r="I61" s="50"/>
      <c r="J61" s="50"/>
      <c r="K61" s="52"/>
      <c r="L61" s="52"/>
      <c r="M61" s="50"/>
      <c r="N61" s="50"/>
      <c r="O61" s="50"/>
      <c r="P61" s="50"/>
      <c r="Q61" s="50"/>
      <c r="R61" s="50"/>
      <c r="S61" s="50"/>
      <c r="T61" s="52"/>
      <c r="U61" s="52"/>
      <c r="V61" s="50"/>
      <c r="W61" s="50"/>
      <c r="X61" s="50"/>
      <c r="Y61" s="50"/>
      <c r="Z61" s="50"/>
      <c r="AA61" s="50"/>
      <c r="AB61" s="50"/>
      <c r="AC61" s="52"/>
      <c r="AD61" s="52"/>
      <c r="AE61" s="50"/>
      <c r="AF61" s="50"/>
      <c r="AG61" s="50"/>
      <c r="AH61" s="51"/>
      <c r="AI61" s="51"/>
      <c r="AJ61" s="51"/>
      <c r="AK61" s="52"/>
      <c r="AL61" s="52"/>
      <c r="AM61" s="51"/>
      <c r="AN61" s="51"/>
      <c r="AO61" s="51"/>
      <c r="AP61" s="51"/>
      <c r="AQ61" s="51"/>
      <c r="AR61" s="51"/>
      <c r="AS61" s="51"/>
      <c r="AT61" s="51"/>
      <c r="AU61" s="1">
        <f t="shared" si="6"/>
        <v>0</v>
      </c>
    </row>
    <row r="62" spans="1:47">
      <c r="B62" s="23">
        <v>16</v>
      </c>
      <c r="C62" s="11" t="s">
        <v>220</v>
      </c>
      <c r="D62" s="11" t="s">
        <v>101</v>
      </c>
      <c r="E62" s="50">
        <v>1</v>
      </c>
      <c r="F62" s="50">
        <v>1</v>
      </c>
      <c r="G62" s="50">
        <v>1</v>
      </c>
      <c r="H62" s="50">
        <v>1</v>
      </c>
      <c r="I62" s="50">
        <v>1</v>
      </c>
      <c r="J62" s="50">
        <v>0</v>
      </c>
      <c r="K62" s="52"/>
      <c r="L62" s="52"/>
      <c r="M62" s="50">
        <v>1</v>
      </c>
      <c r="N62" s="50">
        <v>1</v>
      </c>
      <c r="O62" s="50">
        <v>0</v>
      </c>
      <c r="P62" s="103" t="s">
        <v>221</v>
      </c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5"/>
      <c r="AU62" s="1">
        <f t="shared" si="6"/>
        <v>3</v>
      </c>
    </row>
    <row r="63" spans="1:47" ht="19.5">
      <c r="B63" s="68">
        <v>14</v>
      </c>
      <c r="C63" s="12" t="s">
        <v>70</v>
      </c>
      <c r="D63" s="7"/>
      <c r="E63" s="8">
        <f>COUNTIF(E47:E62,"1")</f>
        <v>10</v>
      </c>
      <c r="F63" s="8">
        <f>COUNTIF(F47:F62,"1")</f>
        <v>8</v>
      </c>
      <c r="G63" s="8">
        <f>COUNTIF(G47:G62,"1")</f>
        <v>9</v>
      </c>
      <c r="H63" s="8">
        <f>COUNTIF(H47:H62,"1")</f>
        <v>10</v>
      </c>
      <c r="I63" s="8">
        <f>COUNTIF(I47:I62,"1")</f>
        <v>11</v>
      </c>
      <c r="J63" s="8">
        <f>COUNTIF(J47:J62,"1")</f>
        <v>9</v>
      </c>
      <c r="K63" s="8">
        <f>COUNTIF(K47:K62,"1")</f>
        <v>0</v>
      </c>
      <c r="L63" s="8">
        <f>COUNTIF(L47:L62,"1")</f>
        <v>0</v>
      </c>
      <c r="M63" s="8">
        <f>COUNTIF(M47:M62,"1")</f>
        <v>12</v>
      </c>
      <c r="N63" s="8">
        <f>COUNTIF(N47:N62,"1")</f>
        <v>12</v>
      </c>
      <c r="O63" s="8">
        <f>COUNTIF(O47:O62,"1")</f>
        <v>11</v>
      </c>
      <c r="P63" s="8">
        <f>COUNTIF(P47:P62,"1")</f>
        <v>9</v>
      </c>
      <c r="Q63" s="8">
        <f>COUNTIF(Q47:Q62,"1")</f>
        <v>11</v>
      </c>
      <c r="R63" s="8">
        <f>COUNTIF(R47:R62,"1")</f>
        <v>8</v>
      </c>
      <c r="S63" s="8">
        <f>COUNTIF(S47:S62,"1")</f>
        <v>12</v>
      </c>
      <c r="T63" s="8">
        <f>COUNTIF(T47:T62,"1")</f>
        <v>0</v>
      </c>
      <c r="U63" s="8">
        <f>COUNTIF(U47:U62,"1")</f>
        <v>0</v>
      </c>
      <c r="V63" s="8">
        <f>COUNTIF(V47:V62,"1")</f>
        <v>9</v>
      </c>
      <c r="W63" s="8">
        <f>COUNTIF(W47:W62,"1")</f>
        <v>10</v>
      </c>
      <c r="X63" s="8">
        <f>COUNTIF(X47:X62,"1")</f>
        <v>9</v>
      </c>
      <c r="Y63" s="8">
        <f>COUNTIF(Y47:Y62,"1")</f>
        <v>8</v>
      </c>
      <c r="Z63" s="8">
        <f>COUNTIF(Z47:Z62,"1")</f>
        <v>9</v>
      </c>
      <c r="AA63" s="8">
        <f>COUNTIF(AA47:AA62,"1")</f>
        <v>8</v>
      </c>
      <c r="AB63" s="8">
        <f>COUNTIF(AB47:AB62,"1")</f>
        <v>7</v>
      </c>
      <c r="AC63" s="8">
        <f>COUNTIF(AC47:AC62,"1")</f>
        <v>0</v>
      </c>
      <c r="AD63" s="8">
        <f>COUNTIF(AD47:AD62,"1")</f>
        <v>0</v>
      </c>
      <c r="AE63" s="8">
        <f>COUNTIF(AE47:AE62,"1")</f>
        <v>10</v>
      </c>
      <c r="AF63" s="8">
        <f>COUNTIF(AF47:AF62,"1")</f>
        <v>10</v>
      </c>
      <c r="AG63" s="8">
        <f>COUNTIF(AG47:AG62,"1")</f>
        <v>10</v>
      </c>
      <c r="AH63" s="8">
        <f>COUNTIF(AH47:AH62,"1")</f>
        <v>0</v>
      </c>
      <c r="AI63" s="8">
        <f>COUNTIF(AI47:AI62,"1")</f>
        <v>0</v>
      </c>
      <c r="AJ63" s="8">
        <f>COUNTIF(AJ47:AJ62,"1")</f>
        <v>0</v>
      </c>
      <c r="AK63" s="8">
        <f>COUNTIF(AK47:AK62,"1")</f>
        <v>0</v>
      </c>
      <c r="AL63" s="8">
        <f>COUNTIF(AL47:AL62,"1")</f>
        <v>0</v>
      </c>
      <c r="AM63" s="8">
        <f>COUNTIF(AM47:AM62,"1")</f>
        <v>0</v>
      </c>
      <c r="AN63" s="8">
        <f>COUNTIF(AN47:AN62,"1")</f>
        <v>0</v>
      </c>
      <c r="AO63" s="8">
        <f>COUNTIF(AO47:AO62,"1")</f>
        <v>0</v>
      </c>
      <c r="AP63" s="8">
        <f>COUNTIF(AP47:AP62,"1")</f>
        <v>0</v>
      </c>
      <c r="AQ63" s="8">
        <f>COUNTIF(AQ47:AQ62,"1")</f>
        <v>0</v>
      </c>
      <c r="AR63" s="8">
        <f>COUNTIF(AR47:AR62,"1")</f>
        <v>0</v>
      </c>
      <c r="AS63" s="8">
        <f>COUNTIF(AS47:AS62,"1")</f>
        <v>0</v>
      </c>
      <c r="AT63" s="8">
        <f>COUNTIF(AT47:AT62,"1")</f>
        <v>0</v>
      </c>
      <c r="AU63" s="81">
        <f>SUM(AU47:AU62)</f>
        <v>185</v>
      </c>
    </row>
    <row r="65" spans="3:3">
      <c r="C65" s="68">
        <f>B23+B43+B63</f>
        <v>46</v>
      </c>
    </row>
  </sheetData>
  <sortState xmlns:xlrd2="http://schemas.microsoft.com/office/spreadsheetml/2017/richdata2" ref="C47:J59">
    <sortCondition ref="D47:D59"/>
  </sortState>
  <mergeCells count="16469">
    <mergeCell ref="AR24:AR25"/>
    <mergeCell ref="AS24:AS25"/>
    <mergeCell ref="AT24:AT2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Q4:AQ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N4:AN5"/>
    <mergeCell ref="BX4:BX5"/>
    <mergeCell ref="BY4:BY5"/>
    <mergeCell ref="BZ4:BZ5"/>
    <mergeCell ref="CA4:CA5"/>
    <mergeCell ref="CB4:CB5"/>
    <mergeCell ref="C1:AP3"/>
    <mergeCell ref="A6:A13"/>
    <mergeCell ref="A14:A22"/>
    <mergeCell ref="A27:A34"/>
    <mergeCell ref="A47:A54"/>
    <mergeCell ref="BS4:BS5"/>
    <mergeCell ref="BT4:BT5"/>
    <mergeCell ref="BU4:BU5"/>
    <mergeCell ref="BV4:BV5"/>
    <mergeCell ref="BW4:BW5"/>
    <mergeCell ref="BN4:BN5"/>
    <mergeCell ref="BO4:BO5"/>
    <mergeCell ref="BP4:BP5"/>
    <mergeCell ref="BQ4:BQ5"/>
    <mergeCell ref="BR4:BR5"/>
    <mergeCell ref="BI4:BI5"/>
    <mergeCell ref="BJ4:BJ5"/>
    <mergeCell ref="BK4:BK5"/>
    <mergeCell ref="BL4:BL5"/>
    <mergeCell ref="BM4:BM5"/>
    <mergeCell ref="BD4:BD5"/>
    <mergeCell ref="BE4:BE5"/>
    <mergeCell ref="BF4:BF5"/>
    <mergeCell ref="BG4:BG5"/>
    <mergeCell ref="BH4:BH5"/>
    <mergeCell ref="AY4:AY5"/>
    <mergeCell ref="AZ4:AZ5"/>
    <mergeCell ref="BA4:BA5"/>
    <mergeCell ref="BB4:BB5"/>
    <mergeCell ref="BC4:BC5"/>
    <mergeCell ref="AT4:AT5"/>
    <mergeCell ref="AV4:AV5"/>
    <mergeCell ref="AW4:AW5"/>
    <mergeCell ref="AX4:AX5"/>
    <mergeCell ref="AO4:AO5"/>
    <mergeCell ref="AP4:AP5"/>
    <mergeCell ref="AR4:AR5"/>
    <mergeCell ref="AS4:AS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DG4:DG5"/>
    <mergeCell ref="DH4:DH5"/>
    <mergeCell ref="DI4:DI5"/>
    <mergeCell ref="DJ4:DJ5"/>
    <mergeCell ref="DK4:DK5"/>
    <mergeCell ref="DB4:DB5"/>
    <mergeCell ref="DC4:DC5"/>
    <mergeCell ref="DD4:DD5"/>
    <mergeCell ref="DE4:DE5"/>
    <mergeCell ref="DF4:DF5"/>
    <mergeCell ref="CW4:CW5"/>
    <mergeCell ref="CX4:CX5"/>
    <mergeCell ref="CY4:CY5"/>
    <mergeCell ref="CZ4:CZ5"/>
    <mergeCell ref="DA4:DA5"/>
    <mergeCell ref="CR4:CR5"/>
    <mergeCell ref="CS4:CS5"/>
    <mergeCell ref="CT4:CT5"/>
    <mergeCell ref="CU4:CU5"/>
    <mergeCell ref="CV4:CV5"/>
    <mergeCell ref="CM4:CM5"/>
    <mergeCell ref="CN4:CN5"/>
    <mergeCell ref="CO4:CO5"/>
    <mergeCell ref="CP4:CP5"/>
    <mergeCell ref="CQ4:CQ5"/>
    <mergeCell ref="CH4:CH5"/>
    <mergeCell ref="CI4:CI5"/>
    <mergeCell ref="CJ4:CJ5"/>
    <mergeCell ref="CK4:CK5"/>
    <mergeCell ref="CL4:CL5"/>
    <mergeCell ref="CC4:CC5"/>
    <mergeCell ref="CD4:CD5"/>
    <mergeCell ref="CE4:CE5"/>
    <mergeCell ref="CF4:CF5"/>
    <mergeCell ref="CG4:CG5"/>
    <mergeCell ref="EP4:EP5"/>
    <mergeCell ref="EQ4:EQ5"/>
    <mergeCell ref="ER4:ER5"/>
    <mergeCell ref="ES4:ES5"/>
    <mergeCell ref="ET4:ET5"/>
    <mergeCell ref="EK4:EK5"/>
    <mergeCell ref="EL4:EL5"/>
    <mergeCell ref="EM4:EM5"/>
    <mergeCell ref="EN4:EN5"/>
    <mergeCell ref="EO4:EO5"/>
    <mergeCell ref="EF4:EF5"/>
    <mergeCell ref="EG4:EG5"/>
    <mergeCell ref="EH4:EH5"/>
    <mergeCell ref="EI4:EI5"/>
    <mergeCell ref="EJ4:EJ5"/>
    <mergeCell ref="EA4:EA5"/>
    <mergeCell ref="EB4:EB5"/>
    <mergeCell ref="EC4:EC5"/>
    <mergeCell ref="ED4:ED5"/>
    <mergeCell ref="EE4:EE5"/>
    <mergeCell ref="DV4:DV5"/>
    <mergeCell ref="DW4:DW5"/>
    <mergeCell ref="DX4:DX5"/>
    <mergeCell ref="DY4:DY5"/>
    <mergeCell ref="DZ4:DZ5"/>
    <mergeCell ref="DQ4:DQ5"/>
    <mergeCell ref="DR4:DR5"/>
    <mergeCell ref="DS4:DS5"/>
    <mergeCell ref="DT4:DT5"/>
    <mergeCell ref="DU4:DU5"/>
    <mergeCell ref="DL4:DL5"/>
    <mergeCell ref="DM4:DM5"/>
    <mergeCell ref="DN4:DN5"/>
    <mergeCell ref="DO4:DO5"/>
    <mergeCell ref="DP4:DP5"/>
    <mergeCell ref="FY4:FY5"/>
    <mergeCell ref="FZ4:FZ5"/>
    <mergeCell ref="GA4:GA5"/>
    <mergeCell ref="GB4:GB5"/>
    <mergeCell ref="GC4:GC5"/>
    <mergeCell ref="FT4:FT5"/>
    <mergeCell ref="FU4:FU5"/>
    <mergeCell ref="FV4:FV5"/>
    <mergeCell ref="FW4:FW5"/>
    <mergeCell ref="FX4:FX5"/>
    <mergeCell ref="FO4:FO5"/>
    <mergeCell ref="FP4:FP5"/>
    <mergeCell ref="FQ4:FQ5"/>
    <mergeCell ref="FR4:FR5"/>
    <mergeCell ref="FS4:FS5"/>
    <mergeCell ref="FJ4:FJ5"/>
    <mergeCell ref="FK4:FK5"/>
    <mergeCell ref="FL4:FL5"/>
    <mergeCell ref="FM4:FM5"/>
    <mergeCell ref="FN4:FN5"/>
    <mergeCell ref="FE4:FE5"/>
    <mergeCell ref="FF4:FF5"/>
    <mergeCell ref="FG4:FG5"/>
    <mergeCell ref="FH4:FH5"/>
    <mergeCell ref="FI4:FI5"/>
    <mergeCell ref="EZ4:EZ5"/>
    <mergeCell ref="FA4:FA5"/>
    <mergeCell ref="FB4:FB5"/>
    <mergeCell ref="FC4:FC5"/>
    <mergeCell ref="FD4:FD5"/>
    <mergeCell ref="EU4:EU5"/>
    <mergeCell ref="EV4:EV5"/>
    <mergeCell ref="EW4:EW5"/>
    <mergeCell ref="EX4:EX5"/>
    <mergeCell ref="EY4:EY5"/>
    <mergeCell ref="HH4:HH5"/>
    <mergeCell ref="HI4:HI5"/>
    <mergeCell ref="HJ4:HJ5"/>
    <mergeCell ref="HK4:HK5"/>
    <mergeCell ref="HL4:HL5"/>
    <mergeCell ref="HC4:HC5"/>
    <mergeCell ref="HD4:HD5"/>
    <mergeCell ref="HE4:HE5"/>
    <mergeCell ref="HF4:HF5"/>
    <mergeCell ref="HG4:HG5"/>
    <mergeCell ref="GX4:GX5"/>
    <mergeCell ref="GY4:GY5"/>
    <mergeCell ref="GZ4:GZ5"/>
    <mergeCell ref="HA4:HA5"/>
    <mergeCell ref="HB4:HB5"/>
    <mergeCell ref="GS4:GS5"/>
    <mergeCell ref="GT4:GT5"/>
    <mergeCell ref="GU4:GU5"/>
    <mergeCell ref="GV4:GV5"/>
    <mergeCell ref="GW4:GW5"/>
    <mergeCell ref="GN4:GN5"/>
    <mergeCell ref="GO4:GO5"/>
    <mergeCell ref="GP4:GP5"/>
    <mergeCell ref="GQ4:GQ5"/>
    <mergeCell ref="GR4:GR5"/>
    <mergeCell ref="GI4:GI5"/>
    <mergeCell ref="GJ4:GJ5"/>
    <mergeCell ref="GK4:GK5"/>
    <mergeCell ref="GL4:GL5"/>
    <mergeCell ref="GM4:GM5"/>
    <mergeCell ref="GD4:GD5"/>
    <mergeCell ref="GE4:GE5"/>
    <mergeCell ref="GF4:GF5"/>
    <mergeCell ref="GG4:GG5"/>
    <mergeCell ref="GH4:GH5"/>
    <mergeCell ref="IQ4:IQ5"/>
    <mergeCell ref="IR4:IR5"/>
    <mergeCell ref="IS4:IS5"/>
    <mergeCell ref="IT4:IT5"/>
    <mergeCell ref="IU4:IU5"/>
    <mergeCell ref="IL4:IL5"/>
    <mergeCell ref="IM4:IM5"/>
    <mergeCell ref="IN4:IN5"/>
    <mergeCell ref="IO4:IO5"/>
    <mergeCell ref="IP4:IP5"/>
    <mergeCell ref="IG4:IG5"/>
    <mergeCell ref="IH4:IH5"/>
    <mergeCell ref="II4:II5"/>
    <mergeCell ref="IJ4:IJ5"/>
    <mergeCell ref="IK4:IK5"/>
    <mergeCell ref="IB4:IB5"/>
    <mergeCell ref="IC4:IC5"/>
    <mergeCell ref="ID4:ID5"/>
    <mergeCell ref="IE4:IE5"/>
    <mergeCell ref="IF4:IF5"/>
    <mergeCell ref="HW4:HW5"/>
    <mergeCell ref="HX4:HX5"/>
    <mergeCell ref="HY4:HY5"/>
    <mergeCell ref="HZ4:HZ5"/>
    <mergeCell ref="IA4:IA5"/>
    <mergeCell ref="HR4:HR5"/>
    <mergeCell ref="HS4:HS5"/>
    <mergeCell ref="HT4:HT5"/>
    <mergeCell ref="HU4:HU5"/>
    <mergeCell ref="HV4:HV5"/>
    <mergeCell ref="HM4:HM5"/>
    <mergeCell ref="HN4:HN5"/>
    <mergeCell ref="HO4:HO5"/>
    <mergeCell ref="HP4:HP5"/>
    <mergeCell ref="HQ4:HQ5"/>
    <mergeCell ref="JZ4:JZ5"/>
    <mergeCell ref="KA4:KA5"/>
    <mergeCell ref="KB4:KB5"/>
    <mergeCell ref="KC4:KC5"/>
    <mergeCell ref="KD4:KD5"/>
    <mergeCell ref="JU4:JU5"/>
    <mergeCell ref="JV4:JV5"/>
    <mergeCell ref="JW4:JW5"/>
    <mergeCell ref="JX4:JX5"/>
    <mergeCell ref="JY4:JY5"/>
    <mergeCell ref="JP4:JP5"/>
    <mergeCell ref="JQ4:JQ5"/>
    <mergeCell ref="JR4:JR5"/>
    <mergeCell ref="JS4:JS5"/>
    <mergeCell ref="JT4:JT5"/>
    <mergeCell ref="JK4:JK5"/>
    <mergeCell ref="JL4:JL5"/>
    <mergeCell ref="JM4:JM5"/>
    <mergeCell ref="JN4:JN5"/>
    <mergeCell ref="JO4:JO5"/>
    <mergeCell ref="JF4:JF5"/>
    <mergeCell ref="JG4:JG5"/>
    <mergeCell ref="JH4:JH5"/>
    <mergeCell ref="JI4:JI5"/>
    <mergeCell ref="JJ4:JJ5"/>
    <mergeCell ref="JA4:JA5"/>
    <mergeCell ref="JB4:JB5"/>
    <mergeCell ref="JC4:JC5"/>
    <mergeCell ref="JD4:JD5"/>
    <mergeCell ref="JE4:JE5"/>
    <mergeCell ref="IV4:IV5"/>
    <mergeCell ref="IW4:IW5"/>
    <mergeCell ref="IX4:IX5"/>
    <mergeCell ref="IY4:IY5"/>
    <mergeCell ref="IZ4:IZ5"/>
    <mergeCell ref="LI4:LI5"/>
    <mergeCell ref="LJ4:LJ5"/>
    <mergeCell ref="LK4:LK5"/>
    <mergeCell ref="LL4:LL5"/>
    <mergeCell ref="LM4:LM5"/>
    <mergeCell ref="LD4:LD5"/>
    <mergeCell ref="LE4:LE5"/>
    <mergeCell ref="LF4:LF5"/>
    <mergeCell ref="LG4:LG5"/>
    <mergeCell ref="LH4:LH5"/>
    <mergeCell ref="KY4:KY5"/>
    <mergeCell ref="KZ4:KZ5"/>
    <mergeCell ref="LA4:LA5"/>
    <mergeCell ref="LB4:LB5"/>
    <mergeCell ref="LC4:LC5"/>
    <mergeCell ref="KT4:KT5"/>
    <mergeCell ref="KU4:KU5"/>
    <mergeCell ref="KV4:KV5"/>
    <mergeCell ref="KW4:KW5"/>
    <mergeCell ref="KX4:KX5"/>
    <mergeCell ref="KO4:KO5"/>
    <mergeCell ref="KP4:KP5"/>
    <mergeCell ref="KQ4:KQ5"/>
    <mergeCell ref="KR4:KR5"/>
    <mergeCell ref="KS4:KS5"/>
    <mergeCell ref="KJ4:KJ5"/>
    <mergeCell ref="KK4:KK5"/>
    <mergeCell ref="KL4:KL5"/>
    <mergeCell ref="KM4:KM5"/>
    <mergeCell ref="KN4:KN5"/>
    <mergeCell ref="KE4:KE5"/>
    <mergeCell ref="KF4:KF5"/>
    <mergeCell ref="KG4:KG5"/>
    <mergeCell ref="KH4:KH5"/>
    <mergeCell ref="KI4:KI5"/>
    <mergeCell ref="MR4:MR5"/>
    <mergeCell ref="MS4:MS5"/>
    <mergeCell ref="MT4:MT5"/>
    <mergeCell ref="MU4:MU5"/>
    <mergeCell ref="MV4:MV5"/>
    <mergeCell ref="MM4:MM5"/>
    <mergeCell ref="MN4:MN5"/>
    <mergeCell ref="MO4:MO5"/>
    <mergeCell ref="MP4:MP5"/>
    <mergeCell ref="MQ4:MQ5"/>
    <mergeCell ref="MH4:MH5"/>
    <mergeCell ref="MI4:MI5"/>
    <mergeCell ref="MJ4:MJ5"/>
    <mergeCell ref="MK4:MK5"/>
    <mergeCell ref="ML4:ML5"/>
    <mergeCell ref="MC4:MC5"/>
    <mergeCell ref="MD4:MD5"/>
    <mergeCell ref="ME4:ME5"/>
    <mergeCell ref="MF4:MF5"/>
    <mergeCell ref="MG4:MG5"/>
    <mergeCell ref="LX4:LX5"/>
    <mergeCell ref="LY4:LY5"/>
    <mergeCell ref="LZ4:LZ5"/>
    <mergeCell ref="MA4:MA5"/>
    <mergeCell ref="MB4:MB5"/>
    <mergeCell ref="LS4:LS5"/>
    <mergeCell ref="LT4:LT5"/>
    <mergeCell ref="LU4:LU5"/>
    <mergeCell ref="LV4:LV5"/>
    <mergeCell ref="LW4:LW5"/>
    <mergeCell ref="LN4:LN5"/>
    <mergeCell ref="LO4:LO5"/>
    <mergeCell ref="LP4:LP5"/>
    <mergeCell ref="LQ4:LQ5"/>
    <mergeCell ref="LR4:LR5"/>
    <mergeCell ref="OA4:OA5"/>
    <mergeCell ref="OB4:OB5"/>
    <mergeCell ref="OC4:OC5"/>
    <mergeCell ref="OD4:OD5"/>
    <mergeCell ref="OE4:OE5"/>
    <mergeCell ref="NV4:NV5"/>
    <mergeCell ref="NW4:NW5"/>
    <mergeCell ref="NX4:NX5"/>
    <mergeCell ref="NY4:NY5"/>
    <mergeCell ref="NZ4:NZ5"/>
    <mergeCell ref="NQ4:NQ5"/>
    <mergeCell ref="NR4:NR5"/>
    <mergeCell ref="NS4:NS5"/>
    <mergeCell ref="NT4:NT5"/>
    <mergeCell ref="NU4:NU5"/>
    <mergeCell ref="NL4:NL5"/>
    <mergeCell ref="NM4:NM5"/>
    <mergeCell ref="NN4:NN5"/>
    <mergeCell ref="NO4:NO5"/>
    <mergeCell ref="NP4:NP5"/>
    <mergeCell ref="NG4:NG5"/>
    <mergeCell ref="NH4:NH5"/>
    <mergeCell ref="NI4:NI5"/>
    <mergeCell ref="NJ4:NJ5"/>
    <mergeCell ref="NK4:NK5"/>
    <mergeCell ref="NB4:NB5"/>
    <mergeCell ref="NC4:NC5"/>
    <mergeCell ref="ND4:ND5"/>
    <mergeCell ref="NE4:NE5"/>
    <mergeCell ref="NF4:NF5"/>
    <mergeCell ref="MW4:MW5"/>
    <mergeCell ref="MX4:MX5"/>
    <mergeCell ref="MY4:MY5"/>
    <mergeCell ref="MZ4:MZ5"/>
    <mergeCell ref="NA4:NA5"/>
    <mergeCell ref="PJ4:PJ5"/>
    <mergeCell ref="PK4:PK5"/>
    <mergeCell ref="PL4:PL5"/>
    <mergeCell ref="PM4:PM5"/>
    <mergeCell ref="PN4:PN5"/>
    <mergeCell ref="PE4:PE5"/>
    <mergeCell ref="PF4:PF5"/>
    <mergeCell ref="PG4:PG5"/>
    <mergeCell ref="PH4:PH5"/>
    <mergeCell ref="PI4:PI5"/>
    <mergeCell ref="OZ4:OZ5"/>
    <mergeCell ref="PA4:PA5"/>
    <mergeCell ref="PB4:PB5"/>
    <mergeCell ref="PC4:PC5"/>
    <mergeCell ref="PD4:PD5"/>
    <mergeCell ref="OU4:OU5"/>
    <mergeCell ref="OV4:OV5"/>
    <mergeCell ref="OW4:OW5"/>
    <mergeCell ref="OX4:OX5"/>
    <mergeCell ref="OY4:OY5"/>
    <mergeCell ref="OP4:OP5"/>
    <mergeCell ref="OQ4:OQ5"/>
    <mergeCell ref="OR4:OR5"/>
    <mergeCell ref="OS4:OS5"/>
    <mergeCell ref="OT4:OT5"/>
    <mergeCell ref="OK4:OK5"/>
    <mergeCell ref="OL4:OL5"/>
    <mergeCell ref="OM4:OM5"/>
    <mergeCell ref="ON4:ON5"/>
    <mergeCell ref="OO4:OO5"/>
    <mergeCell ref="OF4:OF5"/>
    <mergeCell ref="OG4:OG5"/>
    <mergeCell ref="OH4:OH5"/>
    <mergeCell ref="OI4:OI5"/>
    <mergeCell ref="OJ4:OJ5"/>
    <mergeCell ref="QS4:QS5"/>
    <mergeCell ref="QT4:QT5"/>
    <mergeCell ref="QU4:QU5"/>
    <mergeCell ref="QV4:QV5"/>
    <mergeCell ref="QW4:QW5"/>
    <mergeCell ref="QN4:QN5"/>
    <mergeCell ref="QO4:QO5"/>
    <mergeCell ref="QP4:QP5"/>
    <mergeCell ref="QQ4:QQ5"/>
    <mergeCell ref="QR4:QR5"/>
    <mergeCell ref="QI4:QI5"/>
    <mergeCell ref="QJ4:QJ5"/>
    <mergeCell ref="QK4:QK5"/>
    <mergeCell ref="QL4:QL5"/>
    <mergeCell ref="QM4:QM5"/>
    <mergeCell ref="QD4:QD5"/>
    <mergeCell ref="QE4:QE5"/>
    <mergeCell ref="QF4:QF5"/>
    <mergeCell ref="QG4:QG5"/>
    <mergeCell ref="QH4:QH5"/>
    <mergeCell ref="PY4:PY5"/>
    <mergeCell ref="PZ4:PZ5"/>
    <mergeCell ref="QA4:QA5"/>
    <mergeCell ref="QB4:QB5"/>
    <mergeCell ref="QC4:QC5"/>
    <mergeCell ref="PT4:PT5"/>
    <mergeCell ref="PU4:PU5"/>
    <mergeCell ref="PV4:PV5"/>
    <mergeCell ref="PW4:PW5"/>
    <mergeCell ref="PX4:PX5"/>
    <mergeCell ref="PO4:PO5"/>
    <mergeCell ref="PP4:PP5"/>
    <mergeCell ref="PQ4:PQ5"/>
    <mergeCell ref="PR4:PR5"/>
    <mergeCell ref="PS4:PS5"/>
    <mergeCell ref="SB4:SB5"/>
    <mergeCell ref="SC4:SC5"/>
    <mergeCell ref="SD4:SD5"/>
    <mergeCell ref="SE4:SE5"/>
    <mergeCell ref="SF4:SF5"/>
    <mergeCell ref="RW4:RW5"/>
    <mergeCell ref="RX4:RX5"/>
    <mergeCell ref="RY4:RY5"/>
    <mergeCell ref="RZ4:RZ5"/>
    <mergeCell ref="SA4:SA5"/>
    <mergeCell ref="RR4:RR5"/>
    <mergeCell ref="RS4:RS5"/>
    <mergeCell ref="RT4:RT5"/>
    <mergeCell ref="RU4:RU5"/>
    <mergeCell ref="RV4:RV5"/>
    <mergeCell ref="RM4:RM5"/>
    <mergeCell ref="RN4:RN5"/>
    <mergeCell ref="RO4:RO5"/>
    <mergeCell ref="RP4:RP5"/>
    <mergeCell ref="RQ4:RQ5"/>
    <mergeCell ref="RH4:RH5"/>
    <mergeCell ref="RI4:RI5"/>
    <mergeCell ref="RJ4:RJ5"/>
    <mergeCell ref="RK4:RK5"/>
    <mergeCell ref="RL4:RL5"/>
    <mergeCell ref="RC4:RC5"/>
    <mergeCell ref="RD4:RD5"/>
    <mergeCell ref="RE4:RE5"/>
    <mergeCell ref="RF4:RF5"/>
    <mergeCell ref="RG4:RG5"/>
    <mergeCell ref="QX4:QX5"/>
    <mergeCell ref="QY4:QY5"/>
    <mergeCell ref="QZ4:QZ5"/>
    <mergeCell ref="RA4:RA5"/>
    <mergeCell ref="RB4:RB5"/>
    <mergeCell ref="TK4:TK5"/>
    <mergeCell ref="TL4:TL5"/>
    <mergeCell ref="TM4:TM5"/>
    <mergeCell ref="TN4:TN5"/>
    <mergeCell ref="TO4:TO5"/>
    <mergeCell ref="TF4:TF5"/>
    <mergeCell ref="TG4:TG5"/>
    <mergeCell ref="TH4:TH5"/>
    <mergeCell ref="TI4:TI5"/>
    <mergeCell ref="TJ4:TJ5"/>
    <mergeCell ref="TA4:TA5"/>
    <mergeCell ref="TB4:TB5"/>
    <mergeCell ref="TC4:TC5"/>
    <mergeCell ref="TD4:TD5"/>
    <mergeCell ref="TE4:TE5"/>
    <mergeCell ref="SV4:SV5"/>
    <mergeCell ref="SW4:SW5"/>
    <mergeCell ref="SX4:SX5"/>
    <mergeCell ref="SY4:SY5"/>
    <mergeCell ref="SZ4:SZ5"/>
    <mergeCell ref="SQ4:SQ5"/>
    <mergeCell ref="SR4:SR5"/>
    <mergeCell ref="SS4:SS5"/>
    <mergeCell ref="ST4:ST5"/>
    <mergeCell ref="SU4:SU5"/>
    <mergeCell ref="SL4:SL5"/>
    <mergeCell ref="SM4:SM5"/>
    <mergeCell ref="SN4:SN5"/>
    <mergeCell ref="SO4:SO5"/>
    <mergeCell ref="SP4:SP5"/>
    <mergeCell ref="SG4:SG5"/>
    <mergeCell ref="SH4:SH5"/>
    <mergeCell ref="SI4:SI5"/>
    <mergeCell ref="SJ4:SJ5"/>
    <mergeCell ref="SK4:SK5"/>
    <mergeCell ref="UT4:UT5"/>
    <mergeCell ref="UU4:UU5"/>
    <mergeCell ref="UV4:UV5"/>
    <mergeCell ref="UW4:UW5"/>
    <mergeCell ref="UX4:UX5"/>
    <mergeCell ref="UO4:UO5"/>
    <mergeCell ref="UP4:UP5"/>
    <mergeCell ref="UQ4:UQ5"/>
    <mergeCell ref="UR4:UR5"/>
    <mergeCell ref="US4:US5"/>
    <mergeCell ref="UJ4:UJ5"/>
    <mergeCell ref="UK4:UK5"/>
    <mergeCell ref="UL4:UL5"/>
    <mergeCell ref="UM4:UM5"/>
    <mergeCell ref="UN4:UN5"/>
    <mergeCell ref="UE4:UE5"/>
    <mergeCell ref="UF4:UF5"/>
    <mergeCell ref="UG4:UG5"/>
    <mergeCell ref="UH4:UH5"/>
    <mergeCell ref="UI4:UI5"/>
    <mergeCell ref="TZ4:TZ5"/>
    <mergeCell ref="UA4:UA5"/>
    <mergeCell ref="UB4:UB5"/>
    <mergeCell ref="UC4:UC5"/>
    <mergeCell ref="UD4:UD5"/>
    <mergeCell ref="TU4:TU5"/>
    <mergeCell ref="TV4:TV5"/>
    <mergeCell ref="TW4:TW5"/>
    <mergeCell ref="TX4:TX5"/>
    <mergeCell ref="TY4:TY5"/>
    <mergeCell ref="TP4:TP5"/>
    <mergeCell ref="TQ4:TQ5"/>
    <mergeCell ref="TR4:TR5"/>
    <mergeCell ref="TS4:TS5"/>
    <mergeCell ref="TT4:TT5"/>
    <mergeCell ref="WC4:WC5"/>
    <mergeCell ref="WD4:WD5"/>
    <mergeCell ref="WE4:WE5"/>
    <mergeCell ref="WF4:WF5"/>
    <mergeCell ref="WG4:WG5"/>
    <mergeCell ref="VX4:VX5"/>
    <mergeCell ref="VY4:VY5"/>
    <mergeCell ref="VZ4:VZ5"/>
    <mergeCell ref="WA4:WA5"/>
    <mergeCell ref="WB4:WB5"/>
    <mergeCell ref="VS4:VS5"/>
    <mergeCell ref="VT4:VT5"/>
    <mergeCell ref="VU4:VU5"/>
    <mergeCell ref="VV4:VV5"/>
    <mergeCell ref="VW4:VW5"/>
    <mergeCell ref="VN4:VN5"/>
    <mergeCell ref="VO4:VO5"/>
    <mergeCell ref="VP4:VP5"/>
    <mergeCell ref="VQ4:VQ5"/>
    <mergeCell ref="VR4:VR5"/>
    <mergeCell ref="VI4:VI5"/>
    <mergeCell ref="VJ4:VJ5"/>
    <mergeCell ref="VK4:VK5"/>
    <mergeCell ref="VL4:VL5"/>
    <mergeCell ref="VM4:VM5"/>
    <mergeCell ref="VD4:VD5"/>
    <mergeCell ref="VE4:VE5"/>
    <mergeCell ref="VF4:VF5"/>
    <mergeCell ref="VG4:VG5"/>
    <mergeCell ref="VH4:VH5"/>
    <mergeCell ref="UY4:UY5"/>
    <mergeCell ref="UZ4:UZ5"/>
    <mergeCell ref="VA4:VA5"/>
    <mergeCell ref="VB4:VB5"/>
    <mergeCell ref="VC4:VC5"/>
    <mergeCell ref="XL4:XL5"/>
    <mergeCell ref="XM4:XM5"/>
    <mergeCell ref="XN4:XN5"/>
    <mergeCell ref="XO4:XO5"/>
    <mergeCell ref="XP4:XP5"/>
    <mergeCell ref="XG4:XG5"/>
    <mergeCell ref="XH4:XH5"/>
    <mergeCell ref="XI4:XI5"/>
    <mergeCell ref="XJ4:XJ5"/>
    <mergeCell ref="XK4:XK5"/>
    <mergeCell ref="XB4:XB5"/>
    <mergeCell ref="XC4:XC5"/>
    <mergeCell ref="XD4:XD5"/>
    <mergeCell ref="XE4:XE5"/>
    <mergeCell ref="XF4:XF5"/>
    <mergeCell ref="WW4:WW5"/>
    <mergeCell ref="WX4:WX5"/>
    <mergeCell ref="WY4:WY5"/>
    <mergeCell ref="WZ4:WZ5"/>
    <mergeCell ref="XA4:XA5"/>
    <mergeCell ref="WR4:WR5"/>
    <mergeCell ref="WS4:WS5"/>
    <mergeCell ref="WT4:WT5"/>
    <mergeCell ref="WU4:WU5"/>
    <mergeCell ref="WV4:WV5"/>
    <mergeCell ref="WM4:WM5"/>
    <mergeCell ref="WN4:WN5"/>
    <mergeCell ref="WO4:WO5"/>
    <mergeCell ref="WP4:WP5"/>
    <mergeCell ref="WQ4:WQ5"/>
    <mergeCell ref="WH4:WH5"/>
    <mergeCell ref="WI4:WI5"/>
    <mergeCell ref="WJ4:WJ5"/>
    <mergeCell ref="WK4:WK5"/>
    <mergeCell ref="WL4:WL5"/>
    <mergeCell ref="YU4:YU5"/>
    <mergeCell ref="YV4:YV5"/>
    <mergeCell ref="YW4:YW5"/>
    <mergeCell ref="YX4:YX5"/>
    <mergeCell ref="YY4:YY5"/>
    <mergeCell ref="YP4:YP5"/>
    <mergeCell ref="YQ4:YQ5"/>
    <mergeCell ref="YR4:YR5"/>
    <mergeCell ref="YS4:YS5"/>
    <mergeCell ref="YT4:YT5"/>
    <mergeCell ref="YK4:YK5"/>
    <mergeCell ref="YL4:YL5"/>
    <mergeCell ref="YM4:YM5"/>
    <mergeCell ref="YN4:YN5"/>
    <mergeCell ref="YO4:YO5"/>
    <mergeCell ref="YF4:YF5"/>
    <mergeCell ref="YG4:YG5"/>
    <mergeCell ref="YH4:YH5"/>
    <mergeCell ref="YI4:YI5"/>
    <mergeCell ref="YJ4:YJ5"/>
    <mergeCell ref="YA4:YA5"/>
    <mergeCell ref="YB4:YB5"/>
    <mergeCell ref="YC4:YC5"/>
    <mergeCell ref="YD4:YD5"/>
    <mergeCell ref="YE4:YE5"/>
    <mergeCell ref="XV4:XV5"/>
    <mergeCell ref="XW4:XW5"/>
    <mergeCell ref="XX4:XX5"/>
    <mergeCell ref="XY4:XY5"/>
    <mergeCell ref="XZ4:XZ5"/>
    <mergeCell ref="XQ4:XQ5"/>
    <mergeCell ref="XR4:XR5"/>
    <mergeCell ref="XS4:XS5"/>
    <mergeCell ref="XT4:XT5"/>
    <mergeCell ref="XU4:XU5"/>
    <mergeCell ref="AAD4:AAD5"/>
    <mergeCell ref="AAE4:AAE5"/>
    <mergeCell ref="AAF4:AAF5"/>
    <mergeCell ref="AAG4:AAG5"/>
    <mergeCell ref="AAH4:AAH5"/>
    <mergeCell ref="ZY4:ZY5"/>
    <mergeCell ref="ZZ4:ZZ5"/>
    <mergeCell ref="AAA4:AAA5"/>
    <mergeCell ref="AAB4:AAB5"/>
    <mergeCell ref="AAC4:AAC5"/>
    <mergeCell ref="ZT4:ZT5"/>
    <mergeCell ref="ZU4:ZU5"/>
    <mergeCell ref="ZV4:ZV5"/>
    <mergeCell ref="ZW4:ZW5"/>
    <mergeCell ref="ZX4:ZX5"/>
    <mergeCell ref="ZO4:ZO5"/>
    <mergeCell ref="ZP4:ZP5"/>
    <mergeCell ref="ZQ4:ZQ5"/>
    <mergeCell ref="ZR4:ZR5"/>
    <mergeCell ref="ZS4:ZS5"/>
    <mergeCell ref="ZJ4:ZJ5"/>
    <mergeCell ref="ZK4:ZK5"/>
    <mergeCell ref="ZL4:ZL5"/>
    <mergeCell ref="ZM4:ZM5"/>
    <mergeCell ref="ZN4:ZN5"/>
    <mergeCell ref="ZE4:ZE5"/>
    <mergeCell ref="ZF4:ZF5"/>
    <mergeCell ref="ZG4:ZG5"/>
    <mergeCell ref="ZH4:ZH5"/>
    <mergeCell ref="ZI4:ZI5"/>
    <mergeCell ref="YZ4:YZ5"/>
    <mergeCell ref="ZA4:ZA5"/>
    <mergeCell ref="ZB4:ZB5"/>
    <mergeCell ref="ZC4:ZC5"/>
    <mergeCell ref="ZD4:ZD5"/>
    <mergeCell ref="ABM4:ABM5"/>
    <mergeCell ref="ABN4:ABN5"/>
    <mergeCell ref="ABO4:ABO5"/>
    <mergeCell ref="ABP4:ABP5"/>
    <mergeCell ref="ABQ4:ABQ5"/>
    <mergeCell ref="ABH4:ABH5"/>
    <mergeCell ref="ABI4:ABI5"/>
    <mergeCell ref="ABJ4:ABJ5"/>
    <mergeCell ref="ABK4:ABK5"/>
    <mergeCell ref="ABL4:ABL5"/>
    <mergeCell ref="ABC4:ABC5"/>
    <mergeCell ref="ABD4:ABD5"/>
    <mergeCell ref="ABE4:ABE5"/>
    <mergeCell ref="ABF4:ABF5"/>
    <mergeCell ref="ABG4:ABG5"/>
    <mergeCell ref="AAX4:AAX5"/>
    <mergeCell ref="AAY4:AAY5"/>
    <mergeCell ref="AAZ4:AAZ5"/>
    <mergeCell ref="ABA4:ABA5"/>
    <mergeCell ref="ABB4:ABB5"/>
    <mergeCell ref="AAS4:AAS5"/>
    <mergeCell ref="AAT4:AAT5"/>
    <mergeCell ref="AAU4:AAU5"/>
    <mergeCell ref="AAV4:AAV5"/>
    <mergeCell ref="AAW4:AAW5"/>
    <mergeCell ref="AAN4:AAN5"/>
    <mergeCell ref="AAO4:AAO5"/>
    <mergeCell ref="AAP4:AAP5"/>
    <mergeCell ref="AAQ4:AAQ5"/>
    <mergeCell ref="AAR4:AAR5"/>
    <mergeCell ref="AAI4:AAI5"/>
    <mergeCell ref="AAJ4:AAJ5"/>
    <mergeCell ref="AAK4:AAK5"/>
    <mergeCell ref="AAL4:AAL5"/>
    <mergeCell ref="AAM4:AAM5"/>
    <mergeCell ref="ACV4:ACV5"/>
    <mergeCell ref="ACW4:ACW5"/>
    <mergeCell ref="ACX4:ACX5"/>
    <mergeCell ref="ACY4:ACY5"/>
    <mergeCell ref="ACZ4:ACZ5"/>
    <mergeCell ref="ACQ4:ACQ5"/>
    <mergeCell ref="ACR4:ACR5"/>
    <mergeCell ref="ACS4:ACS5"/>
    <mergeCell ref="ACT4:ACT5"/>
    <mergeCell ref="ACU4:ACU5"/>
    <mergeCell ref="ACL4:ACL5"/>
    <mergeCell ref="ACM4:ACM5"/>
    <mergeCell ref="ACN4:ACN5"/>
    <mergeCell ref="ACO4:ACO5"/>
    <mergeCell ref="ACP4:ACP5"/>
    <mergeCell ref="ACG4:ACG5"/>
    <mergeCell ref="ACH4:ACH5"/>
    <mergeCell ref="ACI4:ACI5"/>
    <mergeCell ref="ACJ4:ACJ5"/>
    <mergeCell ref="ACK4:ACK5"/>
    <mergeCell ref="ACB4:ACB5"/>
    <mergeCell ref="ACC4:ACC5"/>
    <mergeCell ref="ACD4:ACD5"/>
    <mergeCell ref="ACE4:ACE5"/>
    <mergeCell ref="ACF4:ACF5"/>
    <mergeCell ref="ABW4:ABW5"/>
    <mergeCell ref="ABX4:ABX5"/>
    <mergeCell ref="ABY4:ABY5"/>
    <mergeCell ref="ABZ4:ABZ5"/>
    <mergeCell ref="ACA4:ACA5"/>
    <mergeCell ref="ABR4:ABR5"/>
    <mergeCell ref="ABS4:ABS5"/>
    <mergeCell ref="ABT4:ABT5"/>
    <mergeCell ref="ABU4:ABU5"/>
    <mergeCell ref="ABV4:ABV5"/>
    <mergeCell ref="AEE4:AEE5"/>
    <mergeCell ref="AEF4:AEF5"/>
    <mergeCell ref="AEG4:AEG5"/>
    <mergeCell ref="AEH4:AEH5"/>
    <mergeCell ref="AEI4:AEI5"/>
    <mergeCell ref="ADZ4:ADZ5"/>
    <mergeCell ref="AEA4:AEA5"/>
    <mergeCell ref="AEB4:AEB5"/>
    <mergeCell ref="AEC4:AEC5"/>
    <mergeCell ref="AED4:AED5"/>
    <mergeCell ref="ADU4:ADU5"/>
    <mergeCell ref="ADV4:ADV5"/>
    <mergeCell ref="ADW4:ADW5"/>
    <mergeCell ref="ADX4:ADX5"/>
    <mergeCell ref="ADY4:ADY5"/>
    <mergeCell ref="ADP4:ADP5"/>
    <mergeCell ref="ADQ4:ADQ5"/>
    <mergeCell ref="ADR4:ADR5"/>
    <mergeCell ref="ADS4:ADS5"/>
    <mergeCell ref="ADT4:ADT5"/>
    <mergeCell ref="ADK4:ADK5"/>
    <mergeCell ref="ADL4:ADL5"/>
    <mergeCell ref="ADM4:ADM5"/>
    <mergeCell ref="ADN4:ADN5"/>
    <mergeCell ref="ADO4:ADO5"/>
    <mergeCell ref="ADF4:ADF5"/>
    <mergeCell ref="ADG4:ADG5"/>
    <mergeCell ref="ADH4:ADH5"/>
    <mergeCell ref="ADI4:ADI5"/>
    <mergeCell ref="ADJ4:ADJ5"/>
    <mergeCell ref="ADA4:ADA5"/>
    <mergeCell ref="ADB4:ADB5"/>
    <mergeCell ref="ADC4:ADC5"/>
    <mergeCell ref="ADD4:ADD5"/>
    <mergeCell ref="ADE4:ADE5"/>
    <mergeCell ref="AFN4:AFN5"/>
    <mergeCell ref="AFO4:AFO5"/>
    <mergeCell ref="AFP4:AFP5"/>
    <mergeCell ref="AFQ4:AFQ5"/>
    <mergeCell ref="AFR4:AFR5"/>
    <mergeCell ref="AFI4:AFI5"/>
    <mergeCell ref="AFJ4:AFJ5"/>
    <mergeCell ref="AFK4:AFK5"/>
    <mergeCell ref="AFL4:AFL5"/>
    <mergeCell ref="AFM4:AFM5"/>
    <mergeCell ref="AFD4:AFD5"/>
    <mergeCell ref="AFE4:AFE5"/>
    <mergeCell ref="AFF4:AFF5"/>
    <mergeCell ref="AFG4:AFG5"/>
    <mergeCell ref="AFH4:AFH5"/>
    <mergeCell ref="AEY4:AEY5"/>
    <mergeCell ref="AEZ4:AEZ5"/>
    <mergeCell ref="AFA4:AFA5"/>
    <mergeCell ref="AFB4:AFB5"/>
    <mergeCell ref="AFC4:AFC5"/>
    <mergeCell ref="AET4:AET5"/>
    <mergeCell ref="AEU4:AEU5"/>
    <mergeCell ref="AEV4:AEV5"/>
    <mergeCell ref="AEW4:AEW5"/>
    <mergeCell ref="AEX4:AEX5"/>
    <mergeCell ref="AEO4:AEO5"/>
    <mergeCell ref="AEP4:AEP5"/>
    <mergeCell ref="AEQ4:AEQ5"/>
    <mergeCell ref="AER4:AER5"/>
    <mergeCell ref="AES4:AES5"/>
    <mergeCell ref="AEJ4:AEJ5"/>
    <mergeCell ref="AEK4:AEK5"/>
    <mergeCell ref="AEL4:AEL5"/>
    <mergeCell ref="AEM4:AEM5"/>
    <mergeCell ref="AEN4:AEN5"/>
    <mergeCell ref="AGW4:AGW5"/>
    <mergeCell ref="AGX4:AGX5"/>
    <mergeCell ref="AGY4:AGY5"/>
    <mergeCell ref="AGZ4:AGZ5"/>
    <mergeCell ref="AHA4:AHA5"/>
    <mergeCell ref="AGR4:AGR5"/>
    <mergeCell ref="AGS4:AGS5"/>
    <mergeCell ref="AGT4:AGT5"/>
    <mergeCell ref="AGU4:AGU5"/>
    <mergeCell ref="AGV4:AGV5"/>
    <mergeCell ref="AGM4:AGM5"/>
    <mergeCell ref="AGN4:AGN5"/>
    <mergeCell ref="AGO4:AGO5"/>
    <mergeCell ref="AGP4:AGP5"/>
    <mergeCell ref="AGQ4:AGQ5"/>
    <mergeCell ref="AGH4:AGH5"/>
    <mergeCell ref="AGI4:AGI5"/>
    <mergeCell ref="AGJ4:AGJ5"/>
    <mergeCell ref="AGK4:AGK5"/>
    <mergeCell ref="AGL4:AGL5"/>
    <mergeCell ref="AGC4:AGC5"/>
    <mergeCell ref="AGD4:AGD5"/>
    <mergeCell ref="AGE4:AGE5"/>
    <mergeCell ref="AGF4:AGF5"/>
    <mergeCell ref="AGG4:AGG5"/>
    <mergeCell ref="AFX4:AFX5"/>
    <mergeCell ref="AFY4:AFY5"/>
    <mergeCell ref="AFZ4:AFZ5"/>
    <mergeCell ref="AGA4:AGA5"/>
    <mergeCell ref="AGB4:AGB5"/>
    <mergeCell ref="AFS4:AFS5"/>
    <mergeCell ref="AFT4:AFT5"/>
    <mergeCell ref="AFU4:AFU5"/>
    <mergeCell ref="AFV4:AFV5"/>
    <mergeCell ref="AFW4:AFW5"/>
    <mergeCell ref="AIF4:AIF5"/>
    <mergeCell ref="AIG4:AIG5"/>
    <mergeCell ref="AIH4:AIH5"/>
    <mergeCell ref="AII4:AII5"/>
    <mergeCell ref="AIJ4:AIJ5"/>
    <mergeCell ref="AIA4:AIA5"/>
    <mergeCell ref="AIB4:AIB5"/>
    <mergeCell ref="AIC4:AIC5"/>
    <mergeCell ref="AID4:AID5"/>
    <mergeCell ref="AIE4:AIE5"/>
    <mergeCell ref="AHV4:AHV5"/>
    <mergeCell ref="AHW4:AHW5"/>
    <mergeCell ref="AHX4:AHX5"/>
    <mergeCell ref="AHY4:AHY5"/>
    <mergeCell ref="AHZ4:AHZ5"/>
    <mergeCell ref="AHQ4:AHQ5"/>
    <mergeCell ref="AHR4:AHR5"/>
    <mergeCell ref="AHS4:AHS5"/>
    <mergeCell ref="AHT4:AHT5"/>
    <mergeCell ref="AHU4:AHU5"/>
    <mergeCell ref="AHL4:AHL5"/>
    <mergeCell ref="AHM4:AHM5"/>
    <mergeCell ref="AHN4:AHN5"/>
    <mergeCell ref="AHO4:AHO5"/>
    <mergeCell ref="AHP4:AHP5"/>
    <mergeCell ref="AHG4:AHG5"/>
    <mergeCell ref="AHH4:AHH5"/>
    <mergeCell ref="AHI4:AHI5"/>
    <mergeCell ref="AHJ4:AHJ5"/>
    <mergeCell ref="AHK4:AHK5"/>
    <mergeCell ref="AHB4:AHB5"/>
    <mergeCell ref="AHC4:AHC5"/>
    <mergeCell ref="AHD4:AHD5"/>
    <mergeCell ref="AHE4:AHE5"/>
    <mergeCell ref="AHF4:AHF5"/>
    <mergeCell ref="AJO4:AJO5"/>
    <mergeCell ref="AJP4:AJP5"/>
    <mergeCell ref="AJQ4:AJQ5"/>
    <mergeCell ref="AJR4:AJR5"/>
    <mergeCell ref="AJS4:AJS5"/>
    <mergeCell ref="AJJ4:AJJ5"/>
    <mergeCell ref="AJK4:AJK5"/>
    <mergeCell ref="AJL4:AJL5"/>
    <mergeCell ref="AJM4:AJM5"/>
    <mergeCell ref="AJN4:AJN5"/>
    <mergeCell ref="AJE4:AJE5"/>
    <mergeCell ref="AJF4:AJF5"/>
    <mergeCell ref="AJG4:AJG5"/>
    <mergeCell ref="AJH4:AJH5"/>
    <mergeCell ref="AJI4:AJI5"/>
    <mergeCell ref="AIZ4:AIZ5"/>
    <mergeCell ref="AJA4:AJA5"/>
    <mergeCell ref="AJB4:AJB5"/>
    <mergeCell ref="AJC4:AJC5"/>
    <mergeCell ref="AJD4:AJD5"/>
    <mergeCell ref="AIU4:AIU5"/>
    <mergeCell ref="AIV4:AIV5"/>
    <mergeCell ref="AIW4:AIW5"/>
    <mergeCell ref="AIX4:AIX5"/>
    <mergeCell ref="AIY4:AIY5"/>
    <mergeCell ref="AIP4:AIP5"/>
    <mergeCell ref="AIQ4:AIQ5"/>
    <mergeCell ref="AIR4:AIR5"/>
    <mergeCell ref="AIS4:AIS5"/>
    <mergeCell ref="AIT4:AIT5"/>
    <mergeCell ref="AIK4:AIK5"/>
    <mergeCell ref="AIL4:AIL5"/>
    <mergeCell ref="AIM4:AIM5"/>
    <mergeCell ref="AIN4:AIN5"/>
    <mergeCell ref="AIO4:AIO5"/>
    <mergeCell ref="AKX4:AKX5"/>
    <mergeCell ref="AKY4:AKY5"/>
    <mergeCell ref="AKZ4:AKZ5"/>
    <mergeCell ref="ALA4:ALA5"/>
    <mergeCell ref="ALB4:ALB5"/>
    <mergeCell ref="AKS4:AKS5"/>
    <mergeCell ref="AKT4:AKT5"/>
    <mergeCell ref="AKU4:AKU5"/>
    <mergeCell ref="AKV4:AKV5"/>
    <mergeCell ref="AKW4:AKW5"/>
    <mergeCell ref="AKN4:AKN5"/>
    <mergeCell ref="AKO4:AKO5"/>
    <mergeCell ref="AKP4:AKP5"/>
    <mergeCell ref="AKQ4:AKQ5"/>
    <mergeCell ref="AKR4:AKR5"/>
    <mergeCell ref="AKI4:AKI5"/>
    <mergeCell ref="AKJ4:AKJ5"/>
    <mergeCell ref="AKK4:AKK5"/>
    <mergeCell ref="AKL4:AKL5"/>
    <mergeCell ref="AKM4:AKM5"/>
    <mergeCell ref="AKD4:AKD5"/>
    <mergeCell ref="AKE4:AKE5"/>
    <mergeCell ref="AKF4:AKF5"/>
    <mergeCell ref="AKG4:AKG5"/>
    <mergeCell ref="AKH4:AKH5"/>
    <mergeCell ref="AJY4:AJY5"/>
    <mergeCell ref="AJZ4:AJZ5"/>
    <mergeCell ref="AKA4:AKA5"/>
    <mergeCell ref="AKB4:AKB5"/>
    <mergeCell ref="AKC4:AKC5"/>
    <mergeCell ref="AJT4:AJT5"/>
    <mergeCell ref="AJU4:AJU5"/>
    <mergeCell ref="AJV4:AJV5"/>
    <mergeCell ref="AJW4:AJW5"/>
    <mergeCell ref="AJX4:AJX5"/>
    <mergeCell ref="AMG4:AMG5"/>
    <mergeCell ref="AMH4:AMH5"/>
    <mergeCell ref="AMI4:AMI5"/>
    <mergeCell ref="AMJ4:AMJ5"/>
    <mergeCell ref="AMK4:AMK5"/>
    <mergeCell ref="AMB4:AMB5"/>
    <mergeCell ref="AMC4:AMC5"/>
    <mergeCell ref="AMD4:AMD5"/>
    <mergeCell ref="AME4:AME5"/>
    <mergeCell ref="AMF4:AMF5"/>
    <mergeCell ref="ALW4:ALW5"/>
    <mergeCell ref="ALX4:ALX5"/>
    <mergeCell ref="ALY4:ALY5"/>
    <mergeCell ref="ALZ4:ALZ5"/>
    <mergeCell ref="AMA4:AMA5"/>
    <mergeCell ref="ALR4:ALR5"/>
    <mergeCell ref="ALS4:ALS5"/>
    <mergeCell ref="ALT4:ALT5"/>
    <mergeCell ref="ALU4:ALU5"/>
    <mergeCell ref="ALV4:ALV5"/>
    <mergeCell ref="ALM4:ALM5"/>
    <mergeCell ref="ALN4:ALN5"/>
    <mergeCell ref="ALO4:ALO5"/>
    <mergeCell ref="ALP4:ALP5"/>
    <mergeCell ref="ALQ4:ALQ5"/>
    <mergeCell ref="ALH4:ALH5"/>
    <mergeCell ref="ALI4:ALI5"/>
    <mergeCell ref="ALJ4:ALJ5"/>
    <mergeCell ref="ALK4:ALK5"/>
    <mergeCell ref="ALL4:ALL5"/>
    <mergeCell ref="ALC4:ALC5"/>
    <mergeCell ref="ALD4:ALD5"/>
    <mergeCell ref="ALE4:ALE5"/>
    <mergeCell ref="ALF4:ALF5"/>
    <mergeCell ref="ALG4:ALG5"/>
    <mergeCell ref="ANP4:ANP5"/>
    <mergeCell ref="ANQ4:ANQ5"/>
    <mergeCell ref="ANR4:ANR5"/>
    <mergeCell ref="ANS4:ANS5"/>
    <mergeCell ref="ANT4:ANT5"/>
    <mergeCell ref="ANK4:ANK5"/>
    <mergeCell ref="ANL4:ANL5"/>
    <mergeCell ref="ANM4:ANM5"/>
    <mergeCell ref="ANN4:ANN5"/>
    <mergeCell ref="ANO4:ANO5"/>
    <mergeCell ref="ANF4:ANF5"/>
    <mergeCell ref="ANG4:ANG5"/>
    <mergeCell ref="ANH4:ANH5"/>
    <mergeCell ref="ANI4:ANI5"/>
    <mergeCell ref="ANJ4:ANJ5"/>
    <mergeCell ref="ANA4:ANA5"/>
    <mergeCell ref="ANB4:ANB5"/>
    <mergeCell ref="ANC4:ANC5"/>
    <mergeCell ref="AND4:AND5"/>
    <mergeCell ref="ANE4:ANE5"/>
    <mergeCell ref="AMV4:AMV5"/>
    <mergeCell ref="AMW4:AMW5"/>
    <mergeCell ref="AMX4:AMX5"/>
    <mergeCell ref="AMY4:AMY5"/>
    <mergeCell ref="AMZ4:AMZ5"/>
    <mergeCell ref="AMQ4:AMQ5"/>
    <mergeCell ref="AMR4:AMR5"/>
    <mergeCell ref="AMS4:AMS5"/>
    <mergeCell ref="AMT4:AMT5"/>
    <mergeCell ref="AMU4:AMU5"/>
    <mergeCell ref="AML4:AML5"/>
    <mergeCell ref="AMM4:AMM5"/>
    <mergeCell ref="AMN4:AMN5"/>
    <mergeCell ref="AMO4:AMO5"/>
    <mergeCell ref="AMP4:AMP5"/>
    <mergeCell ref="AOY4:AOY5"/>
    <mergeCell ref="AOZ4:AOZ5"/>
    <mergeCell ref="APA4:APA5"/>
    <mergeCell ref="APB4:APB5"/>
    <mergeCell ref="APC4:APC5"/>
    <mergeCell ref="AOT4:AOT5"/>
    <mergeCell ref="AOU4:AOU5"/>
    <mergeCell ref="AOV4:AOV5"/>
    <mergeCell ref="AOW4:AOW5"/>
    <mergeCell ref="AOX4:AOX5"/>
    <mergeCell ref="AOO4:AOO5"/>
    <mergeCell ref="AOP4:AOP5"/>
    <mergeCell ref="AOQ4:AOQ5"/>
    <mergeCell ref="AOR4:AOR5"/>
    <mergeCell ref="AOS4:AOS5"/>
    <mergeCell ref="AOJ4:AOJ5"/>
    <mergeCell ref="AOK4:AOK5"/>
    <mergeCell ref="AOL4:AOL5"/>
    <mergeCell ref="AOM4:AOM5"/>
    <mergeCell ref="AON4:AON5"/>
    <mergeCell ref="AOE4:AOE5"/>
    <mergeCell ref="AOF4:AOF5"/>
    <mergeCell ref="AOG4:AOG5"/>
    <mergeCell ref="AOH4:AOH5"/>
    <mergeCell ref="AOI4:AOI5"/>
    <mergeCell ref="ANZ4:ANZ5"/>
    <mergeCell ref="AOA4:AOA5"/>
    <mergeCell ref="AOB4:AOB5"/>
    <mergeCell ref="AOC4:AOC5"/>
    <mergeCell ref="AOD4:AOD5"/>
    <mergeCell ref="ANU4:ANU5"/>
    <mergeCell ref="ANV4:ANV5"/>
    <mergeCell ref="ANW4:ANW5"/>
    <mergeCell ref="ANX4:ANX5"/>
    <mergeCell ref="ANY4:ANY5"/>
    <mergeCell ref="AQH4:AQH5"/>
    <mergeCell ref="AQI4:AQI5"/>
    <mergeCell ref="AQJ4:AQJ5"/>
    <mergeCell ref="AQK4:AQK5"/>
    <mergeCell ref="AQL4:AQL5"/>
    <mergeCell ref="AQC4:AQC5"/>
    <mergeCell ref="AQD4:AQD5"/>
    <mergeCell ref="AQE4:AQE5"/>
    <mergeCell ref="AQF4:AQF5"/>
    <mergeCell ref="AQG4:AQG5"/>
    <mergeCell ref="APX4:APX5"/>
    <mergeCell ref="APY4:APY5"/>
    <mergeCell ref="APZ4:APZ5"/>
    <mergeCell ref="AQA4:AQA5"/>
    <mergeCell ref="AQB4:AQB5"/>
    <mergeCell ref="APS4:APS5"/>
    <mergeCell ref="APT4:APT5"/>
    <mergeCell ref="APU4:APU5"/>
    <mergeCell ref="APV4:APV5"/>
    <mergeCell ref="APW4:APW5"/>
    <mergeCell ref="APN4:APN5"/>
    <mergeCell ref="APO4:APO5"/>
    <mergeCell ref="APP4:APP5"/>
    <mergeCell ref="APQ4:APQ5"/>
    <mergeCell ref="APR4:APR5"/>
    <mergeCell ref="API4:API5"/>
    <mergeCell ref="APJ4:APJ5"/>
    <mergeCell ref="APK4:APK5"/>
    <mergeCell ref="APL4:APL5"/>
    <mergeCell ref="APM4:APM5"/>
    <mergeCell ref="APD4:APD5"/>
    <mergeCell ref="APE4:APE5"/>
    <mergeCell ref="APF4:APF5"/>
    <mergeCell ref="APG4:APG5"/>
    <mergeCell ref="APH4:APH5"/>
    <mergeCell ref="ARQ4:ARQ5"/>
    <mergeCell ref="ARR4:ARR5"/>
    <mergeCell ref="ARS4:ARS5"/>
    <mergeCell ref="ART4:ART5"/>
    <mergeCell ref="ARU4:ARU5"/>
    <mergeCell ref="ARL4:ARL5"/>
    <mergeCell ref="ARM4:ARM5"/>
    <mergeCell ref="ARN4:ARN5"/>
    <mergeCell ref="ARO4:ARO5"/>
    <mergeCell ref="ARP4:ARP5"/>
    <mergeCell ref="ARG4:ARG5"/>
    <mergeCell ref="ARH4:ARH5"/>
    <mergeCell ref="ARI4:ARI5"/>
    <mergeCell ref="ARJ4:ARJ5"/>
    <mergeCell ref="ARK4:ARK5"/>
    <mergeCell ref="ARB4:ARB5"/>
    <mergeCell ref="ARC4:ARC5"/>
    <mergeCell ref="ARD4:ARD5"/>
    <mergeCell ref="ARE4:ARE5"/>
    <mergeCell ref="ARF4:ARF5"/>
    <mergeCell ref="AQW4:AQW5"/>
    <mergeCell ref="AQX4:AQX5"/>
    <mergeCell ref="AQY4:AQY5"/>
    <mergeCell ref="AQZ4:AQZ5"/>
    <mergeCell ref="ARA4:ARA5"/>
    <mergeCell ref="AQR4:AQR5"/>
    <mergeCell ref="AQS4:AQS5"/>
    <mergeCell ref="AQT4:AQT5"/>
    <mergeCell ref="AQU4:AQU5"/>
    <mergeCell ref="AQV4:AQV5"/>
    <mergeCell ref="AQM4:AQM5"/>
    <mergeCell ref="AQN4:AQN5"/>
    <mergeCell ref="AQO4:AQO5"/>
    <mergeCell ref="AQP4:AQP5"/>
    <mergeCell ref="AQQ4:AQQ5"/>
    <mergeCell ref="ASZ4:ASZ5"/>
    <mergeCell ref="ATA4:ATA5"/>
    <mergeCell ref="ATB4:ATB5"/>
    <mergeCell ref="ATC4:ATC5"/>
    <mergeCell ref="ATD4:ATD5"/>
    <mergeCell ref="ASU4:ASU5"/>
    <mergeCell ref="ASV4:ASV5"/>
    <mergeCell ref="ASW4:ASW5"/>
    <mergeCell ref="ASX4:ASX5"/>
    <mergeCell ref="ASY4:ASY5"/>
    <mergeCell ref="ASP4:ASP5"/>
    <mergeCell ref="ASQ4:ASQ5"/>
    <mergeCell ref="ASR4:ASR5"/>
    <mergeCell ref="ASS4:ASS5"/>
    <mergeCell ref="AST4:AST5"/>
    <mergeCell ref="ASK4:ASK5"/>
    <mergeCell ref="ASL4:ASL5"/>
    <mergeCell ref="ASM4:ASM5"/>
    <mergeCell ref="ASN4:ASN5"/>
    <mergeCell ref="ASO4:ASO5"/>
    <mergeCell ref="ASF4:ASF5"/>
    <mergeCell ref="ASG4:ASG5"/>
    <mergeCell ref="ASH4:ASH5"/>
    <mergeCell ref="ASI4:ASI5"/>
    <mergeCell ref="ASJ4:ASJ5"/>
    <mergeCell ref="ASA4:ASA5"/>
    <mergeCell ref="ASB4:ASB5"/>
    <mergeCell ref="ASC4:ASC5"/>
    <mergeCell ref="ASD4:ASD5"/>
    <mergeCell ref="ASE4:ASE5"/>
    <mergeCell ref="ARV4:ARV5"/>
    <mergeCell ref="ARW4:ARW5"/>
    <mergeCell ref="ARX4:ARX5"/>
    <mergeCell ref="ARY4:ARY5"/>
    <mergeCell ref="ARZ4:ARZ5"/>
    <mergeCell ref="AUI4:AUI5"/>
    <mergeCell ref="AUJ4:AUJ5"/>
    <mergeCell ref="AUK4:AUK5"/>
    <mergeCell ref="AUL4:AUL5"/>
    <mergeCell ref="AUM4:AUM5"/>
    <mergeCell ref="AUD4:AUD5"/>
    <mergeCell ref="AUE4:AUE5"/>
    <mergeCell ref="AUF4:AUF5"/>
    <mergeCell ref="AUG4:AUG5"/>
    <mergeCell ref="AUH4:AUH5"/>
    <mergeCell ref="ATY4:ATY5"/>
    <mergeCell ref="ATZ4:ATZ5"/>
    <mergeCell ref="AUA4:AUA5"/>
    <mergeCell ref="AUB4:AUB5"/>
    <mergeCell ref="AUC4:AUC5"/>
    <mergeCell ref="ATT4:ATT5"/>
    <mergeCell ref="ATU4:ATU5"/>
    <mergeCell ref="ATV4:ATV5"/>
    <mergeCell ref="ATW4:ATW5"/>
    <mergeCell ref="ATX4:ATX5"/>
    <mergeCell ref="ATO4:ATO5"/>
    <mergeCell ref="ATP4:ATP5"/>
    <mergeCell ref="ATQ4:ATQ5"/>
    <mergeCell ref="ATR4:ATR5"/>
    <mergeCell ref="ATS4:ATS5"/>
    <mergeCell ref="ATJ4:ATJ5"/>
    <mergeCell ref="ATK4:ATK5"/>
    <mergeCell ref="ATL4:ATL5"/>
    <mergeCell ref="ATM4:ATM5"/>
    <mergeCell ref="ATN4:ATN5"/>
    <mergeCell ref="ATE4:ATE5"/>
    <mergeCell ref="ATF4:ATF5"/>
    <mergeCell ref="ATG4:ATG5"/>
    <mergeCell ref="ATH4:ATH5"/>
    <mergeCell ref="ATI4:ATI5"/>
    <mergeCell ref="AVR4:AVR5"/>
    <mergeCell ref="AVS4:AVS5"/>
    <mergeCell ref="AVT4:AVT5"/>
    <mergeCell ref="AVU4:AVU5"/>
    <mergeCell ref="AVV4:AVV5"/>
    <mergeCell ref="AVM4:AVM5"/>
    <mergeCell ref="AVN4:AVN5"/>
    <mergeCell ref="AVO4:AVO5"/>
    <mergeCell ref="AVP4:AVP5"/>
    <mergeCell ref="AVQ4:AVQ5"/>
    <mergeCell ref="AVH4:AVH5"/>
    <mergeCell ref="AVI4:AVI5"/>
    <mergeCell ref="AVJ4:AVJ5"/>
    <mergeCell ref="AVK4:AVK5"/>
    <mergeCell ref="AVL4:AVL5"/>
    <mergeCell ref="AVC4:AVC5"/>
    <mergeCell ref="AVD4:AVD5"/>
    <mergeCell ref="AVE4:AVE5"/>
    <mergeCell ref="AVF4:AVF5"/>
    <mergeCell ref="AVG4:AVG5"/>
    <mergeCell ref="AUX4:AUX5"/>
    <mergeCell ref="AUY4:AUY5"/>
    <mergeCell ref="AUZ4:AUZ5"/>
    <mergeCell ref="AVA4:AVA5"/>
    <mergeCell ref="AVB4:AVB5"/>
    <mergeCell ref="AUS4:AUS5"/>
    <mergeCell ref="AUT4:AUT5"/>
    <mergeCell ref="AUU4:AUU5"/>
    <mergeCell ref="AUV4:AUV5"/>
    <mergeCell ref="AUW4:AUW5"/>
    <mergeCell ref="AUN4:AUN5"/>
    <mergeCell ref="AUO4:AUO5"/>
    <mergeCell ref="AUP4:AUP5"/>
    <mergeCell ref="AUQ4:AUQ5"/>
    <mergeCell ref="AUR4:AUR5"/>
    <mergeCell ref="AXA4:AXA5"/>
    <mergeCell ref="AXB4:AXB5"/>
    <mergeCell ref="AXC4:AXC5"/>
    <mergeCell ref="AXD4:AXD5"/>
    <mergeCell ref="AXE4:AXE5"/>
    <mergeCell ref="AWV4:AWV5"/>
    <mergeCell ref="AWW4:AWW5"/>
    <mergeCell ref="AWX4:AWX5"/>
    <mergeCell ref="AWY4:AWY5"/>
    <mergeCell ref="AWZ4:AWZ5"/>
    <mergeCell ref="AWQ4:AWQ5"/>
    <mergeCell ref="AWR4:AWR5"/>
    <mergeCell ref="AWS4:AWS5"/>
    <mergeCell ref="AWT4:AWT5"/>
    <mergeCell ref="AWU4:AWU5"/>
    <mergeCell ref="AWL4:AWL5"/>
    <mergeCell ref="AWM4:AWM5"/>
    <mergeCell ref="AWN4:AWN5"/>
    <mergeCell ref="AWO4:AWO5"/>
    <mergeCell ref="AWP4:AWP5"/>
    <mergeCell ref="AWG4:AWG5"/>
    <mergeCell ref="AWH4:AWH5"/>
    <mergeCell ref="AWI4:AWI5"/>
    <mergeCell ref="AWJ4:AWJ5"/>
    <mergeCell ref="AWK4:AWK5"/>
    <mergeCell ref="AWB4:AWB5"/>
    <mergeCell ref="AWC4:AWC5"/>
    <mergeCell ref="AWD4:AWD5"/>
    <mergeCell ref="AWE4:AWE5"/>
    <mergeCell ref="AWF4:AWF5"/>
    <mergeCell ref="AVW4:AVW5"/>
    <mergeCell ref="AVX4:AVX5"/>
    <mergeCell ref="AVY4:AVY5"/>
    <mergeCell ref="AVZ4:AVZ5"/>
    <mergeCell ref="AWA4:AWA5"/>
    <mergeCell ref="AYJ4:AYJ5"/>
    <mergeCell ref="AYK4:AYK5"/>
    <mergeCell ref="AYL4:AYL5"/>
    <mergeCell ref="AYM4:AYM5"/>
    <mergeCell ref="AYN4:AYN5"/>
    <mergeCell ref="AYE4:AYE5"/>
    <mergeCell ref="AYF4:AYF5"/>
    <mergeCell ref="AYG4:AYG5"/>
    <mergeCell ref="AYH4:AYH5"/>
    <mergeCell ref="AYI4:AYI5"/>
    <mergeCell ref="AXZ4:AXZ5"/>
    <mergeCell ref="AYA4:AYA5"/>
    <mergeCell ref="AYB4:AYB5"/>
    <mergeCell ref="AYC4:AYC5"/>
    <mergeCell ref="AYD4:AYD5"/>
    <mergeCell ref="AXU4:AXU5"/>
    <mergeCell ref="AXV4:AXV5"/>
    <mergeCell ref="AXW4:AXW5"/>
    <mergeCell ref="AXX4:AXX5"/>
    <mergeCell ref="AXY4:AXY5"/>
    <mergeCell ref="AXP4:AXP5"/>
    <mergeCell ref="AXQ4:AXQ5"/>
    <mergeCell ref="AXR4:AXR5"/>
    <mergeCell ref="AXS4:AXS5"/>
    <mergeCell ref="AXT4:AXT5"/>
    <mergeCell ref="AXK4:AXK5"/>
    <mergeCell ref="AXL4:AXL5"/>
    <mergeCell ref="AXM4:AXM5"/>
    <mergeCell ref="AXN4:AXN5"/>
    <mergeCell ref="AXO4:AXO5"/>
    <mergeCell ref="AXF4:AXF5"/>
    <mergeCell ref="AXG4:AXG5"/>
    <mergeCell ref="AXH4:AXH5"/>
    <mergeCell ref="AXI4:AXI5"/>
    <mergeCell ref="AXJ4:AXJ5"/>
    <mergeCell ref="AZS4:AZS5"/>
    <mergeCell ref="AZT4:AZT5"/>
    <mergeCell ref="AZU4:AZU5"/>
    <mergeCell ref="AZV4:AZV5"/>
    <mergeCell ref="AZW4:AZW5"/>
    <mergeCell ref="AZN4:AZN5"/>
    <mergeCell ref="AZO4:AZO5"/>
    <mergeCell ref="AZP4:AZP5"/>
    <mergeCell ref="AZQ4:AZQ5"/>
    <mergeCell ref="AZR4:AZR5"/>
    <mergeCell ref="AZI4:AZI5"/>
    <mergeCell ref="AZJ4:AZJ5"/>
    <mergeCell ref="AZK4:AZK5"/>
    <mergeCell ref="AZL4:AZL5"/>
    <mergeCell ref="AZM4:AZM5"/>
    <mergeCell ref="AZD4:AZD5"/>
    <mergeCell ref="AZE4:AZE5"/>
    <mergeCell ref="AZF4:AZF5"/>
    <mergeCell ref="AZG4:AZG5"/>
    <mergeCell ref="AZH4:AZH5"/>
    <mergeCell ref="AYY4:AYY5"/>
    <mergeCell ref="AYZ4:AYZ5"/>
    <mergeCell ref="AZA4:AZA5"/>
    <mergeCell ref="AZB4:AZB5"/>
    <mergeCell ref="AZC4:AZC5"/>
    <mergeCell ref="AYT4:AYT5"/>
    <mergeCell ref="AYU4:AYU5"/>
    <mergeCell ref="AYV4:AYV5"/>
    <mergeCell ref="AYW4:AYW5"/>
    <mergeCell ref="AYX4:AYX5"/>
    <mergeCell ref="AYO4:AYO5"/>
    <mergeCell ref="AYP4:AYP5"/>
    <mergeCell ref="AYQ4:AYQ5"/>
    <mergeCell ref="AYR4:AYR5"/>
    <mergeCell ref="AYS4:AYS5"/>
    <mergeCell ref="BBB4:BBB5"/>
    <mergeCell ref="BBC4:BBC5"/>
    <mergeCell ref="BBD4:BBD5"/>
    <mergeCell ref="BBE4:BBE5"/>
    <mergeCell ref="BBF4:BBF5"/>
    <mergeCell ref="BAW4:BAW5"/>
    <mergeCell ref="BAX4:BAX5"/>
    <mergeCell ref="BAY4:BAY5"/>
    <mergeCell ref="BAZ4:BAZ5"/>
    <mergeCell ref="BBA4:BBA5"/>
    <mergeCell ref="BAR4:BAR5"/>
    <mergeCell ref="BAS4:BAS5"/>
    <mergeCell ref="BAT4:BAT5"/>
    <mergeCell ref="BAU4:BAU5"/>
    <mergeCell ref="BAV4:BAV5"/>
    <mergeCell ref="BAM4:BAM5"/>
    <mergeCell ref="BAN4:BAN5"/>
    <mergeCell ref="BAO4:BAO5"/>
    <mergeCell ref="BAP4:BAP5"/>
    <mergeCell ref="BAQ4:BAQ5"/>
    <mergeCell ref="BAH4:BAH5"/>
    <mergeCell ref="BAI4:BAI5"/>
    <mergeCell ref="BAJ4:BAJ5"/>
    <mergeCell ref="BAK4:BAK5"/>
    <mergeCell ref="BAL4:BAL5"/>
    <mergeCell ref="BAC4:BAC5"/>
    <mergeCell ref="BAD4:BAD5"/>
    <mergeCell ref="BAE4:BAE5"/>
    <mergeCell ref="BAF4:BAF5"/>
    <mergeCell ref="BAG4:BAG5"/>
    <mergeCell ref="AZX4:AZX5"/>
    <mergeCell ref="AZY4:AZY5"/>
    <mergeCell ref="AZZ4:AZZ5"/>
    <mergeCell ref="BAA4:BAA5"/>
    <mergeCell ref="BAB4:BAB5"/>
    <mergeCell ref="BCK4:BCK5"/>
    <mergeCell ref="BCL4:BCL5"/>
    <mergeCell ref="BCM4:BCM5"/>
    <mergeCell ref="BCN4:BCN5"/>
    <mergeCell ref="BCO4:BCO5"/>
    <mergeCell ref="BCF4:BCF5"/>
    <mergeCell ref="BCG4:BCG5"/>
    <mergeCell ref="BCH4:BCH5"/>
    <mergeCell ref="BCI4:BCI5"/>
    <mergeCell ref="BCJ4:BCJ5"/>
    <mergeCell ref="BCA4:BCA5"/>
    <mergeCell ref="BCB4:BCB5"/>
    <mergeCell ref="BCC4:BCC5"/>
    <mergeCell ref="BCD4:BCD5"/>
    <mergeCell ref="BCE4:BCE5"/>
    <mergeCell ref="BBV4:BBV5"/>
    <mergeCell ref="BBW4:BBW5"/>
    <mergeCell ref="BBX4:BBX5"/>
    <mergeCell ref="BBY4:BBY5"/>
    <mergeCell ref="BBZ4:BBZ5"/>
    <mergeCell ref="BBQ4:BBQ5"/>
    <mergeCell ref="BBR4:BBR5"/>
    <mergeCell ref="BBS4:BBS5"/>
    <mergeCell ref="BBT4:BBT5"/>
    <mergeCell ref="BBU4:BBU5"/>
    <mergeCell ref="BBL4:BBL5"/>
    <mergeCell ref="BBM4:BBM5"/>
    <mergeCell ref="BBN4:BBN5"/>
    <mergeCell ref="BBO4:BBO5"/>
    <mergeCell ref="BBP4:BBP5"/>
    <mergeCell ref="BBG4:BBG5"/>
    <mergeCell ref="BBH4:BBH5"/>
    <mergeCell ref="BBI4:BBI5"/>
    <mergeCell ref="BBJ4:BBJ5"/>
    <mergeCell ref="BBK4:BBK5"/>
    <mergeCell ref="BDT4:BDT5"/>
    <mergeCell ref="BDU4:BDU5"/>
    <mergeCell ref="BDV4:BDV5"/>
    <mergeCell ref="BDW4:BDW5"/>
    <mergeCell ref="BDX4:BDX5"/>
    <mergeCell ref="BDO4:BDO5"/>
    <mergeCell ref="BDP4:BDP5"/>
    <mergeCell ref="BDQ4:BDQ5"/>
    <mergeCell ref="BDR4:BDR5"/>
    <mergeCell ref="BDS4:BDS5"/>
    <mergeCell ref="BDJ4:BDJ5"/>
    <mergeCell ref="BDK4:BDK5"/>
    <mergeCell ref="BDL4:BDL5"/>
    <mergeCell ref="BDM4:BDM5"/>
    <mergeCell ref="BDN4:BDN5"/>
    <mergeCell ref="BDE4:BDE5"/>
    <mergeCell ref="BDF4:BDF5"/>
    <mergeCell ref="BDG4:BDG5"/>
    <mergeCell ref="BDH4:BDH5"/>
    <mergeCell ref="BDI4:BDI5"/>
    <mergeCell ref="BCZ4:BCZ5"/>
    <mergeCell ref="BDA4:BDA5"/>
    <mergeCell ref="BDB4:BDB5"/>
    <mergeCell ref="BDC4:BDC5"/>
    <mergeCell ref="BDD4:BDD5"/>
    <mergeCell ref="BCU4:BCU5"/>
    <mergeCell ref="BCV4:BCV5"/>
    <mergeCell ref="BCW4:BCW5"/>
    <mergeCell ref="BCX4:BCX5"/>
    <mergeCell ref="BCY4:BCY5"/>
    <mergeCell ref="BCP4:BCP5"/>
    <mergeCell ref="BCQ4:BCQ5"/>
    <mergeCell ref="BCR4:BCR5"/>
    <mergeCell ref="BCS4:BCS5"/>
    <mergeCell ref="BCT4:BCT5"/>
    <mergeCell ref="BFC4:BFC5"/>
    <mergeCell ref="BFD4:BFD5"/>
    <mergeCell ref="BFE4:BFE5"/>
    <mergeCell ref="BFF4:BFF5"/>
    <mergeCell ref="BFG4:BFG5"/>
    <mergeCell ref="BEX4:BEX5"/>
    <mergeCell ref="BEY4:BEY5"/>
    <mergeCell ref="BEZ4:BEZ5"/>
    <mergeCell ref="BFA4:BFA5"/>
    <mergeCell ref="BFB4:BFB5"/>
    <mergeCell ref="BES4:BES5"/>
    <mergeCell ref="BET4:BET5"/>
    <mergeCell ref="BEU4:BEU5"/>
    <mergeCell ref="BEV4:BEV5"/>
    <mergeCell ref="BEW4:BEW5"/>
    <mergeCell ref="BEN4:BEN5"/>
    <mergeCell ref="BEO4:BEO5"/>
    <mergeCell ref="BEP4:BEP5"/>
    <mergeCell ref="BEQ4:BEQ5"/>
    <mergeCell ref="BER4:BER5"/>
    <mergeCell ref="BEI4:BEI5"/>
    <mergeCell ref="BEJ4:BEJ5"/>
    <mergeCell ref="BEK4:BEK5"/>
    <mergeCell ref="BEL4:BEL5"/>
    <mergeCell ref="BEM4:BEM5"/>
    <mergeCell ref="BED4:BED5"/>
    <mergeCell ref="BEE4:BEE5"/>
    <mergeCell ref="BEF4:BEF5"/>
    <mergeCell ref="BEG4:BEG5"/>
    <mergeCell ref="BEH4:BEH5"/>
    <mergeCell ref="BDY4:BDY5"/>
    <mergeCell ref="BDZ4:BDZ5"/>
    <mergeCell ref="BEA4:BEA5"/>
    <mergeCell ref="BEB4:BEB5"/>
    <mergeCell ref="BEC4:BEC5"/>
    <mergeCell ref="BGL4:BGL5"/>
    <mergeCell ref="BGM4:BGM5"/>
    <mergeCell ref="BGN4:BGN5"/>
    <mergeCell ref="BGO4:BGO5"/>
    <mergeCell ref="BGP4:BGP5"/>
    <mergeCell ref="BGG4:BGG5"/>
    <mergeCell ref="BGH4:BGH5"/>
    <mergeCell ref="BGI4:BGI5"/>
    <mergeCell ref="BGJ4:BGJ5"/>
    <mergeCell ref="BGK4:BGK5"/>
    <mergeCell ref="BGB4:BGB5"/>
    <mergeCell ref="BGC4:BGC5"/>
    <mergeCell ref="BGD4:BGD5"/>
    <mergeCell ref="BGE4:BGE5"/>
    <mergeCell ref="BGF4:BGF5"/>
    <mergeCell ref="BFW4:BFW5"/>
    <mergeCell ref="BFX4:BFX5"/>
    <mergeCell ref="BFY4:BFY5"/>
    <mergeCell ref="BFZ4:BFZ5"/>
    <mergeCell ref="BGA4:BGA5"/>
    <mergeCell ref="BFR4:BFR5"/>
    <mergeCell ref="BFS4:BFS5"/>
    <mergeCell ref="BFT4:BFT5"/>
    <mergeCell ref="BFU4:BFU5"/>
    <mergeCell ref="BFV4:BFV5"/>
    <mergeCell ref="BFM4:BFM5"/>
    <mergeCell ref="BFN4:BFN5"/>
    <mergeCell ref="BFO4:BFO5"/>
    <mergeCell ref="BFP4:BFP5"/>
    <mergeCell ref="BFQ4:BFQ5"/>
    <mergeCell ref="BFH4:BFH5"/>
    <mergeCell ref="BFI4:BFI5"/>
    <mergeCell ref="BFJ4:BFJ5"/>
    <mergeCell ref="BFK4:BFK5"/>
    <mergeCell ref="BFL4:BFL5"/>
    <mergeCell ref="BHU4:BHU5"/>
    <mergeCell ref="BHV4:BHV5"/>
    <mergeCell ref="BHW4:BHW5"/>
    <mergeCell ref="BHX4:BHX5"/>
    <mergeCell ref="BHY4:BHY5"/>
    <mergeCell ref="BHP4:BHP5"/>
    <mergeCell ref="BHQ4:BHQ5"/>
    <mergeCell ref="BHR4:BHR5"/>
    <mergeCell ref="BHS4:BHS5"/>
    <mergeCell ref="BHT4:BHT5"/>
    <mergeCell ref="BHK4:BHK5"/>
    <mergeCell ref="BHL4:BHL5"/>
    <mergeCell ref="BHM4:BHM5"/>
    <mergeCell ref="BHN4:BHN5"/>
    <mergeCell ref="BHO4:BHO5"/>
    <mergeCell ref="BHF4:BHF5"/>
    <mergeCell ref="BHG4:BHG5"/>
    <mergeCell ref="BHH4:BHH5"/>
    <mergeCell ref="BHI4:BHI5"/>
    <mergeCell ref="BHJ4:BHJ5"/>
    <mergeCell ref="BHA4:BHA5"/>
    <mergeCell ref="BHB4:BHB5"/>
    <mergeCell ref="BHC4:BHC5"/>
    <mergeCell ref="BHD4:BHD5"/>
    <mergeCell ref="BHE4:BHE5"/>
    <mergeCell ref="BGV4:BGV5"/>
    <mergeCell ref="BGW4:BGW5"/>
    <mergeCell ref="BGX4:BGX5"/>
    <mergeCell ref="BGY4:BGY5"/>
    <mergeCell ref="BGZ4:BGZ5"/>
    <mergeCell ref="BGQ4:BGQ5"/>
    <mergeCell ref="BGR4:BGR5"/>
    <mergeCell ref="BGS4:BGS5"/>
    <mergeCell ref="BGT4:BGT5"/>
    <mergeCell ref="BGU4:BGU5"/>
    <mergeCell ref="BJD4:BJD5"/>
    <mergeCell ref="BJE4:BJE5"/>
    <mergeCell ref="BJF4:BJF5"/>
    <mergeCell ref="BJG4:BJG5"/>
    <mergeCell ref="BJH4:BJH5"/>
    <mergeCell ref="BIY4:BIY5"/>
    <mergeCell ref="BIZ4:BIZ5"/>
    <mergeCell ref="BJA4:BJA5"/>
    <mergeCell ref="BJB4:BJB5"/>
    <mergeCell ref="BJC4:BJC5"/>
    <mergeCell ref="BIT4:BIT5"/>
    <mergeCell ref="BIU4:BIU5"/>
    <mergeCell ref="BIV4:BIV5"/>
    <mergeCell ref="BIW4:BIW5"/>
    <mergeCell ref="BIX4:BIX5"/>
    <mergeCell ref="BIO4:BIO5"/>
    <mergeCell ref="BIP4:BIP5"/>
    <mergeCell ref="BIQ4:BIQ5"/>
    <mergeCell ref="BIR4:BIR5"/>
    <mergeCell ref="BIS4:BIS5"/>
    <mergeCell ref="BIJ4:BIJ5"/>
    <mergeCell ref="BIK4:BIK5"/>
    <mergeCell ref="BIL4:BIL5"/>
    <mergeCell ref="BIM4:BIM5"/>
    <mergeCell ref="BIN4:BIN5"/>
    <mergeCell ref="BIE4:BIE5"/>
    <mergeCell ref="BIF4:BIF5"/>
    <mergeCell ref="BIG4:BIG5"/>
    <mergeCell ref="BIH4:BIH5"/>
    <mergeCell ref="BII4:BII5"/>
    <mergeCell ref="BHZ4:BHZ5"/>
    <mergeCell ref="BIA4:BIA5"/>
    <mergeCell ref="BIB4:BIB5"/>
    <mergeCell ref="BIC4:BIC5"/>
    <mergeCell ref="BID4:BID5"/>
    <mergeCell ref="BKM4:BKM5"/>
    <mergeCell ref="BKN4:BKN5"/>
    <mergeCell ref="BKO4:BKO5"/>
    <mergeCell ref="BKP4:BKP5"/>
    <mergeCell ref="BKQ4:BKQ5"/>
    <mergeCell ref="BKH4:BKH5"/>
    <mergeCell ref="BKI4:BKI5"/>
    <mergeCell ref="BKJ4:BKJ5"/>
    <mergeCell ref="BKK4:BKK5"/>
    <mergeCell ref="BKL4:BKL5"/>
    <mergeCell ref="BKC4:BKC5"/>
    <mergeCell ref="BKD4:BKD5"/>
    <mergeCell ref="BKE4:BKE5"/>
    <mergeCell ref="BKF4:BKF5"/>
    <mergeCell ref="BKG4:BKG5"/>
    <mergeCell ref="BJX4:BJX5"/>
    <mergeCell ref="BJY4:BJY5"/>
    <mergeCell ref="BJZ4:BJZ5"/>
    <mergeCell ref="BKA4:BKA5"/>
    <mergeCell ref="BKB4:BKB5"/>
    <mergeCell ref="BJS4:BJS5"/>
    <mergeCell ref="BJT4:BJT5"/>
    <mergeCell ref="BJU4:BJU5"/>
    <mergeCell ref="BJV4:BJV5"/>
    <mergeCell ref="BJW4:BJW5"/>
    <mergeCell ref="BJN4:BJN5"/>
    <mergeCell ref="BJO4:BJO5"/>
    <mergeCell ref="BJP4:BJP5"/>
    <mergeCell ref="BJQ4:BJQ5"/>
    <mergeCell ref="BJR4:BJR5"/>
    <mergeCell ref="BJI4:BJI5"/>
    <mergeCell ref="BJJ4:BJJ5"/>
    <mergeCell ref="BJK4:BJK5"/>
    <mergeCell ref="BJL4:BJL5"/>
    <mergeCell ref="BJM4:BJM5"/>
    <mergeCell ref="BLV4:BLV5"/>
    <mergeCell ref="BLW4:BLW5"/>
    <mergeCell ref="BLX4:BLX5"/>
    <mergeCell ref="BLY4:BLY5"/>
    <mergeCell ref="BLZ4:BLZ5"/>
    <mergeCell ref="BLQ4:BLQ5"/>
    <mergeCell ref="BLR4:BLR5"/>
    <mergeCell ref="BLS4:BLS5"/>
    <mergeCell ref="BLT4:BLT5"/>
    <mergeCell ref="BLU4:BLU5"/>
    <mergeCell ref="BLL4:BLL5"/>
    <mergeCell ref="BLM4:BLM5"/>
    <mergeCell ref="BLN4:BLN5"/>
    <mergeCell ref="BLO4:BLO5"/>
    <mergeCell ref="BLP4:BLP5"/>
    <mergeCell ref="BLG4:BLG5"/>
    <mergeCell ref="BLH4:BLH5"/>
    <mergeCell ref="BLI4:BLI5"/>
    <mergeCell ref="BLJ4:BLJ5"/>
    <mergeCell ref="BLK4:BLK5"/>
    <mergeCell ref="BLB4:BLB5"/>
    <mergeCell ref="BLC4:BLC5"/>
    <mergeCell ref="BLD4:BLD5"/>
    <mergeCell ref="BLE4:BLE5"/>
    <mergeCell ref="BLF4:BLF5"/>
    <mergeCell ref="BKW4:BKW5"/>
    <mergeCell ref="BKX4:BKX5"/>
    <mergeCell ref="BKY4:BKY5"/>
    <mergeCell ref="BKZ4:BKZ5"/>
    <mergeCell ref="BLA4:BLA5"/>
    <mergeCell ref="BKR4:BKR5"/>
    <mergeCell ref="BKS4:BKS5"/>
    <mergeCell ref="BKT4:BKT5"/>
    <mergeCell ref="BKU4:BKU5"/>
    <mergeCell ref="BKV4:BKV5"/>
    <mergeCell ref="BNE4:BNE5"/>
    <mergeCell ref="BNF4:BNF5"/>
    <mergeCell ref="BNG4:BNG5"/>
    <mergeCell ref="BNH4:BNH5"/>
    <mergeCell ref="BNI4:BNI5"/>
    <mergeCell ref="BMZ4:BMZ5"/>
    <mergeCell ref="BNA4:BNA5"/>
    <mergeCell ref="BNB4:BNB5"/>
    <mergeCell ref="BNC4:BNC5"/>
    <mergeCell ref="BND4:BND5"/>
    <mergeCell ref="BMU4:BMU5"/>
    <mergeCell ref="BMV4:BMV5"/>
    <mergeCell ref="BMW4:BMW5"/>
    <mergeCell ref="BMX4:BMX5"/>
    <mergeCell ref="BMY4:BMY5"/>
    <mergeCell ref="BMP4:BMP5"/>
    <mergeCell ref="BMQ4:BMQ5"/>
    <mergeCell ref="BMR4:BMR5"/>
    <mergeCell ref="BMS4:BMS5"/>
    <mergeCell ref="BMT4:BMT5"/>
    <mergeCell ref="BMK4:BMK5"/>
    <mergeCell ref="BML4:BML5"/>
    <mergeCell ref="BMM4:BMM5"/>
    <mergeCell ref="BMN4:BMN5"/>
    <mergeCell ref="BMO4:BMO5"/>
    <mergeCell ref="BMF4:BMF5"/>
    <mergeCell ref="BMG4:BMG5"/>
    <mergeCell ref="BMH4:BMH5"/>
    <mergeCell ref="BMI4:BMI5"/>
    <mergeCell ref="BMJ4:BMJ5"/>
    <mergeCell ref="BMA4:BMA5"/>
    <mergeCell ref="BMB4:BMB5"/>
    <mergeCell ref="BMC4:BMC5"/>
    <mergeCell ref="BMD4:BMD5"/>
    <mergeCell ref="BME4:BME5"/>
    <mergeCell ref="BON4:BON5"/>
    <mergeCell ref="BOO4:BOO5"/>
    <mergeCell ref="BOP4:BOP5"/>
    <mergeCell ref="BOQ4:BOQ5"/>
    <mergeCell ref="BOR4:BOR5"/>
    <mergeCell ref="BOI4:BOI5"/>
    <mergeCell ref="BOJ4:BOJ5"/>
    <mergeCell ref="BOK4:BOK5"/>
    <mergeCell ref="BOL4:BOL5"/>
    <mergeCell ref="BOM4:BOM5"/>
    <mergeCell ref="BOD4:BOD5"/>
    <mergeCell ref="BOE4:BOE5"/>
    <mergeCell ref="BOF4:BOF5"/>
    <mergeCell ref="BOG4:BOG5"/>
    <mergeCell ref="BOH4:BOH5"/>
    <mergeCell ref="BNY4:BNY5"/>
    <mergeCell ref="BNZ4:BNZ5"/>
    <mergeCell ref="BOA4:BOA5"/>
    <mergeCell ref="BOB4:BOB5"/>
    <mergeCell ref="BOC4:BOC5"/>
    <mergeCell ref="BNT4:BNT5"/>
    <mergeCell ref="BNU4:BNU5"/>
    <mergeCell ref="BNV4:BNV5"/>
    <mergeCell ref="BNW4:BNW5"/>
    <mergeCell ref="BNX4:BNX5"/>
    <mergeCell ref="BNO4:BNO5"/>
    <mergeCell ref="BNP4:BNP5"/>
    <mergeCell ref="BNQ4:BNQ5"/>
    <mergeCell ref="BNR4:BNR5"/>
    <mergeCell ref="BNS4:BNS5"/>
    <mergeCell ref="BNJ4:BNJ5"/>
    <mergeCell ref="BNK4:BNK5"/>
    <mergeCell ref="BNL4:BNL5"/>
    <mergeCell ref="BNM4:BNM5"/>
    <mergeCell ref="BNN4:BNN5"/>
    <mergeCell ref="BPW4:BPW5"/>
    <mergeCell ref="BPX4:BPX5"/>
    <mergeCell ref="BPY4:BPY5"/>
    <mergeCell ref="BPZ4:BPZ5"/>
    <mergeCell ref="BQA4:BQA5"/>
    <mergeCell ref="BPR4:BPR5"/>
    <mergeCell ref="BPS4:BPS5"/>
    <mergeCell ref="BPT4:BPT5"/>
    <mergeCell ref="BPU4:BPU5"/>
    <mergeCell ref="BPV4:BPV5"/>
    <mergeCell ref="BPM4:BPM5"/>
    <mergeCell ref="BPN4:BPN5"/>
    <mergeCell ref="BPO4:BPO5"/>
    <mergeCell ref="BPP4:BPP5"/>
    <mergeCell ref="BPQ4:BPQ5"/>
    <mergeCell ref="BPH4:BPH5"/>
    <mergeCell ref="BPI4:BPI5"/>
    <mergeCell ref="BPJ4:BPJ5"/>
    <mergeCell ref="BPK4:BPK5"/>
    <mergeCell ref="BPL4:BPL5"/>
    <mergeCell ref="BPC4:BPC5"/>
    <mergeCell ref="BPD4:BPD5"/>
    <mergeCell ref="BPE4:BPE5"/>
    <mergeCell ref="BPF4:BPF5"/>
    <mergeCell ref="BPG4:BPG5"/>
    <mergeCell ref="BOX4:BOX5"/>
    <mergeCell ref="BOY4:BOY5"/>
    <mergeCell ref="BOZ4:BOZ5"/>
    <mergeCell ref="BPA4:BPA5"/>
    <mergeCell ref="BPB4:BPB5"/>
    <mergeCell ref="BOS4:BOS5"/>
    <mergeCell ref="BOT4:BOT5"/>
    <mergeCell ref="BOU4:BOU5"/>
    <mergeCell ref="BOV4:BOV5"/>
    <mergeCell ref="BOW4:BOW5"/>
    <mergeCell ref="BRF4:BRF5"/>
    <mergeCell ref="BRG4:BRG5"/>
    <mergeCell ref="BRH4:BRH5"/>
    <mergeCell ref="BRI4:BRI5"/>
    <mergeCell ref="BRJ4:BRJ5"/>
    <mergeCell ref="BRA4:BRA5"/>
    <mergeCell ref="BRB4:BRB5"/>
    <mergeCell ref="BRC4:BRC5"/>
    <mergeCell ref="BRD4:BRD5"/>
    <mergeCell ref="BRE4:BRE5"/>
    <mergeCell ref="BQV4:BQV5"/>
    <mergeCell ref="BQW4:BQW5"/>
    <mergeCell ref="BQX4:BQX5"/>
    <mergeCell ref="BQY4:BQY5"/>
    <mergeCell ref="BQZ4:BQZ5"/>
    <mergeCell ref="BQQ4:BQQ5"/>
    <mergeCell ref="BQR4:BQR5"/>
    <mergeCell ref="BQS4:BQS5"/>
    <mergeCell ref="BQT4:BQT5"/>
    <mergeCell ref="BQU4:BQU5"/>
    <mergeCell ref="BQL4:BQL5"/>
    <mergeCell ref="BQM4:BQM5"/>
    <mergeCell ref="BQN4:BQN5"/>
    <mergeCell ref="BQO4:BQO5"/>
    <mergeCell ref="BQP4:BQP5"/>
    <mergeCell ref="BQG4:BQG5"/>
    <mergeCell ref="BQH4:BQH5"/>
    <mergeCell ref="BQI4:BQI5"/>
    <mergeCell ref="BQJ4:BQJ5"/>
    <mergeCell ref="BQK4:BQK5"/>
    <mergeCell ref="BQB4:BQB5"/>
    <mergeCell ref="BQC4:BQC5"/>
    <mergeCell ref="BQD4:BQD5"/>
    <mergeCell ref="BQE4:BQE5"/>
    <mergeCell ref="BQF4:BQF5"/>
    <mergeCell ref="BSO4:BSO5"/>
    <mergeCell ref="BSP4:BSP5"/>
    <mergeCell ref="BSQ4:BSQ5"/>
    <mergeCell ref="BSR4:BSR5"/>
    <mergeCell ref="BSS4:BSS5"/>
    <mergeCell ref="BSJ4:BSJ5"/>
    <mergeCell ref="BSK4:BSK5"/>
    <mergeCell ref="BSL4:BSL5"/>
    <mergeCell ref="BSM4:BSM5"/>
    <mergeCell ref="BSN4:BSN5"/>
    <mergeCell ref="BSE4:BSE5"/>
    <mergeCell ref="BSF4:BSF5"/>
    <mergeCell ref="BSG4:BSG5"/>
    <mergeCell ref="BSH4:BSH5"/>
    <mergeCell ref="BSI4:BSI5"/>
    <mergeCell ref="BRZ4:BRZ5"/>
    <mergeCell ref="BSA4:BSA5"/>
    <mergeCell ref="BSB4:BSB5"/>
    <mergeCell ref="BSC4:BSC5"/>
    <mergeCell ref="BSD4:BSD5"/>
    <mergeCell ref="BRU4:BRU5"/>
    <mergeCell ref="BRV4:BRV5"/>
    <mergeCell ref="BRW4:BRW5"/>
    <mergeCell ref="BRX4:BRX5"/>
    <mergeCell ref="BRY4:BRY5"/>
    <mergeCell ref="BRP4:BRP5"/>
    <mergeCell ref="BRQ4:BRQ5"/>
    <mergeCell ref="BRR4:BRR5"/>
    <mergeCell ref="BRS4:BRS5"/>
    <mergeCell ref="BRT4:BRT5"/>
    <mergeCell ref="BRK4:BRK5"/>
    <mergeCell ref="BRL4:BRL5"/>
    <mergeCell ref="BRM4:BRM5"/>
    <mergeCell ref="BRN4:BRN5"/>
    <mergeCell ref="BRO4:BRO5"/>
    <mergeCell ref="BTX4:BTX5"/>
    <mergeCell ref="BTY4:BTY5"/>
    <mergeCell ref="BTZ4:BTZ5"/>
    <mergeCell ref="BUA4:BUA5"/>
    <mergeCell ref="BUB4:BUB5"/>
    <mergeCell ref="BTS4:BTS5"/>
    <mergeCell ref="BTT4:BTT5"/>
    <mergeCell ref="BTU4:BTU5"/>
    <mergeCell ref="BTV4:BTV5"/>
    <mergeCell ref="BTW4:BTW5"/>
    <mergeCell ref="BTN4:BTN5"/>
    <mergeCell ref="BTO4:BTO5"/>
    <mergeCell ref="BTP4:BTP5"/>
    <mergeCell ref="BTQ4:BTQ5"/>
    <mergeCell ref="BTR4:BTR5"/>
    <mergeCell ref="BTI4:BTI5"/>
    <mergeCell ref="BTJ4:BTJ5"/>
    <mergeCell ref="BTK4:BTK5"/>
    <mergeCell ref="BTL4:BTL5"/>
    <mergeCell ref="BTM4:BTM5"/>
    <mergeCell ref="BTD4:BTD5"/>
    <mergeCell ref="BTE4:BTE5"/>
    <mergeCell ref="BTF4:BTF5"/>
    <mergeCell ref="BTG4:BTG5"/>
    <mergeCell ref="BTH4:BTH5"/>
    <mergeCell ref="BSY4:BSY5"/>
    <mergeCell ref="BSZ4:BSZ5"/>
    <mergeCell ref="BTA4:BTA5"/>
    <mergeCell ref="BTB4:BTB5"/>
    <mergeCell ref="BTC4:BTC5"/>
    <mergeCell ref="BST4:BST5"/>
    <mergeCell ref="BSU4:BSU5"/>
    <mergeCell ref="BSV4:BSV5"/>
    <mergeCell ref="BSW4:BSW5"/>
    <mergeCell ref="BSX4:BSX5"/>
    <mergeCell ref="BVG4:BVG5"/>
    <mergeCell ref="BVH4:BVH5"/>
    <mergeCell ref="BVI4:BVI5"/>
    <mergeCell ref="BVJ4:BVJ5"/>
    <mergeCell ref="BVK4:BVK5"/>
    <mergeCell ref="BVB4:BVB5"/>
    <mergeCell ref="BVC4:BVC5"/>
    <mergeCell ref="BVD4:BVD5"/>
    <mergeCell ref="BVE4:BVE5"/>
    <mergeCell ref="BVF4:BVF5"/>
    <mergeCell ref="BUW4:BUW5"/>
    <mergeCell ref="BUX4:BUX5"/>
    <mergeCell ref="BUY4:BUY5"/>
    <mergeCell ref="BUZ4:BUZ5"/>
    <mergeCell ref="BVA4:BVA5"/>
    <mergeCell ref="BUR4:BUR5"/>
    <mergeCell ref="BUS4:BUS5"/>
    <mergeCell ref="BUT4:BUT5"/>
    <mergeCell ref="BUU4:BUU5"/>
    <mergeCell ref="BUV4:BUV5"/>
    <mergeCell ref="BUM4:BUM5"/>
    <mergeCell ref="BUN4:BUN5"/>
    <mergeCell ref="BUO4:BUO5"/>
    <mergeCell ref="BUP4:BUP5"/>
    <mergeCell ref="BUQ4:BUQ5"/>
    <mergeCell ref="BUH4:BUH5"/>
    <mergeCell ref="BUI4:BUI5"/>
    <mergeCell ref="BUJ4:BUJ5"/>
    <mergeCell ref="BUK4:BUK5"/>
    <mergeCell ref="BUL4:BUL5"/>
    <mergeCell ref="BUC4:BUC5"/>
    <mergeCell ref="BUD4:BUD5"/>
    <mergeCell ref="BUE4:BUE5"/>
    <mergeCell ref="BUF4:BUF5"/>
    <mergeCell ref="BUG4:BUG5"/>
    <mergeCell ref="BWP4:BWP5"/>
    <mergeCell ref="BWQ4:BWQ5"/>
    <mergeCell ref="BWR4:BWR5"/>
    <mergeCell ref="BWS4:BWS5"/>
    <mergeCell ref="BWT4:BWT5"/>
    <mergeCell ref="BWK4:BWK5"/>
    <mergeCell ref="BWL4:BWL5"/>
    <mergeCell ref="BWM4:BWM5"/>
    <mergeCell ref="BWN4:BWN5"/>
    <mergeCell ref="BWO4:BWO5"/>
    <mergeCell ref="BWF4:BWF5"/>
    <mergeCell ref="BWG4:BWG5"/>
    <mergeCell ref="BWH4:BWH5"/>
    <mergeCell ref="BWI4:BWI5"/>
    <mergeCell ref="BWJ4:BWJ5"/>
    <mergeCell ref="BWA4:BWA5"/>
    <mergeCell ref="BWB4:BWB5"/>
    <mergeCell ref="BWC4:BWC5"/>
    <mergeCell ref="BWD4:BWD5"/>
    <mergeCell ref="BWE4:BWE5"/>
    <mergeCell ref="BVV4:BVV5"/>
    <mergeCell ref="BVW4:BVW5"/>
    <mergeCell ref="BVX4:BVX5"/>
    <mergeCell ref="BVY4:BVY5"/>
    <mergeCell ref="BVZ4:BVZ5"/>
    <mergeCell ref="BVQ4:BVQ5"/>
    <mergeCell ref="BVR4:BVR5"/>
    <mergeCell ref="BVS4:BVS5"/>
    <mergeCell ref="BVT4:BVT5"/>
    <mergeCell ref="BVU4:BVU5"/>
    <mergeCell ref="BVL4:BVL5"/>
    <mergeCell ref="BVM4:BVM5"/>
    <mergeCell ref="BVN4:BVN5"/>
    <mergeCell ref="BVO4:BVO5"/>
    <mergeCell ref="BVP4:BVP5"/>
    <mergeCell ref="BXY4:BXY5"/>
    <mergeCell ref="BXZ4:BXZ5"/>
    <mergeCell ref="BYA4:BYA5"/>
    <mergeCell ref="BYB4:BYB5"/>
    <mergeCell ref="BYC4:BYC5"/>
    <mergeCell ref="BXT4:BXT5"/>
    <mergeCell ref="BXU4:BXU5"/>
    <mergeCell ref="BXV4:BXV5"/>
    <mergeCell ref="BXW4:BXW5"/>
    <mergeCell ref="BXX4:BXX5"/>
    <mergeCell ref="BXO4:BXO5"/>
    <mergeCell ref="BXP4:BXP5"/>
    <mergeCell ref="BXQ4:BXQ5"/>
    <mergeCell ref="BXR4:BXR5"/>
    <mergeCell ref="BXS4:BXS5"/>
    <mergeCell ref="BXJ4:BXJ5"/>
    <mergeCell ref="BXK4:BXK5"/>
    <mergeCell ref="BXL4:BXL5"/>
    <mergeCell ref="BXM4:BXM5"/>
    <mergeCell ref="BXN4:BXN5"/>
    <mergeCell ref="BXE4:BXE5"/>
    <mergeCell ref="BXF4:BXF5"/>
    <mergeCell ref="BXG4:BXG5"/>
    <mergeCell ref="BXH4:BXH5"/>
    <mergeCell ref="BXI4:BXI5"/>
    <mergeCell ref="BWZ4:BWZ5"/>
    <mergeCell ref="BXA4:BXA5"/>
    <mergeCell ref="BXB4:BXB5"/>
    <mergeCell ref="BXC4:BXC5"/>
    <mergeCell ref="BXD4:BXD5"/>
    <mergeCell ref="BWU4:BWU5"/>
    <mergeCell ref="BWV4:BWV5"/>
    <mergeCell ref="BWW4:BWW5"/>
    <mergeCell ref="BWX4:BWX5"/>
    <mergeCell ref="BWY4:BWY5"/>
    <mergeCell ref="BZH4:BZH5"/>
    <mergeCell ref="BZI4:BZI5"/>
    <mergeCell ref="BZJ4:BZJ5"/>
    <mergeCell ref="BZK4:BZK5"/>
    <mergeCell ref="BZL4:BZL5"/>
    <mergeCell ref="BZC4:BZC5"/>
    <mergeCell ref="BZD4:BZD5"/>
    <mergeCell ref="BZE4:BZE5"/>
    <mergeCell ref="BZF4:BZF5"/>
    <mergeCell ref="BZG4:BZG5"/>
    <mergeCell ref="BYX4:BYX5"/>
    <mergeCell ref="BYY4:BYY5"/>
    <mergeCell ref="BYZ4:BYZ5"/>
    <mergeCell ref="BZA4:BZA5"/>
    <mergeCell ref="BZB4:BZB5"/>
    <mergeCell ref="BYS4:BYS5"/>
    <mergeCell ref="BYT4:BYT5"/>
    <mergeCell ref="BYU4:BYU5"/>
    <mergeCell ref="BYV4:BYV5"/>
    <mergeCell ref="BYW4:BYW5"/>
    <mergeCell ref="BYN4:BYN5"/>
    <mergeCell ref="BYO4:BYO5"/>
    <mergeCell ref="BYP4:BYP5"/>
    <mergeCell ref="BYQ4:BYQ5"/>
    <mergeCell ref="BYR4:BYR5"/>
    <mergeCell ref="BYI4:BYI5"/>
    <mergeCell ref="BYJ4:BYJ5"/>
    <mergeCell ref="BYK4:BYK5"/>
    <mergeCell ref="BYL4:BYL5"/>
    <mergeCell ref="BYM4:BYM5"/>
    <mergeCell ref="BYD4:BYD5"/>
    <mergeCell ref="BYE4:BYE5"/>
    <mergeCell ref="BYF4:BYF5"/>
    <mergeCell ref="BYG4:BYG5"/>
    <mergeCell ref="BYH4:BYH5"/>
    <mergeCell ref="CAQ4:CAQ5"/>
    <mergeCell ref="CAR4:CAR5"/>
    <mergeCell ref="CAS4:CAS5"/>
    <mergeCell ref="CAT4:CAT5"/>
    <mergeCell ref="CAU4:CAU5"/>
    <mergeCell ref="CAL4:CAL5"/>
    <mergeCell ref="CAM4:CAM5"/>
    <mergeCell ref="CAN4:CAN5"/>
    <mergeCell ref="CAO4:CAO5"/>
    <mergeCell ref="CAP4:CAP5"/>
    <mergeCell ref="CAG4:CAG5"/>
    <mergeCell ref="CAH4:CAH5"/>
    <mergeCell ref="CAI4:CAI5"/>
    <mergeCell ref="CAJ4:CAJ5"/>
    <mergeCell ref="CAK4:CAK5"/>
    <mergeCell ref="CAB4:CAB5"/>
    <mergeCell ref="CAC4:CAC5"/>
    <mergeCell ref="CAD4:CAD5"/>
    <mergeCell ref="CAE4:CAE5"/>
    <mergeCell ref="CAF4:CAF5"/>
    <mergeCell ref="BZW4:BZW5"/>
    <mergeCell ref="BZX4:BZX5"/>
    <mergeCell ref="BZY4:BZY5"/>
    <mergeCell ref="BZZ4:BZZ5"/>
    <mergeCell ref="CAA4:CAA5"/>
    <mergeCell ref="BZR4:BZR5"/>
    <mergeCell ref="BZS4:BZS5"/>
    <mergeCell ref="BZT4:BZT5"/>
    <mergeCell ref="BZU4:BZU5"/>
    <mergeCell ref="BZV4:BZV5"/>
    <mergeCell ref="BZM4:BZM5"/>
    <mergeCell ref="BZN4:BZN5"/>
    <mergeCell ref="BZO4:BZO5"/>
    <mergeCell ref="BZP4:BZP5"/>
    <mergeCell ref="BZQ4:BZQ5"/>
    <mergeCell ref="CBZ4:CBZ5"/>
    <mergeCell ref="CCA4:CCA5"/>
    <mergeCell ref="CCB4:CCB5"/>
    <mergeCell ref="CCC4:CCC5"/>
    <mergeCell ref="CCD4:CCD5"/>
    <mergeCell ref="CBU4:CBU5"/>
    <mergeCell ref="CBV4:CBV5"/>
    <mergeCell ref="CBW4:CBW5"/>
    <mergeCell ref="CBX4:CBX5"/>
    <mergeCell ref="CBY4:CBY5"/>
    <mergeCell ref="CBP4:CBP5"/>
    <mergeCell ref="CBQ4:CBQ5"/>
    <mergeCell ref="CBR4:CBR5"/>
    <mergeCell ref="CBS4:CBS5"/>
    <mergeCell ref="CBT4:CBT5"/>
    <mergeCell ref="CBK4:CBK5"/>
    <mergeCell ref="CBL4:CBL5"/>
    <mergeCell ref="CBM4:CBM5"/>
    <mergeCell ref="CBN4:CBN5"/>
    <mergeCell ref="CBO4:CBO5"/>
    <mergeCell ref="CBF4:CBF5"/>
    <mergeCell ref="CBG4:CBG5"/>
    <mergeCell ref="CBH4:CBH5"/>
    <mergeCell ref="CBI4:CBI5"/>
    <mergeCell ref="CBJ4:CBJ5"/>
    <mergeCell ref="CBA4:CBA5"/>
    <mergeCell ref="CBB4:CBB5"/>
    <mergeCell ref="CBC4:CBC5"/>
    <mergeCell ref="CBD4:CBD5"/>
    <mergeCell ref="CBE4:CBE5"/>
    <mergeCell ref="CAV4:CAV5"/>
    <mergeCell ref="CAW4:CAW5"/>
    <mergeCell ref="CAX4:CAX5"/>
    <mergeCell ref="CAY4:CAY5"/>
    <mergeCell ref="CAZ4:CAZ5"/>
    <mergeCell ref="CDI4:CDI5"/>
    <mergeCell ref="CDJ4:CDJ5"/>
    <mergeCell ref="CDK4:CDK5"/>
    <mergeCell ref="CDL4:CDL5"/>
    <mergeCell ref="CDM4:CDM5"/>
    <mergeCell ref="CDD4:CDD5"/>
    <mergeCell ref="CDE4:CDE5"/>
    <mergeCell ref="CDF4:CDF5"/>
    <mergeCell ref="CDG4:CDG5"/>
    <mergeCell ref="CDH4:CDH5"/>
    <mergeCell ref="CCY4:CCY5"/>
    <mergeCell ref="CCZ4:CCZ5"/>
    <mergeCell ref="CDA4:CDA5"/>
    <mergeCell ref="CDB4:CDB5"/>
    <mergeCell ref="CDC4:CDC5"/>
    <mergeCell ref="CCT4:CCT5"/>
    <mergeCell ref="CCU4:CCU5"/>
    <mergeCell ref="CCV4:CCV5"/>
    <mergeCell ref="CCW4:CCW5"/>
    <mergeCell ref="CCX4:CCX5"/>
    <mergeCell ref="CCO4:CCO5"/>
    <mergeCell ref="CCP4:CCP5"/>
    <mergeCell ref="CCQ4:CCQ5"/>
    <mergeCell ref="CCR4:CCR5"/>
    <mergeCell ref="CCS4:CCS5"/>
    <mergeCell ref="CCJ4:CCJ5"/>
    <mergeCell ref="CCK4:CCK5"/>
    <mergeCell ref="CCL4:CCL5"/>
    <mergeCell ref="CCM4:CCM5"/>
    <mergeCell ref="CCN4:CCN5"/>
    <mergeCell ref="CCE4:CCE5"/>
    <mergeCell ref="CCF4:CCF5"/>
    <mergeCell ref="CCG4:CCG5"/>
    <mergeCell ref="CCH4:CCH5"/>
    <mergeCell ref="CCI4:CCI5"/>
    <mergeCell ref="CER4:CER5"/>
    <mergeCell ref="CES4:CES5"/>
    <mergeCell ref="CET4:CET5"/>
    <mergeCell ref="CEU4:CEU5"/>
    <mergeCell ref="CEV4:CEV5"/>
    <mergeCell ref="CEM4:CEM5"/>
    <mergeCell ref="CEN4:CEN5"/>
    <mergeCell ref="CEO4:CEO5"/>
    <mergeCell ref="CEP4:CEP5"/>
    <mergeCell ref="CEQ4:CEQ5"/>
    <mergeCell ref="CEH4:CEH5"/>
    <mergeCell ref="CEI4:CEI5"/>
    <mergeCell ref="CEJ4:CEJ5"/>
    <mergeCell ref="CEK4:CEK5"/>
    <mergeCell ref="CEL4:CEL5"/>
    <mergeCell ref="CEC4:CEC5"/>
    <mergeCell ref="CED4:CED5"/>
    <mergeCell ref="CEE4:CEE5"/>
    <mergeCell ref="CEF4:CEF5"/>
    <mergeCell ref="CEG4:CEG5"/>
    <mergeCell ref="CDX4:CDX5"/>
    <mergeCell ref="CDY4:CDY5"/>
    <mergeCell ref="CDZ4:CDZ5"/>
    <mergeCell ref="CEA4:CEA5"/>
    <mergeCell ref="CEB4:CEB5"/>
    <mergeCell ref="CDS4:CDS5"/>
    <mergeCell ref="CDT4:CDT5"/>
    <mergeCell ref="CDU4:CDU5"/>
    <mergeCell ref="CDV4:CDV5"/>
    <mergeCell ref="CDW4:CDW5"/>
    <mergeCell ref="CDN4:CDN5"/>
    <mergeCell ref="CDO4:CDO5"/>
    <mergeCell ref="CDP4:CDP5"/>
    <mergeCell ref="CDQ4:CDQ5"/>
    <mergeCell ref="CDR4:CDR5"/>
    <mergeCell ref="CGA4:CGA5"/>
    <mergeCell ref="CGB4:CGB5"/>
    <mergeCell ref="CGC4:CGC5"/>
    <mergeCell ref="CGD4:CGD5"/>
    <mergeCell ref="CGE4:CGE5"/>
    <mergeCell ref="CFV4:CFV5"/>
    <mergeCell ref="CFW4:CFW5"/>
    <mergeCell ref="CFX4:CFX5"/>
    <mergeCell ref="CFY4:CFY5"/>
    <mergeCell ref="CFZ4:CFZ5"/>
    <mergeCell ref="CFQ4:CFQ5"/>
    <mergeCell ref="CFR4:CFR5"/>
    <mergeCell ref="CFS4:CFS5"/>
    <mergeCell ref="CFT4:CFT5"/>
    <mergeCell ref="CFU4:CFU5"/>
    <mergeCell ref="CFL4:CFL5"/>
    <mergeCell ref="CFM4:CFM5"/>
    <mergeCell ref="CFN4:CFN5"/>
    <mergeCell ref="CFO4:CFO5"/>
    <mergeCell ref="CFP4:CFP5"/>
    <mergeCell ref="CFG4:CFG5"/>
    <mergeCell ref="CFH4:CFH5"/>
    <mergeCell ref="CFI4:CFI5"/>
    <mergeCell ref="CFJ4:CFJ5"/>
    <mergeCell ref="CFK4:CFK5"/>
    <mergeCell ref="CFB4:CFB5"/>
    <mergeCell ref="CFC4:CFC5"/>
    <mergeCell ref="CFD4:CFD5"/>
    <mergeCell ref="CFE4:CFE5"/>
    <mergeCell ref="CFF4:CFF5"/>
    <mergeCell ref="CEW4:CEW5"/>
    <mergeCell ref="CEX4:CEX5"/>
    <mergeCell ref="CEY4:CEY5"/>
    <mergeCell ref="CEZ4:CEZ5"/>
    <mergeCell ref="CFA4:CFA5"/>
    <mergeCell ref="CHJ4:CHJ5"/>
    <mergeCell ref="CHK4:CHK5"/>
    <mergeCell ref="CHL4:CHL5"/>
    <mergeCell ref="CHM4:CHM5"/>
    <mergeCell ref="CHN4:CHN5"/>
    <mergeCell ref="CHE4:CHE5"/>
    <mergeCell ref="CHF4:CHF5"/>
    <mergeCell ref="CHG4:CHG5"/>
    <mergeCell ref="CHH4:CHH5"/>
    <mergeCell ref="CHI4:CHI5"/>
    <mergeCell ref="CGZ4:CGZ5"/>
    <mergeCell ref="CHA4:CHA5"/>
    <mergeCell ref="CHB4:CHB5"/>
    <mergeCell ref="CHC4:CHC5"/>
    <mergeCell ref="CHD4:CHD5"/>
    <mergeCell ref="CGU4:CGU5"/>
    <mergeCell ref="CGV4:CGV5"/>
    <mergeCell ref="CGW4:CGW5"/>
    <mergeCell ref="CGX4:CGX5"/>
    <mergeCell ref="CGY4:CGY5"/>
    <mergeCell ref="CGP4:CGP5"/>
    <mergeCell ref="CGQ4:CGQ5"/>
    <mergeCell ref="CGR4:CGR5"/>
    <mergeCell ref="CGS4:CGS5"/>
    <mergeCell ref="CGT4:CGT5"/>
    <mergeCell ref="CGK4:CGK5"/>
    <mergeCell ref="CGL4:CGL5"/>
    <mergeCell ref="CGM4:CGM5"/>
    <mergeCell ref="CGN4:CGN5"/>
    <mergeCell ref="CGO4:CGO5"/>
    <mergeCell ref="CGF4:CGF5"/>
    <mergeCell ref="CGG4:CGG5"/>
    <mergeCell ref="CGH4:CGH5"/>
    <mergeCell ref="CGI4:CGI5"/>
    <mergeCell ref="CGJ4:CGJ5"/>
    <mergeCell ref="CIS4:CIS5"/>
    <mergeCell ref="CIT4:CIT5"/>
    <mergeCell ref="CIU4:CIU5"/>
    <mergeCell ref="CIV4:CIV5"/>
    <mergeCell ref="CIW4:CIW5"/>
    <mergeCell ref="CIN4:CIN5"/>
    <mergeCell ref="CIO4:CIO5"/>
    <mergeCell ref="CIP4:CIP5"/>
    <mergeCell ref="CIQ4:CIQ5"/>
    <mergeCell ref="CIR4:CIR5"/>
    <mergeCell ref="CII4:CII5"/>
    <mergeCell ref="CIJ4:CIJ5"/>
    <mergeCell ref="CIK4:CIK5"/>
    <mergeCell ref="CIL4:CIL5"/>
    <mergeCell ref="CIM4:CIM5"/>
    <mergeCell ref="CID4:CID5"/>
    <mergeCell ref="CIE4:CIE5"/>
    <mergeCell ref="CIF4:CIF5"/>
    <mergeCell ref="CIG4:CIG5"/>
    <mergeCell ref="CIH4:CIH5"/>
    <mergeCell ref="CHY4:CHY5"/>
    <mergeCell ref="CHZ4:CHZ5"/>
    <mergeCell ref="CIA4:CIA5"/>
    <mergeCell ref="CIB4:CIB5"/>
    <mergeCell ref="CIC4:CIC5"/>
    <mergeCell ref="CHT4:CHT5"/>
    <mergeCell ref="CHU4:CHU5"/>
    <mergeCell ref="CHV4:CHV5"/>
    <mergeCell ref="CHW4:CHW5"/>
    <mergeCell ref="CHX4:CHX5"/>
    <mergeCell ref="CHO4:CHO5"/>
    <mergeCell ref="CHP4:CHP5"/>
    <mergeCell ref="CHQ4:CHQ5"/>
    <mergeCell ref="CHR4:CHR5"/>
    <mergeCell ref="CHS4:CHS5"/>
    <mergeCell ref="CKB4:CKB5"/>
    <mergeCell ref="CKC4:CKC5"/>
    <mergeCell ref="CKD4:CKD5"/>
    <mergeCell ref="CKE4:CKE5"/>
    <mergeCell ref="CKF4:CKF5"/>
    <mergeCell ref="CJW4:CJW5"/>
    <mergeCell ref="CJX4:CJX5"/>
    <mergeCell ref="CJY4:CJY5"/>
    <mergeCell ref="CJZ4:CJZ5"/>
    <mergeCell ref="CKA4:CKA5"/>
    <mergeCell ref="CJR4:CJR5"/>
    <mergeCell ref="CJS4:CJS5"/>
    <mergeCell ref="CJT4:CJT5"/>
    <mergeCell ref="CJU4:CJU5"/>
    <mergeCell ref="CJV4:CJV5"/>
    <mergeCell ref="CJM4:CJM5"/>
    <mergeCell ref="CJN4:CJN5"/>
    <mergeCell ref="CJO4:CJO5"/>
    <mergeCell ref="CJP4:CJP5"/>
    <mergeCell ref="CJQ4:CJQ5"/>
    <mergeCell ref="CJH4:CJH5"/>
    <mergeCell ref="CJI4:CJI5"/>
    <mergeCell ref="CJJ4:CJJ5"/>
    <mergeCell ref="CJK4:CJK5"/>
    <mergeCell ref="CJL4:CJL5"/>
    <mergeCell ref="CJC4:CJC5"/>
    <mergeCell ref="CJD4:CJD5"/>
    <mergeCell ref="CJE4:CJE5"/>
    <mergeCell ref="CJF4:CJF5"/>
    <mergeCell ref="CJG4:CJG5"/>
    <mergeCell ref="CIX4:CIX5"/>
    <mergeCell ref="CIY4:CIY5"/>
    <mergeCell ref="CIZ4:CIZ5"/>
    <mergeCell ref="CJA4:CJA5"/>
    <mergeCell ref="CJB4:CJB5"/>
    <mergeCell ref="CLK4:CLK5"/>
    <mergeCell ref="CLL4:CLL5"/>
    <mergeCell ref="CLM4:CLM5"/>
    <mergeCell ref="CLN4:CLN5"/>
    <mergeCell ref="CLO4:CLO5"/>
    <mergeCell ref="CLF4:CLF5"/>
    <mergeCell ref="CLG4:CLG5"/>
    <mergeCell ref="CLH4:CLH5"/>
    <mergeCell ref="CLI4:CLI5"/>
    <mergeCell ref="CLJ4:CLJ5"/>
    <mergeCell ref="CLA4:CLA5"/>
    <mergeCell ref="CLB4:CLB5"/>
    <mergeCell ref="CLC4:CLC5"/>
    <mergeCell ref="CLD4:CLD5"/>
    <mergeCell ref="CLE4:CLE5"/>
    <mergeCell ref="CKV4:CKV5"/>
    <mergeCell ref="CKW4:CKW5"/>
    <mergeCell ref="CKX4:CKX5"/>
    <mergeCell ref="CKY4:CKY5"/>
    <mergeCell ref="CKZ4:CKZ5"/>
    <mergeCell ref="CKQ4:CKQ5"/>
    <mergeCell ref="CKR4:CKR5"/>
    <mergeCell ref="CKS4:CKS5"/>
    <mergeCell ref="CKT4:CKT5"/>
    <mergeCell ref="CKU4:CKU5"/>
    <mergeCell ref="CKL4:CKL5"/>
    <mergeCell ref="CKM4:CKM5"/>
    <mergeCell ref="CKN4:CKN5"/>
    <mergeCell ref="CKO4:CKO5"/>
    <mergeCell ref="CKP4:CKP5"/>
    <mergeCell ref="CKG4:CKG5"/>
    <mergeCell ref="CKH4:CKH5"/>
    <mergeCell ref="CKI4:CKI5"/>
    <mergeCell ref="CKJ4:CKJ5"/>
    <mergeCell ref="CKK4:CKK5"/>
    <mergeCell ref="CMT4:CMT5"/>
    <mergeCell ref="CMU4:CMU5"/>
    <mergeCell ref="CMV4:CMV5"/>
    <mergeCell ref="CMW4:CMW5"/>
    <mergeCell ref="CMX4:CMX5"/>
    <mergeCell ref="CMO4:CMO5"/>
    <mergeCell ref="CMP4:CMP5"/>
    <mergeCell ref="CMQ4:CMQ5"/>
    <mergeCell ref="CMR4:CMR5"/>
    <mergeCell ref="CMS4:CMS5"/>
    <mergeCell ref="CMJ4:CMJ5"/>
    <mergeCell ref="CMK4:CMK5"/>
    <mergeCell ref="CML4:CML5"/>
    <mergeCell ref="CMM4:CMM5"/>
    <mergeCell ref="CMN4:CMN5"/>
    <mergeCell ref="CME4:CME5"/>
    <mergeCell ref="CMF4:CMF5"/>
    <mergeCell ref="CMG4:CMG5"/>
    <mergeCell ref="CMH4:CMH5"/>
    <mergeCell ref="CMI4:CMI5"/>
    <mergeCell ref="CLZ4:CLZ5"/>
    <mergeCell ref="CMA4:CMA5"/>
    <mergeCell ref="CMB4:CMB5"/>
    <mergeCell ref="CMC4:CMC5"/>
    <mergeCell ref="CMD4:CMD5"/>
    <mergeCell ref="CLU4:CLU5"/>
    <mergeCell ref="CLV4:CLV5"/>
    <mergeCell ref="CLW4:CLW5"/>
    <mergeCell ref="CLX4:CLX5"/>
    <mergeCell ref="CLY4:CLY5"/>
    <mergeCell ref="CLP4:CLP5"/>
    <mergeCell ref="CLQ4:CLQ5"/>
    <mergeCell ref="CLR4:CLR5"/>
    <mergeCell ref="CLS4:CLS5"/>
    <mergeCell ref="CLT4:CLT5"/>
    <mergeCell ref="COC4:COC5"/>
    <mergeCell ref="COD4:COD5"/>
    <mergeCell ref="COE4:COE5"/>
    <mergeCell ref="COF4:COF5"/>
    <mergeCell ref="COG4:COG5"/>
    <mergeCell ref="CNX4:CNX5"/>
    <mergeCell ref="CNY4:CNY5"/>
    <mergeCell ref="CNZ4:CNZ5"/>
    <mergeCell ref="COA4:COA5"/>
    <mergeCell ref="COB4:COB5"/>
    <mergeCell ref="CNS4:CNS5"/>
    <mergeCell ref="CNT4:CNT5"/>
    <mergeCell ref="CNU4:CNU5"/>
    <mergeCell ref="CNV4:CNV5"/>
    <mergeCell ref="CNW4:CNW5"/>
    <mergeCell ref="CNN4:CNN5"/>
    <mergeCell ref="CNO4:CNO5"/>
    <mergeCell ref="CNP4:CNP5"/>
    <mergeCell ref="CNQ4:CNQ5"/>
    <mergeCell ref="CNR4:CNR5"/>
    <mergeCell ref="CNI4:CNI5"/>
    <mergeCell ref="CNJ4:CNJ5"/>
    <mergeCell ref="CNK4:CNK5"/>
    <mergeCell ref="CNL4:CNL5"/>
    <mergeCell ref="CNM4:CNM5"/>
    <mergeCell ref="CND4:CND5"/>
    <mergeCell ref="CNE4:CNE5"/>
    <mergeCell ref="CNF4:CNF5"/>
    <mergeCell ref="CNG4:CNG5"/>
    <mergeCell ref="CNH4:CNH5"/>
    <mergeCell ref="CMY4:CMY5"/>
    <mergeCell ref="CMZ4:CMZ5"/>
    <mergeCell ref="CNA4:CNA5"/>
    <mergeCell ref="CNB4:CNB5"/>
    <mergeCell ref="CNC4:CNC5"/>
    <mergeCell ref="CPL4:CPL5"/>
    <mergeCell ref="CPM4:CPM5"/>
    <mergeCell ref="CPN4:CPN5"/>
    <mergeCell ref="CPO4:CPO5"/>
    <mergeCell ref="CPP4:CPP5"/>
    <mergeCell ref="CPG4:CPG5"/>
    <mergeCell ref="CPH4:CPH5"/>
    <mergeCell ref="CPI4:CPI5"/>
    <mergeCell ref="CPJ4:CPJ5"/>
    <mergeCell ref="CPK4:CPK5"/>
    <mergeCell ref="CPB4:CPB5"/>
    <mergeCell ref="CPC4:CPC5"/>
    <mergeCell ref="CPD4:CPD5"/>
    <mergeCell ref="CPE4:CPE5"/>
    <mergeCell ref="CPF4:CPF5"/>
    <mergeCell ref="COW4:COW5"/>
    <mergeCell ref="COX4:COX5"/>
    <mergeCell ref="COY4:COY5"/>
    <mergeCell ref="COZ4:COZ5"/>
    <mergeCell ref="CPA4:CPA5"/>
    <mergeCell ref="COR4:COR5"/>
    <mergeCell ref="COS4:COS5"/>
    <mergeCell ref="COT4:COT5"/>
    <mergeCell ref="COU4:COU5"/>
    <mergeCell ref="COV4:COV5"/>
    <mergeCell ref="COM4:COM5"/>
    <mergeCell ref="CON4:CON5"/>
    <mergeCell ref="COO4:COO5"/>
    <mergeCell ref="COP4:COP5"/>
    <mergeCell ref="COQ4:COQ5"/>
    <mergeCell ref="COH4:COH5"/>
    <mergeCell ref="COI4:COI5"/>
    <mergeCell ref="COJ4:COJ5"/>
    <mergeCell ref="COK4:COK5"/>
    <mergeCell ref="COL4:COL5"/>
    <mergeCell ref="CQU4:CQU5"/>
    <mergeCell ref="CQV4:CQV5"/>
    <mergeCell ref="CQW4:CQW5"/>
    <mergeCell ref="CQX4:CQX5"/>
    <mergeCell ref="CQY4:CQY5"/>
    <mergeCell ref="CQP4:CQP5"/>
    <mergeCell ref="CQQ4:CQQ5"/>
    <mergeCell ref="CQR4:CQR5"/>
    <mergeCell ref="CQS4:CQS5"/>
    <mergeCell ref="CQT4:CQT5"/>
    <mergeCell ref="CQK4:CQK5"/>
    <mergeCell ref="CQL4:CQL5"/>
    <mergeCell ref="CQM4:CQM5"/>
    <mergeCell ref="CQN4:CQN5"/>
    <mergeCell ref="CQO4:CQO5"/>
    <mergeCell ref="CQF4:CQF5"/>
    <mergeCell ref="CQG4:CQG5"/>
    <mergeCell ref="CQH4:CQH5"/>
    <mergeCell ref="CQI4:CQI5"/>
    <mergeCell ref="CQJ4:CQJ5"/>
    <mergeCell ref="CQA4:CQA5"/>
    <mergeCell ref="CQB4:CQB5"/>
    <mergeCell ref="CQC4:CQC5"/>
    <mergeCell ref="CQD4:CQD5"/>
    <mergeCell ref="CQE4:CQE5"/>
    <mergeCell ref="CPV4:CPV5"/>
    <mergeCell ref="CPW4:CPW5"/>
    <mergeCell ref="CPX4:CPX5"/>
    <mergeCell ref="CPY4:CPY5"/>
    <mergeCell ref="CPZ4:CPZ5"/>
    <mergeCell ref="CPQ4:CPQ5"/>
    <mergeCell ref="CPR4:CPR5"/>
    <mergeCell ref="CPS4:CPS5"/>
    <mergeCell ref="CPT4:CPT5"/>
    <mergeCell ref="CPU4:CPU5"/>
    <mergeCell ref="CSD4:CSD5"/>
    <mergeCell ref="CSE4:CSE5"/>
    <mergeCell ref="CSF4:CSF5"/>
    <mergeCell ref="CSG4:CSG5"/>
    <mergeCell ref="CSH4:CSH5"/>
    <mergeCell ref="CRY4:CRY5"/>
    <mergeCell ref="CRZ4:CRZ5"/>
    <mergeCell ref="CSA4:CSA5"/>
    <mergeCell ref="CSB4:CSB5"/>
    <mergeCell ref="CSC4:CSC5"/>
    <mergeCell ref="CRT4:CRT5"/>
    <mergeCell ref="CRU4:CRU5"/>
    <mergeCell ref="CRV4:CRV5"/>
    <mergeCell ref="CRW4:CRW5"/>
    <mergeCell ref="CRX4:CRX5"/>
    <mergeCell ref="CRO4:CRO5"/>
    <mergeCell ref="CRP4:CRP5"/>
    <mergeCell ref="CRQ4:CRQ5"/>
    <mergeCell ref="CRR4:CRR5"/>
    <mergeCell ref="CRS4:CRS5"/>
    <mergeCell ref="CRJ4:CRJ5"/>
    <mergeCell ref="CRK4:CRK5"/>
    <mergeCell ref="CRL4:CRL5"/>
    <mergeCell ref="CRM4:CRM5"/>
    <mergeCell ref="CRN4:CRN5"/>
    <mergeCell ref="CRE4:CRE5"/>
    <mergeCell ref="CRF4:CRF5"/>
    <mergeCell ref="CRG4:CRG5"/>
    <mergeCell ref="CRH4:CRH5"/>
    <mergeCell ref="CRI4:CRI5"/>
    <mergeCell ref="CQZ4:CQZ5"/>
    <mergeCell ref="CRA4:CRA5"/>
    <mergeCell ref="CRB4:CRB5"/>
    <mergeCell ref="CRC4:CRC5"/>
    <mergeCell ref="CRD4:CRD5"/>
    <mergeCell ref="CTM4:CTM5"/>
    <mergeCell ref="CTN4:CTN5"/>
    <mergeCell ref="CTO4:CTO5"/>
    <mergeCell ref="CTP4:CTP5"/>
    <mergeCell ref="CTQ4:CTQ5"/>
    <mergeCell ref="CTH4:CTH5"/>
    <mergeCell ref="CTI4:CTI5"/>
    <mergeCell ref="CTJ4:CTJ5"/>
    <mergeCell ref="CTK4:CTK5"/>
    <mergeCell ref="CTL4:CTL5"/>
    <mergeCell ref="CTC4:CTC5"/>
    <mergeCell ref="CTD4:CTD5"/>
    <mergeCell ref="CTE4:CTE5"/>
    <mergeCell ref="CTF4:CTF5"/>
    <mergeCell ref="CTG4:CTG5"/>
    <mergeCell ref="CSX4:CSX5"/>
    <mergeCell ref="CSY4:CSY5"/>
    <mergeCell ref="CSZ4:CSZ5"/>
    <mergeCell ref="CTA4:CTA5"/>
    <mergeCell ref="CTB4:CTB5"/>
    <mergeCell ref="CSS4:CSS5"/>
    <mergeCell ref="CST4:CST5"/>
    <mergeCell ref="CSU4:CSU5"/>
    <mergeCell ref="CSV4:CSV5"/>
    <mergeCell ref="CSW4:CSW5"/>
    <mergeCell ref="CSN4:CSN5"/>
    <mergeCell ref="CSO4:CSO5"/>
    <mergeCell ref="CSP4:CSP5"/>
    <mergeCell ref="CSQ4:CSQ5"/>
    <mergeCell ref="CSR4:CSR5"/>
    <mergeCell ref="CSI4:CSI5"/>
    <mergeCell ref="CSJ4:CSJ5"/>
    <mergeCell ref="CSK4:CSK5"/>
    <mergeCell ref="CSL4:CSL5"/>
    <mergeCell ref="CSM4:CSM5"/>
    <mergeCell ref="CUV4:CUV5"/>
    <mergeCell ref="CUW4:CUW5"/>
    <mergeCell ref="CUX4:CUX5"/>
    <mergeCell ref="CUY4:CUY5"/>
    <mergeCell ref="CUZ4:CUZ5"/>
    <mergeCell ref="CUQ4:CUQ5"/>
    <mergeCell ref="CUR4:CUR5"/>
    <mergeCell ref="CUS4:CUS5"/>
    <mergeCell ref="CUT4:CUT5"/>
    <mergeCell ref="CUU4:CUU5"/>
    <mergeCell ref="CUL4:CUL5"/>
    <mergeCell ref="CUM4:CUM5"/>
    <mergeCell ref="CUN4:CUN5"/>
    <mergeCell ref="CUO4:CUO5"/>
    <mergeCell ref="CUP4:CUP5"/>
    <mergeCell ref="CUG4:CUG5"/>
    <mergeCell ref="CUH4:CUH5"/>
    <mergeCell ref="CUI4:CUI5"/>
    <mergeCell ref="CUJ4:CUJ5"/>
    <mergeCell ref="CUK4:CUK5"/>
    <mergeCell ref="CUB4:CUB5"/>
    <mergeCell ref="CUC4:CUC5"/>
    <mergeCell ref="CUD4:CUD5"/>
    <mergeCell ref="CUE4:CUE5"/>
    <mergeCell ref="CUF4:CUF5"/>
    <mergeCell ref="CTW4:CTW5"/>
    <mergeCell ref="CTX4:CTX5"/>
    <mergeCell ref="CTY4:CTY5"/>
    <mergeCell ref="CTZ4:CTZ5"/>
    <mergeCell ref="CUA4:CUA5"/>
    <mergeCell ref="CTR4:CTR5"/>
    <mergeCell ref="CTS4:CTS5"/>
    <mergeCell ref="CTT4:CTT5"/>
    <mergeCell ref="CTU4:CTU5"/>
    <mergeCell ref="CTV4:CTV5"/>
    <mergeCell ref="CWE4:CWE5"/>
    <mergeCell ref="CWF4:CWF5"/>
    <mergeCell ref="CWG4:CWG5"/>
    <mergeCell ref="CWH4:CWH5"/>
    <mergeCell ref="CWI4:CWI5"/>
    <mergeCell ref="CVZ4:CVZ5"/>
    <mergeCell ref="CWA4:CWA5"/>
    <mergeCell ref="CWB4:CWB5"/>
    <mergeCell ref="CWC4:CWC5"/>
    <mergeCell ref="CWD4:CWD5"/>
    <mergeCell ref="CVU4:CVU5"/>
    <mergeCell ref="CVV4:CVV5"/>
    <mergeCell ref="CVW4:CVW5"/>
    <mergeCell ref="CVX4:CVX5"/>
    <mergeCell ref="CVY4:CVY5"/>
    <mergeCell ref="CVP4:CVP5"/>
    <mergeCell ref="CVQ4:CVQ5"/>
    <mergeCell ref="CVR4:CVR5"/>
    <mergeCell ref="CVS4:CVS5"/>
    <mergeCell ref="CVT4:CVT5"/>
    <mergeCell ref="CVK4:CVK5"/>
    <mergeCell ref="CVL4:CVL5"/>
    <mergeCell ref="CVM4:CVM5"/>
    <mergeCell ref="CVN4:CVN5"/>
    <mergeCell ref="CVO4:CVO5"/>
    <mergeCell ref="CVF4:CVF5"/>
    <mergeCell ref="CVG4:CVG5"/>
    <mergeCell ref="CVH4:CVH5"/>
    <mergeCell ref="CVI4:CVI5"/>
    <mergeCell ref="CVJ4:CVJ5"/>
    <mergeCell ref="CVA4:CVA5"/>
    <mergeCell ref="CVB4:CVB5"/>
    <mergeCell ref="CVC4:CVC5"/>
    <mergeCell ref="CVD4:CVD5"/>
    <mergeCell ref="CVE4:CVE5"/>
    <mergeCell ref="CXN4:CXN5"/>
    <mergeCell ref="CXO4:CXO5"/>
    <mergeCell ref="CXP4:CXP5"/>
    <mergeCell ref="CXQ4:CXQ5"/>
    <mergeCell ref="CXR4:CXR5"/>
    <mergeCell ref="CXI4:CXI5"/>
    <mergeCell ref="CXJ4:CXJ5"/>
    <mergeCell ref="CXK4:CXK5"/>
    <mergeCell ref="CXL4:CXL5"/>
    <mergeCell ref="CXM4:CXM5"/>
    <mergeCell ref="CXD4:CXD5"/>
    <mergeCell ref="CXE4:CXE5"/>
    <mergeCell ref="CXF4:CXF5"/>
    <mergeCell ref="CXG4:CXG5"/>
    <mergeCell ref="CXH4:CXH5"/>
    <mergeCell ref="CWY4:CWY5"/>
    <mergeCell ref="CWZ4:CWZ5"/>
    <mergeCell ref="CXA4:CXA5"/>
    <mergeCell ref="CXB4:CXB5"/>
    <mergeCell ref="CXC4:CXC5"/>
    <mergeCell ref="CWT4:CWT5"/>
    <mergeCell ref="CWU4:CWU5"/>
    <mergeCell ref="CWV4:CWV5"/>
    <mergeCell ref="CWW4:CWW5"/>
    <mergeCell ref="CWX4:CWX5"/>
    <mergeCell ref="CWO4:CWO5"/>
    <mergeCell ref="CWP4:CWP5"/>
    <mergeCell ref="CWQ4:CWQ5"/>
    <mergeCell ref="CWR4:CWR5"/>
    <mergeCell ref="CWS4:CWS5"/>
    <mergeCell ref="CWJ4:CWJ5"/>
    <mergeCell ref="CWK4:CWK5"/>
    <mergeCell ref="CWL4:CWL5"/>
    <mergeCell ref="CWM4:CWM5"/>
    <mergeCell ref="CWN4:CWN5"/>
    <mergeCell ref="CYW4:CYW5"/>
    <mergeCell ref="CYX4:CYX5"/>
    <mergeCell ref="CYY4:CYY5"/>
    <mergeCell ref="CYZ4:CYZ5"/>
    <mergeCell ref="CZA4:CZA5"/>
    <mergeCell ref="CYR4:CYR5"/>
    <mergeCell ref="CYS4:CYS5"/>
    <mergeCell ref="CYT4:CYT5"/>
    <mergeCell ref="CYU4:CYU5"/>
    <mergeCell ref="CYV4:CYV5"/>
    <mergeCell ref="CYM4:CYM5"/>
    <mergeCell ref="CYN4:CYN5"/>
    <mergeCell ref="CYO4:CYO5"/>
    <mergeCell ref="CYP4:CYP5"/>
    <mergeCell ref="CYQ4:CYQ5"/>
    <mergeCell ref="CYH4:CYH5"/>
    <mergeCell ref="CYI4:CYI5"/>
    <mergeCell ref="CYJ4:CYJ5"/>
    <mergeCell ref="CYK4:CYK5"/>
    <mergeCell ref="CYL4:CYL5"/>
    <mergeCell ref="CYC4:CYC5"/>
    <mergeCell ref="CYD4:CYD5"/>
    <mergeCell ref="CYE4:CYE5"/>
    <mergeCell ref="CYF4:CYF5"/>
    <mergeCell ref="CYG4:CYG5"/>
    <mergeCell ref="CXX4:CXX5"/>
    <mergeCell ref="CXY4:CXY5"/>
    <mergeCell ref="CXZ4:CXZ5"/>
    <mergeCell ref="CYA4:CYA5"/>
    <mergeCell ref="CYB4:CYB5"/>
    <mergeCell ref="CXS4:CXS5"/>
    <mergeCell ref="CXT4:CXT5"/>
    <mergeCell ref="CXU4:CXU5"/>
    <mergeCell ref="CXV4:CXV5"/>
    <mergeCell ref="CXW4:CXW5"/>
    <mergeCell ref="DAF4:DAF5"/>
    <mergeCell ref="DAG4:DAG5"/>
    <mergeCell ref="DAH4:DAH5"/>
    <mergeCell ref="DAI4:DAI5"/>
    <mergeCell ref="DAJ4:DAJ5"/>
    <mergeCell ref="DAA4:DAA5"/>
    <mergeCell ref="DAB4:DAB5"/>
    <mergeCell ref="DAC4:DAC5"/>
    <mergeCell ref="DAD4:DAD5"/>
    <mergeCell ref="DAE4:DAE5"/>
    <mergeCell ref="CZV4:CZV5"/>
    <mergeCell ref="CZW4:CZW5"/>
    <mergeCell ref="CZX4:CZX5"/>
    <mergeCell ref="CZY4:CZY5"/>
    <mergeCell ref="CZZ4:CZZ5"/>
    <mergeCell ref="CZQ4:CZQ5"/>
    <mergeCell ref="CZR4:CZR5"/>
    <mergeCell ref="CZS4:CZS5"/>
    <mergeCell ref="CZT4:CZT5"/>
    <mergeCell ref="CZU4:CZU5"/>
    <mergeCell ref="CZL4:CZL5"/>
    <mergeCell ref="CZM4:CZM5"/>
    <mergeCell ref="CZN4:CZN5"/>
    <mergeCell ref="CZO4:CZO5"/>
    <mergeCell ref="CZP4:CZP5"/>
    <mergeCell ref="CZG4:CZG5"/>
    <mergeCell ref="CZH4:CZH5"/>
    <mergeCell ref="CZI4:CZI5"/>
    <mergeCell ref="CZJ4:CZJ5"/>
    <mergeCell ref="CZK4:CZK5"/>
    <mergeCell ref="CZB4:CZB5"/>
    <mergeCell ref="CZC4:CZC5"/>
    <mergeCell ref="CZD4:CZD5"/>
    <mergeCell ref="CZE4:CZE5"/>
    <mergeCell ref="CZF4:CZF5"/>
    <mergeCell ref="DBO4:DBO5"/>
    <mergeCell ref="DBP4:DBP5"/>
    <mergeCell ref="DBQ4:DBQ5"/>
    <mergeCell ref="DBR4:DBR5"/>
    <mergeCell ref="DBS4:DBS5"/>
    <mergeCell ref="DBJ4:DBJ5"/>
    <mergeCell ref="DBK4:DBK5"/>
    <mergeCell ref="DBL4:DBL5"/>
    <mergeCell ref="DBM4:DBM5"/>
    <mergeCell ref="DBN4:DBN5"/>
    <mergeCell ref="DBE4:DBE5"/>
    <mergeCell ref="DBF4:DBF5"/>
    <mergeCell ref="DBG4:DBG5"/>
    <mergeCell ref="DBH4:DBH5"/>
    <mergeCell ref="DBI4:DBI5"/>
    <mergeCell ref="DAZ4:DAZ5"/>
    <mergeCell ref="DBA4:DBA5"/>
    <mergeCell ref="DBB4:DBB5"/>
    <mergeCell ref="DBC4:DBC5"/>
    <mergeCell ref="DBD4:DBD5"/>
    <mergeCell ref="DAU4:DAU5"/>
    <mergeCell ref="DAV4:DAV5"/>
    <mergeCell ref="DAW4:DAW5"/>
    <mergeCell ref="DAX4:DAX5"/>
    <mergeCell ref="DAY4:DAY5"/>
    <mergeCell ref="DAP4:DAP5"/>
    <mergeCell ref="DAQ4:DAQ5"/>
    <mergeCell ref="DAR4:DAR5"/>
    <mergeCell ref="DAS4:DAS5"/>
    <mergeCell ref="DAT4:DAT5"/>
    <mergeCell ref="DAK4:DAK5"/>
    <mergeCell ref="DAL4:DAL5"/>
    <mergeCell ref="DAM4:DAM5"/>
    <mergeCell ref="DAN4:DAN5"/>
    <mergeCell ref="DAO4:DAO5"/>
    <mergeCell ref="DCX4:DCX5"/>
    <mergeCell ref="DCY4:DCY5"/>
    <mergeCell ref="DCZ4:DCZ5"/>
    <mergeCell ref="DDA4:DDA5"/>
    <mergeCell ref="DDB4:DDB5"/>
    <mergeCell ref="DCS4:DCS5"/>
    <mergeCell ref="DCT4:DCT5"/>
    <mergeCell ref="DCU4:DCU5"/>
    <mergeCell ref="DCV4:DCV5"/>
    <mergeCell ref="DCW4:DCW5"/>
    <mergeCell ref="DCN4:DCN5"/>
    <mergeCell ref="DCO4:DCO5"/>
    <mergeCell ref="DCP4:DCP5"/>
    <mergeCell ref="DCQ4:DCQ5"/>
    <mergeCell ref="DCR4:DCR5"/>
    <mergeCell ref="DCI4:DCI5"/>
    <mergeCell ref="DCJ4:DCJ5"/>
    <mergeCell ref="DCK4:DCK5"/>
    <mergeCell ref="DCL4:DCL5"/>
    <mergeCell ref="DCM4:DCM5"/>
    <mergeCell ref="DCD4:DCD5"/>
    <mergeCell ref="DCE4:DCE5"/>
    <mergeCell ref="DCF4:DCF5"/>
    <mergeCell ref="DCG4:DCG5"/>
    <mergeCell ref="DCH4:DCH5"/>
    <mergeCell ref="DBY4:DBY5"/>
    <mergeCell ref="DBZ4:DBZ5"/>
    <mergeCell ref="DCA4:DCA5"/>
    <mergeCell ref="DCB4:DCB5"/>
    <mergeCell ref="DCC4:DCC5"/>
    <mergeCell ref="DBT4:DBT5"/>
    <mergeCell ref="DBU4:DBU5"/>
    <mergeCell ref="DBV4:DBV5"/>
    <mergeCell ref="DBW4:DBW5"/>
    <mergeCell ref="DBX4:DBX5"/>
    <mergeCell ref="DEG4:DEG5"/>
    <mergeCell ref="DEH4:DEH5"/>
    <mergeCell ref="DEI4:DEI5"/>
    <mergeCell ref="DEJ4:DEJ5"/>
    <mergeCell ref="DEK4:DEK5"/>
    <mergeCell ref="DEB4:DEB5"/>
    <mergeCell ref="DEC4:DEC5"/>
    <mergeCell ref="DED4:DED5"/>
    <mergeCell ref="DEE4:DEE5"/>
    <mergeCell ref="DEF4:DEF5"/>
    <mergeCell ref="DDW4:DDW5"/>
    <mergeCell ref="DDX4:DDX5"/>
    <mergeCell ref="DDY4:DDY5"/>
    <mergeCell ref="DDZ4:DDZ5"/>
    <mergeCell ref="DEA4:DEA5"/>
    <mergeCell ref="DDR4:DDR5"/>
    <mergeCell ref="DDS4:DDS5"/>
    <mergeCell ref="DDT4:DDT5"/>
    <mergeCell ref="DDU4:DDU5"/>
    <mergeCell ref="DDV4:DDV5"/>
    <mergeCell ref="DDM4:DDM5"/>
    <mergeCell ref="DDN4:DDN5"/>
    <mergeCell ref="DDO4:DDO5"/>
    <mergeCell ref="DDP4:DDP5"/>
    <mergeCell ref="DDQ4:DDQ5"/>
    <mergeCell ref="DDH4:DDH5"/>
    <mergeCell ref="DDI4:DDI5"/>
    <mergeCell ref="DDJ4:DDJ5"/>
    <mergeCell ref="DDK4:DDK5"/>
    <mergeCell ref="DDL4:DDL5"/>
    <mergeCell ref="DDC4:DDC5"/>
    <mergeCell ref="DDD4:DDD5"/>
    <mergeCell ref="DDE4:DDE5"/>
    <mergeCell ref="DDF4:DDF5"/>
    <mergeCell ref="DDG4:DDG5"/>
    <mergeCell ref="DFP4:DFP5"/>
    <mergeCell ref="DFQ4:DFQ5"/>
    <mergeCell ref="DFR4:DFR5"/>
    <mergeCell ref="DFS4:DFS5"/>
    <mergeCell ref="DFT4:DFT5"/>
    <mergeCell ref="DFK4:DFK5"/>
    <mergeCell ref="DFL4:DFL5"/>
    <mergeCell ref="DFM4:DFM5"/>
    <mergeCell ref="DFN4:DFN5"/>
    <mergeCell ref="DFO4:DFO5"/>
    <mergeCell ref="DFF4:DFF5"/>
    <mergeCell ref="DFG4:DFG5"/>
    <mergeCell ref="DFH4:DFH5"/>
    <mergeCell ref="DFI4:DFI5"/>
    <mergeCell ref="DFJ4:DFJ5"/>
    <mergeCell ref="DFA4:DFA5"/>
    <mergeCell ref="DFB4:DFB5"/>
    <mergeCell ref="DFC4:DFC5"/>
    <mergeCell ref="DFD4:DFD5"/>
    <mergeCell ref="DFE4:DFE5"/>
    <mergeCell ref="DEV4:DEV5"/>
    <mergeCell ref="DEW4:DEW5"/>
    <mergeCell ref="DEX4:DEX5"/>
    <mergeCell ref="DEY4:DEY5"/>
    <mergeCell ref="DEZ4:DEZ5"/>
    <mergeCell ref="DEQ4:DEQ5"/>
    <mergeCell ref="DER4:DER5"/>
    <mergeCell ref="DES4:DES5"/>
    <mergeCell ref="DET4:DET5"/>
    <mergeCell ref="DEU4:DEU5"/>
    <mergeCell ref="DEL4:DEL5"/>
    <mergeCell ref="DEM4:DEM5"/>
    <mergeCell ref="DEN4:DEN5"/>
    <mergeCell ref="DEO4:DEO5"/>
    <mergeCell ref="DEP4:DEP5"/>
    <mergeCell ref="DGY4:DGY5"/>
    <mergeCell ref="DGZ4:DGZ5"/>
    <mergeCell ref="DHA4:DHA5"/>
    <mergeCell ref="DHB4:DHB5"/>
    <mergeCell ref="DHC4:DHC5"/>
    <mergeCell ref="DGT4:DGT5"/>
    <mergeCell ref="DGU4:DGU5"/>
    <mergeCell ref="DGV4:DGV5"/>
    <mergeCell ref="DGW4:DGW5"/>
    <mergeCell ref="DGX4:DGX5"/>
    <mergeCell ref="DGO4:DGO5"/>
    <mergeCell ref="DGP4:DGP5"/>
    <mergeCell ref="DGQ4:DGQ5"/>
    <mergeCell ref="DGR4:DGR5"/>
    <mergeCell ref="DGS4:DGS5"/>
    <mergeCell ref="DGJ4:DGJ5"/>
    <mergeCell ref="DGK4:DGK5"/>
    <mergeCell ref="DGL4:DGL5"/>
    <mergeCell ref="DGM4:DGM5"/>
    <mergeCell ref="DGN4:DGN5"/>
    <mergeCell ref="DGE4:DGE5"/>
    <mergeCell ref="DGF4:DGF5"/>
    <mergeCell ref="DGG4:DGG5"/>
    <mergeCell ref="DGH4:DGH5"/>
    <mergeCell ref="DGI4:DGI5"/>
    <mergeCell ref="DFZ4:DFZ5"/>
    <mergeCell ref="DGA4:DGA5"/>
    <mergeCell ref="DGB4:DGB5"/>
    <mergeCell ref="DGC4:DGC5"/>
    <mergeCell ref="DGD4:DGD5"/>
    <mergeCell ref="DFU4:DFU5"/>
    <mergeCell ref="DFV4:DFV5"/>
    <mergeCell ref="DFW4:DFW5"/>
    <mergeCell ref="DFX4:DFX5"/>
    <mergeCell ref="DFY4:DFY5"/>
    <mergeCell ref="DIH4:DIH5"/>
    <mergeCell ref="DII4:DII5"/>
    <mergeCell ref="DIJ4:DIJ5"/>
    <mergeCell ref="DIK4:DIK5"/>
    <mergeCell ref="DIL4:DIL5"/>
    <mergeCell ref="DIC4:DIC5"/>
    <mergeCell ref="DID4:DID5"/>
    <mergeCell ref="DIE4:DIE5"/>
    <mergeCell ref="DIF4:DIF5"/>
    <mergeCell ref="DIG4:DIG5"/>
    <mergeCell ref="DHX4:DHX5"/>
    <mergeCell ref="DHY4:DHY5"/>
    <mergeCell ref="DHZ4:DHZ5"/>
    <mergeCell ref="DIA4:DIA5"/>
    <mergeCell ref="DIB4:DIB5"/>
    <mergeCell ref="DHS4:DHS5"/>
    <mergeCell ref="DHT4:DHT5"/>
    <mergeCell ref="DHU4:DHU5"/>
    <mergeCell ref="DHV4:DHV5"/>
    <mergeCell ref="DHW4:DHW5"/>
    <mergeCell ref="DHN4:DHN5"/>
    <mergeCell ref="DHO4:DHO5"/>
    <mergeCell ref="DHP4:DHP5"/>
    <mergeCell ref="DHQ4:DHQ5"/>
    <mergeCell ref="DHR4:DHR5"/>
    <mergeCell ref="DHI4:DHI5"/>
    <mergeCell ref="DHJ4:DHJ5"/>
    <mergeCell ref="DHK4:DHK5"/>
    <mergeCell ref="DHL4:DHL5"/>
    <mergeCell ref="DHM4:DHM5"/>
    <mergeCell ref="DHD4:DHD5"/>
    <mergeCell ref="DHE4:DHE5"/>
    <mergeCell ref="DHF4:DHF5"/>
    <mergeCell ref="DHG4:DHG5"/>
    <mergeCell ref="DHH4:DHH5"/>
    <mergeCell ref="DJQ4:DJQ5"/>
    <mergeCell ref="DJR4:DJR5"/>
    <mergeCell ref="DJS4:DJS5"/>
    <mergeCell ref="DJT4:DJT5"/>
    <mergeCell ref="DJU4:DJU5"/>
    <mergeCell ref="DJL4:DJL5"/>
    <mergeCell ref="DJM4:DJM5"/>
    <mergeCell ref="DJN4:DJN5"/>
    <mergeCell ref="DJO4:DJO5"/>
    <mergeCell ref="DJP4:DJP5"/>
    <mergeCell ref="DJG4:DJG5"/>
    <mergeCell ref="DJH4:DJH5"/>
    <mergeCell ref="DJI4:DJI5"/>
    <mergeCell ref="DJJ4:DJJ5"/>
    <mergeCell ref="DJK4:DJK5"/>
    <mergeCell ref="DJB4:DJB5"/>
    <mergeCell ref="DJC4:DJC5"/>
    <mergeCell ref="DJD4:DJD5"/>
    <mergeCell ref="DJE4:DJE5"/>
    <mergeCell ref="DJF4:DJF5"/>
    <mergeCell ref="DIW4:DIW5"/>
    <mergeCell ref="DIX4:DIX5"/>
    <mergeCell ref="DIY4:DIY5"/>
    <mergeCell ref="DIZ4:DIZ5"/>
    <mergeCell ref="DJA4:DJA5"/>
    <mergeCell ref="DIR4:DIR5"/>
    <mergeCell ref="DIS4:DIS5"/>
    <mergeCell ref="DIT4:DIT5"/>
    <mergeCell ref="DIU4:DIU5"/>
    <mergeCell ref="DIV4:DIV5"/>
    <mergeCell ref="DIM4:DIM5"/>
    <mergeCell ref="DIN4:DIN5"/>
    <mergeCell ref="DIO4:DIO5"/>
    <mergeCell ref="DIP4:DIP5"/>
    <mergeCell ref="DIQ4:DIQ5"/>
    <mergeCell ref="DKZ4:DKZ5"/>
    <mergeCell ref="DLA4:DLA5"/>
    <mergeCell ref="DLB4:DLB5"/>
    <mergeCell ref="DLC4:DLC5"/>
    <mergeCell ref="DLD4:DLD5"/>
    <mergeCell ref="DKU4:DKU5"/>
    <mergeCell ref="DKV4:DKV5"/>
    <mergeCell ref="DKW4:DKW5"/>
    <mergeCell ref="DKX4:DKX5"/>
    <mergeCell ref="DKY4:DKY5"/>
    <mergeCell ref="DKP4:DKP5"/>
    <mergeCell ref="DKQ4:DKQ5"/>
    <mergeCell ref="DKR4:DKR5"/>
    <mergeCell ref="DKS4:DKS5"/>
    <mergeCell ref="DKT4:DKT5"/>
    <mergeCell ref="DKK4:DKK5"/>
    <mergeCell ref="DKL4:DKL5"/>
    <mergeCell ref="DKM4:DKM5"/>
    <mergeCell ref="DKN4:DKN5"/>
    <mergeCell ref="DKO4:DKO5"/>
    <mergeCell ref="DKF4:DKF5"/>
    <mergeCell ref="DKG4:DKG5"/>
    <mergeCell ref="DKH4:DKH5"/>
    <mergeCell ref="DKI4:DKI5"/>
    <mergeCell ref="DKJ4:DKJ5"/>
    <mergeCell ref="DKA4:DKA5"/>
    <mergeCell ref="DKB4:DKB5"/>
    <mergeCell ref="DKC4:DKC5"/>
    <mergeCell ref="DKD4:DKD5"/>
    <mergeCell ref="DKE4:DKE5"/>
    <mergeCell ref="DJV4:DJV5"/>
    <mergeCell ref="DJW4:DJW5"/>
    <mergeCell ref="DJX4:DJX5"/>
    <mergeCell ref="DJY4:DJY5"/>
    <mergeCell ref="DJZ4:DJZ5"/>
    <mergeCell ref="DMI4:DMI5"/>
    <mergeCell ref="DMJ4:DMJ5"/>
    <mergeCell ref="DMK4:DMK5"/>
    <mergeCell ref="DML4:DML5"/>
    <mergeCell ref="DMM4:DMM5"/>
    <mergeCell ref="DMD4:DMD5"/>
    <mergeCell ref="DME4:DME5"/>
    <mergeCell ref="DMF4:DMF5"/>
    <mergeCell ref="DMG4:DMG5"/>
    <mergeCell ref="DMH4:DMH5"/>
    <mergeCell ref="DLY4:DLY5"/>
    <mergeCell ref="DLZ4:DLZ5"/>
    <mergeCell ref="DMA4:DMA5"/>
    <mergeCell ref="DMB4:DMB5"/>
    <mergeCell ref="DMC4:DMC5"/>
    <mergeCell ref="DLT4:DLT5"/>
    <mergeCell ref="DLU4:DLU5"/>
    <mergeCell ref="DLV4:DLV5"/>
    <mergeCell ref="DLW4:DLW5"/>
    <mergeCell ref="DLX4:DLX5"/>
    <mergeCell ref="DLO4:DLO5"/>
    <mergeCell ref="DLP4:DLP5"/>
    <mergeCell ref="DLQ4:DLQ5"/>
    <mergeCell ref="DLR4:DLR5"/>
    <mergeCell ref="DLS4:DLS5"/>
    <mergeCell ref="DLJ4:DLJ5"/>
    <mergeCell ref="DLK4:DLK5"/>
    <mergeCell ref="DLL4:DLL5"/>
    <mergeCell ref="DLM4:DLM5"/>
    <mergeCell ref="DLN4:DLN5"/>
    <mergeCell ref="DLE4:DLE5"/>
    <mergeCell ref="DLF4:DLF5"/>
    <mergeCell ref="DLG4:DLG5"/>
    <mergeCell ref="DLH4:DLH5"/>
    <mergeCell ref="DLI4:DLI5"/>
    <mergeCell ref="DNR4:DNR5"/>
    <mergeCell ref="DNS4:DNS5"/>
    <mergeCell ref="DNT4:DNT5"/>
    <mergeCell ref="DNU4:DNU5"/>
    <mergeCell ref="DNV4:DNV5"/>
    <mergeCell ref="DNM4:DNM5"/>
    <mergeCell ref="DNN4:DNN5"/>
    <mergeCell ref="DNO4:DNO5"/>
    <mergeCell ref="DNP4:DNP5"/>
    <mergeCell ref="DNQ4:DNQ5"/>
    <mergeCell ref="DNH4:DNH5"/>
    <mergeCell ref="DNI4:DNI5"/>
    <mergeCell ref="DNJ4:DNJ5"/>
    <mergeCell ref="DNK4:DNK5"/>
    <mergeCell ref="DNL4:DNL5"/>
    <mergeCell ref="DNC4:DNC5"/>
    <mergeCell ref="DND4:DND5"/>
    <mergeCell ref="DNE4:DNE5"/>
    <mergeCell ref="DNF4:DNF5"/>
    <mergeCell ref="DNG4:DNG5"/>
    <mergeCell ref="DMX4:DMX5"/>
    <mergeCell ref="DMY4:DMY5"/>
    <mergeCell ref="DMZ4:DMZ5"/>
    <mergeCell ref="DNA4:DNA5"/>
    <mergeCell ref="DNB4:DNB5"/>
    <mergeCell ref="DMS4:DMS5"/>
    <mergeCell ref="DMT4:DMT5"/>
    <mergeCell ref="DMU4:DMU5"/>
    <mergeCell ref="DMV4:DMV5"/>
    <mergeCell ref="DMW4:DMW5"/>
    <mergeCell ref="DMN4:DMN5"/>
    <mergeCell ref="DMO4:DMO5"/>
    <mergeCell ref="DMP4:DMP5"/>
    <mergeCell ref="DMQ4:DMQ5"/>
    <mergeCell ref="DMR4:DMR5"/>
    <mergeCell ref="DPA4:DPA5"/>
    <mergeCell ref="DPB4:DPB5"/>
    <mergeCell ref="DPC4:DPC5"/>
    <mergeCell ref="DPD4:DPD5"/>
    <mergeCell ref="DPE4:DPE5"/>
    <mergeCell ref="DOV4:DOV5"/>
    <mergeCell ref="DOW4:DOW5"/>
    <mergeCell ref="DOX4:DOX5"/>
    <mergeCell ref="DOY4:DOY5"/>
    <mergeCell ref="DOZ4:DOZ5"/>
    <mergeCell ref="DOQ4:DOQ5"/>
    <mergeCell ref="DOR4:DOR5"/>
    <mergeCell ref="DOS4:DOS5"/>
    <mergeCell ref="DOT4:DOT5"/>
    <mergeCell ref="DOU4:DOU5"/>
    <mergeCell ref="DOL4:DOL5"/>
    <mergeCell ref="DOM4:DOM5"/>
    <mergeCell ref="DON4:DON5"/>
    <mergeCell ref="DOO4:DOO5"/>
    <mergeCell ref="DOP4:DOP5"/>
    <mergeCell ref="DOG4:DOG5"/>
    <mergeCell ref="DOH4:DOH5"/>
    <mergeCell ref="DOI4:DOI5"/>
    <mergeCell ref="DOJ4:DOJ5"/>
    <mergeCell ref="DOK4:DOK5"/>
    <mergeCell ref="DOB4:DOB5"/>
    <mergeCell ref="DOC4:DOC5"/>
    <mergeCell ref="DOD4:DOD5"/>
    <mergeCell ref="DOE4:DOE5"/>
    <mergeCell ref="DOF4:DOF5"/>
    <mergeCell ref="DNW4:DNW5"/>
    <mergeCell ref="DNX4:DNX5"/>
    <mergeCell ref="DNY4:DNY5"/>
    <mergeCell ref="DNZ4:DNZ5"/>
    <mergeCell ref="DOA4:DOA5"/>
    <mergeCell ref="DQJ4:DQJ5"/>
    <mergeCell ref="DQK4:DQK5"/>
    <mergeCell ref="DQL4:DQL5"/>
    <mergeCell ref="DQM4:DQM5"/>
    <mergeCell ref="DQN4:DQN5"/>
    <mergeCell ref="DQE4:DQE5"/>
    <mergeCell ref="DQF4:DQF5"/>
    <mergeCell ref="DQG4:DQG5"/>
    <mergeCell ref="DQH4:DQH5"/>
    <mergeCell ref="DQI4:DQI5"/>
    <mergeCell ref="DPZ4:DPZ5"/>
    <mergeCell ref="DQA4:DQA5"/>
    <mergeCell ref="DQB4:DQB5"/>
    <mergeCell ref="DQC4:DQC5"/>
    <mergeCell ref="DQD4:DQD5"/>
    <mergeCell ref="DPU4:DPU5"/>
    <mergeCell ref="DPV4:DPV5"/>
    <mergeCell ref="DPW4:DPW5"/>
    <mergeCell ref="DPX4:DPX5"/>
    <mergeCell ref="DPY4:DPY5"/>
    <mergeCell ref="DPP4:DPP5"/>
    <mergeCell ref="DPQ4:DPQ5"/>
    <mergeCell ref="DPR4:DPR5"/>
    <mergeCell ref="DPS4:DPS5"/>
    <mergeCell ref="DPT4:DPT5"/>
    <mergeCell ref="DPK4:DPK5"/>
    <mergeCell ref="DPL4:DPL5"/>
    <mergeCell ref="DPM4:DPM5"/>
    <mergeCell ref="DPN4:DPN5"/>
    <mergeCell ref="DPO4:DPO5"/>
    <mergeCell ref="DPF4:DPF5"/>
    <mergeCell ref="DPG4:DPG5"/>
    <mergeCell ref="DPH4:DPH5"/>
    <mergeCell ref="DPI4:DPI5"/>
    <mergeCell ref="DPJ4:DPJ5"/>
    <mergeCell ref="DRS4:DRS5"/>
    <mergeCell ref="DRT4:DRT5"/>
    <mergeCell ref="DRU4:DRU5"/>
    <mergeCell ref="DRV4:DRV5"/>
    <mergeCell ref="DRW4:DRW5"/>
    <mergeCell ref="DRN4:DRN5"/>
    <mergeCell ref="DRO4:DRO5"/>
    <mergeCell ref="DRP4:DRP5"/>
    <mergeCell ref="DRQ4:DRQ5"/>
    <mergeCell ref="DRR4:DRR5"/>
    <mergeCell ref="DRI4:DRI5"/>
    <mergeCell ref="DRJ4:DRJ5"/>
    <mergeCell ref="DRK4:DRK5"/>
    <mergeCell ref="DRL4:DRL5"/>
    <mergeCell ref="DRM4:DRM5"/>
    <mergeCell ref="DRD4:DRD5"/>
    <mergeCell ref="DRE4:DRE5"/>
    <mergeCell ref="DRF4:DRF5"/>
    <mergeCell ref="DRG4:DRG5"/>
    <mergeCell ref="DRH4:DRH5"/>
    <mergeCell ref="DQY4:DQY5"/>
    <mergeCell ref="DQZ4:DQZ5"/>
    <mergeCell ref="DRA4:DRA5"/>
    <mergeCell ref="DRB4:DRB5"/>
    <mergeCell ref="DRC4:DRC5"/>
    <mergeCell ref="DQT4:DQT5"/>
    <mergeCell ref="DQU4:DQU5"/>
    <mergeCell ref="DQV4:DQV5"/>
    <mergeCell ref="DQW4:DQW5"/>
    <mergeCell ref="DQX4:DQX5"/>
    <mergeCell ref="DQO4:DQO5"/>
    <mergeCell ref="DQP4:DQP5"/>
    <mergeCell ref="DQQ4:DQQ5"/>
    <mergeCell ref="DQR4:DQR5"/>
    <mergeCell ref="DQS4:DQS5"/>
    <mergeCell ref="DTB4:DTB5"/>
    <mergeCell ref="DTC4:DTC5"/>
    <mergeCell ref="DTD4:DTD5"/>
    <mergeCell ref="DTE4:DTE5"/>
    <mergeCell ref="DTF4:DTF5"/>
    <mergeCell ref="DSW4:DSW5"/>
    <mergeCell ref="DSX4:DSX5"/>
    <mergeCell ref="DSY4:DSY5"/>
    <mergeCell ref="DSZ4:DSZ5"/>
    <mergeCell ref="DTA4:DTA5"/>
    <mergeCell ref="DSR4:DSR5"/>
    <mergeCell ref="DSS4:DSS5"/>
    <mergeCell ref="DST4:DST5"/>
    <mergeCell ref="DSU4:DSU5"/>
    <mergeCell ref="DSV4:DSV5"/>
    <mergeCell ref="DSM4:DSM5"/>
    <mergeCell ref="DSN4:DSN5"/>
    <mergeCell ref="DSO4:DSO5"/>
    <mergeCell ref="DSP4:DSP5"/>
    <mergeCell ref="DSQ4:DSQ5"/>
    <mergeCell ref="DSH4:DSH5"/>
    <mergeCell ref="DSI4:DSI5"/>
    <mergeCell ref="DSJ4:DSJ5"/>
    <mergeCell ref="DSK4:DSK5"/>
    <mergeCell ref="DSL4:DSL5"/>
    <mergeCell ref="DSC4:DSC5"/>
    <mergeCell ref="DSD4:DSD5"/>
    <mergeCell ref="DSE4:DSE5"/>
    <mergeCell ref="DSF4:DSF5"/>
    <mergeCell ref="DSG4:DSG5"/>
    <mergeCell ref="DRX4:DRX5"/>
    <mergeCell ref="DRY4:DRY5"/>
    <mergeCell ref="DRZ4:DRZ5"/>
    <mergeCell ref="DSA4:DSA5"/>
    <mergeCell ref="DSB4:DSB5"/>
    <mergeCell ref="DUK4:DUK5"/>
    <mergeCell ref="DUL4:DUL5"/>
    <mergeCell ref="DUM4:DUM5"/>
    <mergeCell ref="DUN4:DUN5"/>
    <mergeCell ref="DUO4:DUO5"/>
    <mergeCell ref="DUF4:DUF5"/>
    <mergeCell ref="DUG4:DUG5"/>
    <mergeCell ref="DUH4:DUH5"/>
    <mergeCell ref="DUI4:DUI5"/>
    <mergeCell ref="DUJ4:DUJ5"/>
    <mergeCell ref="DUA4:DUA5"/>
    <mergeCell ref="DUB4:DUB5"/>
    <mergeCell ref="DUC4:DUC5"/>
    <mergeCell ref="DUD4:DUD5"/>
    <mergeCell ref="DUE4:DUE5"/>
    <mergeCell ref="DTV4:DTV5"/>
    <mergeCell ref="DTW4:DTW5"/>
    <mergeCell ref="DTX4:DTX5"/>
    <mergeCell ref="DTY4:DTY5"/>
    <mergeCell ref="DTZ4:DTZ5"/>
    <mergeCell ref="DTQ4:DTQ5"/>
    <mergeCell ref="DTR4:DTR5"/>
    <mergeCell ref="DTS4:DTS5"/>
    <mergeCell ref="DTT4:DTT5"/>
    <mergeCell ref="DTU4:DTU5"/>
    <mergeCell ref="DTL4:DTL5"/>
    <mergeCell ref="DTM4:DTM5"/>
    <mergeCell ref="DTN4:DTN5"/>
    <mergeCell ref="DTO4:DTO5"/>
    <mergeCell ref="DTP4:DTP5"/>
    <mergeCell ref="DTG4:DTG5"/>
    <mergeCell ref="DTH4:DTH5"/>
    <mergeCell ref="DTI4:DTI5"/>
    <mergeCell ref="DTJ4:DTJ5"/>
    <mergeCell ref="DTK4:DTK5"/>
    <mergeCell ref="DVT4:DVT5"/>
    <mergeCell ref="DVU4:DVU5"/>
    <mergeCell ref="DVV4:DVV5"/>
    <mergeCell ref="DVW4:DVW5"/>
    <mergeCell ref="DVX4:DVX5"/>
    <mergeCell ref="DVO4:DVO5"/>
    <mergeCell ref="DVP4:DVP5"/>
    <mergeCell ref="DVQ4:DVQ5"/>
    <mergeCell ref="DVR4:DVR5"/>
    <mergeCell ref="DVS4:DVS5"/>
    <mergeCell ref="DVJ4:DVJ5"/>
    <mergeCell ref="DVK4:DVK5"/>
    <mergeCell ref="DVL4:DVL5"/>
    <mergeCell ref="DVM4:DVM5"/>
    <mergeCell ref="DVN4:DVN5"/>
    <mergeCell ref="DVE4:DVE5"/>
    <mergeCell ref="DVF4:DVF5"/>
    <mergeCell ref="DVG4:DVG5"/>
    <mergeCell ref="DVH4:DVH5"/>
    <mergeCell ref="DVI4:DVI5"/>
    <mergeCell ref="DUZ4:DUZ5"/>
    <mergeCell ref="DVA4:DVA5"/>
    <mergeCell ref="DVB4:DVB5"/>
    <mergeCell ref="DVC4:DVC5"/>
    <mergeCell ref="DVD4:DVD5"/>
    <mergeCell ref="DUU4:DUU5"/>
    <mergeCell ref="DUV4:DUV5"/>
    <mergeCell ref="DUW4:DUW5"/>
    <mergeCell ref="DUX4:DUX5"/>
    <mergeCell ref="DUY4:DUY5"/>
    <mergeCell ref="DUP4:DUP5"/>
    <mergeCell ref="DUQ4:DUQ5"/>
    <mergeCell ref="DUR4:DUR5"/>
    <mergeCell ref="DUS4:DUS5"/>
    <mergeCell ref="DUT4:DUT5"/>
    <mergeCell ref="DXC4:DXC5"/>
    <mergeCell ref="DXD4:DXD5"/>
    <mergeCell ref="DXE4:DXE5"/>
    <mergeCell ref="DXF4:DXF5"/>
    <mergeCell ref="DXG4:DXG5"/>
    <mergeCell ref="DWX4:DWX5"/>
    <mergeCell ref="DWY4:DWY5"/>
    <mergeCell ref="DWZ4:DWZ5"/>
    <mergeCell ref="DXA4:DXA5"/>
    <mergeCell ref="DXB4:DXB5"/>
    <mergeCell ref="DWS4:DWS5"/>
    <mergeCell ref="DWT4:DWT5"/>
    <mergeCell ref="DWU4:DWU5"/>
    <mergeCell ref="DWV4:DWV5"/>
    <mergeCell ref="DWW4:DWW5"/>
    <mergeCell ref="DWN4:DWN5"/>
    <mergeCell ref="DWO4:DWO5"/>
    <mergeCell ref="DWP4:DWP5"/>
    <mergeCell ref="DWQ4:DWQ5"/>
    <mergeCell ref="DWR4:DWR5"/>
    <mergeCell ref="DWI4:DWI5"/>
    <mergeCell ref="DWJ4:DWJ5"/>
    <mergeCell ref="DWK4:DWK5"/>
    <mergeCell ref="DWL4:DWL5"/>
    <mergeCell ref="DWM4:DWM5"/>
    <mergeCell ref="DWD4:DWD5"/>
    <mergeCell ref="DWE4:DWE5"/>
    <mergeCell ref="DWF4:DWF5"/>
    <mergeCell ref="DWG4:DWG5"/>
    <mergeCell ref="DWH4:DWH5"/>
    <mergeCell ref="DVY4:DVY5"/>
    <mergeCell ref="DVZ4:DVZ5"/>
    <mergeCell ref="DWA4:DWA5"/>
    <mergeCell ref="DWB4:DWB5"/>
    <mergeCell ref="DWC4:DWC5"/>
    <mergeCell ref="DYL4:DYL5"/>
    <mergeCell ref="DYM4:DYM5"/>
    <mergeCell ref="DYN4:DYN5"/>
    <mergeCell ref="DYO4:DYO5"/>
    <mergeCell ref="DYP4:DYP5"/>
    <mergeCell ref="DYG4:DYG5"/>
    <mergeCell ref="DYH4:DYH5"/>
    <mergeCell ref="DYI4:DYI5"/>
    <mergeCell ref="DYJ4:DYJ5"/>
    <mergeCell ref="DYK4:DYK5"/>
    <mergeCell ref="DYB4:DYB5"/>
    <mergeCell ref="DYC4:DYC5"/>
    <mergeCell ref="DYD4:DYD5"/>
    <mergeCell ref="DYE4:DYE5"/>
    <mergeCell ref="DYF4:DYF5"/>
    <mergeCell ref="DXW4:DXW5"/>
    <mergeCell ref="DXX4:DXX5"/>
    <mergeCell ref="DXY4:DXY5"/>
    <mergeCell ref="DXZ4:DXZ5"/>
    <mergeCell ref="DYA4:DYA5"/>
    <mergeCell ref="DXR4:DXR5"/>
    <mergeCell ref="DXS4:DXS5"/>
    <mergeCell ref="DXT4:DXT5"/>
    <mergeCell ref="DXU4:DXU5"/>
    <mergeCell ref="DXV4:DXV5"/>
    <mergeCell ref="DXM4:DXM5"/>
    <mergeCell ref="DXN4:DXN5"/>
    <mergeCell ref="DXO4:DXO5"/>
    <mergeCell ref="DXP4:DXP5"/>
    <mergeCell ref="DXQ4:DXQ5"/>
    <mergeCell ref="DXH4:DXH5"/>
    <mergeCell ref="DXI4:DXI5"/>
    <mergeCell ref="DXJ4:DXJ5"/>
    <mergeCell ref="DXK4:DXK5"/>
    <mergeCell ref="DXL4:DXL5"/>
    <mergeCell ref="DZU4:DZU5"/>
    <mergeCell ref="DZV4:DZV5"/>
    <mergeCell ref="DZW4:DZW5"/>
    <mergeCell ref="DZX4:DZX5"/>
    <mergeCell ref="DZY4:DZY5"/>
    <mergeCell ref="DZP4:DZP5"/>
    <mergeCell ref="DZQ4:DZQ5"/>
    <mergeCell ref="DZR4:DZR5"/>
    <mergeCell ref="DZS4:DZS5"/>
    <mergeCell ref="DZT4:DZT5"/>
    <mergeCell ref="DZK4:DZK5"/>
    <mergeCell ref="DZL4:DZL5"/>
    <mergeCell ref="DZM4:DZM5"/>
    <mergeCell ref="DZN4:DZN5"/>
    <mergeCell ref="DZO4:DZO5"/>
    <mergeCell ref="DZF4:DZF5"/>
    <mergeCell ref="DZG4:DZG5"/>
    <mergeCell ref="DZH4:DZH5"/>
    <mergeCell ref="DZI4:DZI5"/>
    <mergeCell ref="DZJ4:DZJ5"/>
    <mergeCell ref="DZA4:DZA5"/>
    <mergeCell ref="DZB4:DZB5"/>
    <mergeCell ref="DZC4:DZC5"/>
    <mergeCell ref="DZD4:DZD5"/>
    <mergeCell ref="DZE4:DZE5"/>
    <mergeCell ref="DYV4:DYV5"/>
    <mergeCell ref="DYW4:DYW5"/>
    <mergeCell ref="DYX4:DYX5"/>
    <mergeCell ref="DYY4:DYY5"/>
    <mergeCell ref="DYZ4:DYZ5"/>
    <mergeCell ref="DYQ4:DYQ5"/>
    <mergeCell ref="DYR4:DYR5"/>
    <mergeCell ref="DYS4:DYS5"/>
    <mergeCell ref="DYT4:DYT5"/>
    <mergeCell ref="DYU4:DYU5"/>
    <mergeCell ref="EBD4:EBD5"/>
    <mergeCell ref="EBE4:EBE5"/>
    <mergeCell ref="EBF4:EBF5"/>
    <mergeCell ref="EBG4:EBG5"/>
    <mergeCell ref="EBH4:EBH5"/>
    <mergeCell ref="EAY4:EAY5"/>
    <mergeCell ref="EAZ4:EAZ5"/>
    <mergeCell ref="EBA4:EBA5"/>
    <mergeCell ref="EBB4:EBB5"/>
    <mergeCell ref="EBC4:EBC5"/>
    <mergeCell ref="EAT4:EAT5"/>
    <mergeCell ref="EAU4:EAU5"/>
    <mergeCell ref="EAV4:EAV5"/>
    <mergeCell ref="EAW4:EAW5"/>
    <mergeCell ref="EAX4:EAX5"/>
    <mergeCell ref="EAO4:EAO5"/>
    <mergeCell ref="EAP4:EAP5"/>
    <mergeCell ref="EAQ4:EAQ5"/>
    <mergeCell ref="EAR4:EAR5"/>
    <mergeCell ref="EAS4:EAS5"/>
    <mergeCell ref="EAJ4:EAJ5"/>
    <mergeCell ref="EAK4:EAK5"/>
    <mergeCell ref="EAL4:EAL5"/>
    <mergeCell ref="EAM4:EAM5"/>
    <mergeCell ref="EAN4:EAN5"/>
    <mergeCell ref="EAE4:EAE5"/>
    <mergeCell ref="EAF4:EAF5"/>
    <mergeCell ref="EAG4:EAG5"/>
    <mergeCell ref="EAH4:EAH5"/>
    <mergeCell ref="EAI4:EAI5"/>
    <mergeCell ref="DZZ4:DZZ5"/>
    <mergeCell ref="EAA4:EAA5"/>
    <mergeCell ref="EAB4:EAB5"/>
    <mergeCell ref="EAC4:EAC5"/>
    <mergeCell ref="EAD4:EAD5"/>
    <mergeCell ref="ECM4:ECM5"/>
    <mergeCell ref="ECN4:ECN5"/>
    <mergeCell ref="ECO4:ECO5"/>
    <mergeCell ref="ECP4:ECP5"/>
    <mergeCell ref="ECQ4:ECQ5"/>
    <mergeCell ref="ECH4:ECH5"/>
    <mergeCell ref="ECI4:ECI5"/>
    <mergeCell ref="ECJ4:ECJ5"/>
    <mergeCell ref="ECK4:ECK5"/>
    <mergeCell ref="ECL4:ECL5"/>
    <mergeCell ref="ECC4:ECC5"/>
    <mergeCell ref="ECD4:ECD5"/>
    <mergeCell ref="ECE4:ECE5"/>
    <mergeCell ref="ECF4:ECF5"/>
    <mergeCell ref="ECG4:ECG5"/>
    <mergeCell ref="EBX4:EBX5"/>
    <mergeCell ref="EBY4:EBY5"/>
    <mergeCell ref="EBZ4:EBZ5"/>
    <mergeCell ref="ECA4:ECA5"/>
    <mergeCell ref="ECB4:ECB5"/>
    <mergeCell ref="EBS4:EBS5"/>
    <mergeCell ref="EBT4:EBT5"/>
    <mergeCell ref="EBU4:EBU5"/>
    <mergeCell ref="EBV4:EBV5"/>
    <mergeCell ref="EBW4:EBW5"/>
    <mergeCell ref="EBN4:EBN5"/>
    <mergeCell ref="EBO4:EBO5"/>
    <mergeCell ref="EBP4:EBP5"/>
    <mergeCell ref="EBQ4:EBQ5"/>
    <mergeCell ref="EBR4:EBR5"/>
    <mergeCell ref="EBI4:EBI5"/>
    <mergeCell ref="EBJ4:EBJ5"/>
    <mergeCell ref="EBK4:EBK5"/>
    <mergeCell ref="EBL4:EBL5"/>
    <mergeCell ref="EBM4:EBM5"/>
    <mergeCell ref="EDV4:EDV5"/>
    <mergeCell ref="EDW4:EDW5"/>
    <mergeCell ref="EDX4:EDX5"/>
    <mergeCell ref="EDY4:EDY5"/>
    <mergeCell ref="EDZ4:EDZ5"/>
    <mergeCell ref="EDQ4:EDQ5"/>
    <mergeCell ref="EDR4:EDR5"/>
    <mergeCell ref="EDS4:EDS5"/>
    <mergeCell ref="EDT4:EDT5"/>
    <mergeCell ref="EDU4:EDU5"/>
    <mergeCell ref="EDL4:EDL5"/>
    <mergeCell ref="EDM4:EDM5"/>
    <mergeCell ref="EDN4:EDN5"/>
    <mergeCell ref="EDO4:EDO5"/>
    <mergeCell ref="EDP4:EDP5"/>
    <mergeCell ref="EDG4:EDG5"/>
    <mergeCell ref="EDH4:EDH5"/>
    <mergeCell ref="EDI4:EDI5"/>
    <mergeCell ref="EDJ4:EDJ5"/>
    <mergeCell ref="EDK4:EDK5"/>
    <mergeCell ref="EDB4:EDB5"/>
    <mergeCell ref="EDC4:EDC5"/>
    <mergeCell ref="EDD4:EDD5"/>
    <mergeCell ref="EDE4:EDE5"/>
    <mergeCell ref="EDF4:EDF5"/>
    <mergeCell ref="ECW4:ECW5"/>
    <mergeCell ref="ECX4:ECX5"/>
    <mergeCell ref="ECY4:ECY5"/>
    <mergeCell ref="ECZ4:ECZ5"/>
    <mergeCell ref="EDA4:EDA5"/>
    <mergeCell ref="ECR4:ECR5"/>
    <mergeCell ref="ECS4:ECS5"/>
    <mergeCell ref="ECT4:ECT5"/>
    <mergeCell ref="ECU4:ECU5"/>
    <mergeCell ref="ECV4:ECV5"/>
    <mergeCell ref="EFE4:EFE5"/>
    <mergeCell ref="EFF4:EFF5"/>
    <mergeCell ref="EFG4:EFG5"/>
    <mergeCell ref="EFH4:EFH5"/>
    <mergeCell ref="EFI4:EFI5"/>
    <mergeCell ref="EEZ4:EEZ5"/>
    <mergeCell ref="EFA4:EFA5"/>
    <mergeCell ref="EFB4:EFB5"/>
    <mergeCell ref="EFC4:EFC5"/>
    <mergeCell ref="EFD4:EFD5"/>
    <mergeCell ref="EEU4:EEU5"/>
    <mergeCell ref="EEV4:EEV5"/>
    <mergeCell ref="EEW4:EEW5"/>
    <mergeCell ref="EEX4:EEX5"/>
    <mergeCell ref="EEY4:EEY5"/>
    <mergeCell ref="EEP4:EEP5"/>
    <mergeCell ref="EEQ4:EEQ5"/>
    <mergeCell ref="EER4:EER5"/>
    <mergeCell ref="EES4:EES5"/>
    <mergeCell ref="EET4:EET5"/>
    <mergeCell ref="EEK4:EEK5"/>
    <mergeCell ref="EEL4:EEL5"/>
    <mergeCell ref="EEM4:EEM5"/>
    <mergeCell ref="EEN4:EEN5"/>
    <mergeCell ref="EEO4:EEO5"/>
    <mergeCell ref="EEF4:EEF5"/>
    <mergeCell ref="EEG4:EEG5"/>
    <mergeCell ref="EEH4:EEH5"/>
    <mergeCell ref="EEI4:EEI5"/>
    <mergeCell ref="EEJ4:EEJ5"/>
    <mergeCell ref="EEA4:EEA5"/>
    <mergeCell ref="EEB4:EEB5"/>
    <mergeCell ref="EEC4:EEC5"/>
    <mergeCell ref="EED4:EED5"/>
    <mergeCell ref="EEE4:EEE5"/>
    <mergeCell ref="EGN4:EGN5"/>
    <mergeCell ref="EGO4:EGO5"/>
    <mergeCell ref="EGP4:EGP5"/>
    <mergeCell ref="EGQ4:EGQ5"/>
    <mergeCell ref="EGR4:EGR5"/>
    <mergeCell ref="EGI4:EGI5"/>
    <mergeCell ref="EGJ4:EGJ5"/>
    <mergeCell ref="EGK4:EGK5"/>
    <mergeCell ref="EGL4:EGL5"/>
    <mergeCell ref="EGM4:EGM5"/>
    <mergeCell ref="EGD4:EGD5"/>
    <mergeCell ref="EGE4:EGE5"/>
    <mergeCell ref="EGF4:EGF5"/>
    <mergeCell ref="EGG4:EGG5"/>
    <mergeCell ref="EGH4:EGH5"/>
    <mergeCell ref="EFY4:EFY5"/>
    <mergeCell ref="EFZ4:EFZ5"/>
    <mergeCell ref="EGA4:EGA5"/>
    <mergeCell ref="EGB4:EGB5"/>
    <mergeCell ref="EGC4:EGC5"/>
    <mergeCell ref="EFT4:EFT5"/>
    <mergeCell ref="EFU4:EFU5"/>
    <mergeCell ref="EFV4:EFV5"/>
    <mergeCell ref="EFW4:EFW5"/>
    <mergeCell ref="EFX4:EFX5"/>
    <mergeCell ref="EFO4:EFO5"/>
    <mergeCell ref="EFP4:EFP5"/>
    <mergeCell ref="EFQ4:EFQ5"/>
    <mergeCell ref="EFR4:EFR5"/>
    <mergeCell ref="EFS4:EFS5"/>
    <mergeCell ref="EFJ4:EFJ5"/>
    <mergeCell ref="EFK4:EFK5"/>
    <mergeCell ref="EFL4:EFL5"/>
    <mergeCell ref="EFM4:EFM5"/>
    <mergeCell ref="EFN4:EFN5"/>
    <mergeCell ref="EHW4:EHW5"/>
    <mergeCell ref="EHX4:EHX5"/>
    <mergeCell ref="EHY4:EHY5"/>
    <mergeCell ref="EHZ4:EHZ5"/>
    <mergeCell ref="EIA4:EIA5"/>
    <mergeCell ref="EHR4:EHR5"/>
    <mergeCell ref="EHS4:EHS5"/>
    <mergeCell ref="EHT4:EHT5"/>
    <mergeCell ref="EHU4:EHU5"/>
    <mergeCell ref="EHV4:EHV5"/>
    <mergeCell ref="EHM4:EHM5"/>
    <mergeCell ref="EHN4:EHN5"/>
    <mergeCell ref="EHO4:EHO5"/>
    <mergeCell ref="EHP4:EHP5"/>
    <mergeCell ref="EHQ4:EHQ5"/>
    <mergeCell ref="EHH4:EHH5"/>
    <mergeCell ref="EHI4:EHI5"/>
    <mergeCell ref="EHJ4:EHJ5"/>
    <mergeCell ref="EHK4:EHK5"/>
    <mergeCell ref="EHL4:EHL5"/>
    <mergeCell ref="EHC4:EHC5"/>
    <mergeCell ref="EHD4:EHD5"/>
    <mergeCell ref="EHE4:EHE5"/>
    <mergeCell ref="EHF4:EHF5"/>
    <mergeCell ref="EHG4:EHG5"/>
    <mergeCell ref="EGX4:EGX5"/>
    <mergeCell ref="EGY4:EGY5"/>
    <mergeCell ref="EGZ4:EGZ5"/>
    <mergeCell ref="EHA4:EHA5"/>
    <mergeCell ref="EHB4:EHB5"/>
    <mergeCell ref="EGS4:EGS5"/>
    <mergeCell ref="EGT4:EGT5"/>
    <mergeCell ref="EGU4:EGU5"/>
    <mergeCell ref="EGV4:EGV5"/>
    <mergeCell ref="EGW4:EGW5"/>
    <mergeCell ref="EJF4:EJF5"/>
    <mergeCell ref="EJG4:EJG5"/>
    <mergeCell ref="EJH4:EJH5"/>
    <mergeCell ref="EJI4:EJI5"/>
    <mergeCell ref="EJJ4:EJJ5"/>
    <mergeCell ref="EJA4:EJA5"/>
    <mergeCell ref="EJB4:EJB5"/>
    <mergeCell ref="EJC4:EJC5"/>
    <mergeCell ref="EJD4:EJD5"/>
    <mergeCell ref="EJE4:EJE5"/>
    <mergeCell ref="EIV4:EIV5"/>
    <mergeCell ref="EIW4:EIW5"/>
    <mergeCell ref="EIX4:EIX5"/>
    <mergeCell ref="EIY4:EIY5"/>
    <mergeCell ref="EIZ4:EIZ5"/>
    <mergeCell ref="EIQ4:EIQ5"/>
    <mergeCell ref="EIR4:EIR5"/>
    <mergeCell ref="EIS4:EIS5"/>
    <mergeCell ref="EIT4:EIT5"/>
    <mergeCell ref="EIU4:EIU5"/>
    <mergeCell ref="EIL4:EIL5"/>
    <mergeCell ref="EIM4:EIM5"/>
    <mergeCell ref="EIN4:EIN5"/>
    <mergeCell ref="EIO4:EIO5"/>
    <mergeCell ref="EIP4:EIP5"/>
    <mergeCell ref="EIG4:EIG5"/>
    <mergeCell ref="EIH4:EIH5"/>
    <mergeCell ref="EII4:EII5"/>
    <mergeCell ref="EIJ4:EIJ5"/>
    <mergeCell ref="EIK4:EIK5"/>
    <mergeCell ref="EIB4:EIB5"/>
    <mergeCell ref="EIC4:EIC5"/>
    <mergeCell ref="EID4:EID5"/>
    <mergeCell ref="EIE4:EIE5"/>
    <mergeCell ref="EIF4:EIF5"/>
    <mergeCell ref="EKO4:EKO5"/>
    <mergeCell ref="EKP4:EKP5"/>
    <mergeCell ref="EKQ4:EKQ5"/>
    <mergeCell ref="EKR4:EKR5"/>
    <mergeCell ref="EKS4:EKS5"/>
    <mergeCell ref="EKJ4:EKJ5"/>
    <mergeCell ref="EKK4:EKK5"/>
    <mergeCell ref="EKL4:EKL5"/>
    <mergeCell ref="EKM4:EKM5"/>
    <mergeCell ref="EKN4:EKN5"/>
    <mergeCell ref="EKE4:EKE5"/>
    <mergeCell ref="EKF4:EKF5"/>
    <mergeCell ref="EKG4:EKG5"/>
    <mergeCell ref="EKH4:EKH5"/>
    <mergeCell ref="EKI4:EKI5"/>
    <mergeCell ref="EJZ4:EJZ5"/>
    <mergeCell ref="EKA4:EKA5"/>
    <mergeCell ref="EKB4:EKB5"/>
    <mergeCell ref="EKC4:EKC5"/>
    <mergeCell ref="EKD4:EKD5"/>
    <mergeCell ref="EJU4:EJU5"/>
    <mergeCell ref="EJV4:EJV5"/>
    <mergeCell ref="EJW4:EJW5"/>
    <mergeCell ref="EJX4:EJX5"/>
    <mergeCell ref="EJY4:EJY5"/>
    <mergeCell ref="EJP4:EJP5"/>
    <mergeCell ref="EJQ4:EJQ5"/>
    <mergeCell ref="EJR4:EJR5"/>
    <mergeCell ref="EJS4:EJS5"/>
    <mergeCell ref="EJT4:EJT5"/>
    <mergeCell ref="EJK4:EJK5"/>
    <mergeCell ref="EJL4:EJL5"/>
    <mergeCell ref="EJM4:EJM5"/>
    <mergeCell ref="EJN4:EJN5"/>
    <mergeCell ref="EJO4:EJO5"/>
    <mergeCell ref="ELX4:ELX5"/>
    <mergeCell ref="ELY4:ELY5"/>
    <mergeCell ref="ELZ4:ELZ5"/>
    <mergeCell ref="EMA4:EMA5"/>
    <mergeCell ref="EMB4:EMB5"/>
    <mergeCell ref="ELS4:ELS5"/>
    <mergeCell ref="ELT4:ELT5"/>
    <mergeCell ref="ELU4:ELU5"/>
    <mergeCell ref="ELV4:ELV5"/>
    <mergeCell ref="ELW4:ELW5"/>
    <mergeCell ref="ELN4:ELN5"/>
    <mergeCell ref="ELO4:ELO5"/>
    <mergeCell ref="ELP4:ELP5"/>
    <mergeCell ref="ELQ4:ELQ5"/>
    <mergeCell ref="ELR4:ELR5"/>
    <mergeCell ref="ELI4:ELI5"/>
    <mergeCell ref="ELJ4:ELJ5"/>
    <mergeCell ref="ELK4:ELK5"/>
    <mergeCell ref="ELL4:ELL5"/>
    <mergeCell ref="ELM4:ELM5"/>
    <mergeCell ref="ELD4:ELD5"/>
    <mergeCell ref="ELE4:ELE5"/>
    <mergeCell ref="ELF4:ELF5"/>
    <mergeCell ref="ELG4:ELG5"/>
    <mergeCell ref="ELH4:ELH5"/>
    <mergeCell ref="EKY4:EKY5"/>
    <mergeCell ref="EKZ4:EKZ5"/>
    <mergeCell ref="ELA4:ELA5"/>
    <mergeCell ref="ELB4:ELB5"/>
    <mergeCell ref="ELC4:ELC5"/>
    <mergeCell ref="EKT4:EKT5"/>
    <mergeCell ref="EKU4:EKU5"/>
    <mergeCell ref="EKV4:EKV5"/>
    <mergeCell ref="EKW4:EKW5"/>
    <mergeCell ref="EKX4:EKX5"/>
    <mergeCell ref="ENG4:ENG5"/>
    <mergeCell ref="ENH4:ENH5"/>
    <mergeCell ref="ENI4:ENI5"/>
    <mergeCell ref="ENJ4:ENJ5"/>
    <mergeCell ref="ENK4:ENK5"/>
    <mergeCell ref="ENB4:ENB5"/>
    <mergeCell ref="ENC4:ENC5"/>
    <mergeCell ref="END4:END5"/>
    <mergeCell ref="ENE4:ENE5"/>
    <mergeCell ref="ENF4:ENF5"/>
    <mergeCell ref="EMW4:EMW5"/>
    <mergeCell ref="EMX4:EMX5"/>
    <mergeCell ref="EMY4:EMY5"/>
    <mergeCell ref="EMZ4:EMZ5"/>
    <mergeCell ref="ENA4:ENA5"/>
    <mergeCell ref="EMR4:EMR5"/>
    <mergeCell ref="EMS4:EMS5"/>
    <mergeCell ref="EMT4:EMT5"/>
    <mergeCell ref="EMU4:EMU5"/>
    <mergeCell ref="EMV4:EMV5"/>
    <mergeCell ref="EMM4:EMM5"/>
    <mergeCell ref="EMN4:EMN5"/>
    <mergeCell ref="EMO4:EMO5"/>
    <mergeCell ref="EMP4:EMP5"/>
    <mergeCell ref="EMQ4:EMQ5"/>
    <mergeCell ref="EMH4:EMH5"/>
    <mergeCell ref="EMI4:EMI5"/>
    <mergeCell ref="EMJ4:EMJ5"/>
    <mergeCell ref="EMK4:EMK5"/>
    <mergeCell ref="EML4:EML5"/>
    <mergeCell ref="EMC4:EMC5"/>
    <mergeCell ref="EMD4:EMD5"/>
    <mergeCell ref="EME4:EME5"/>
    <mergeCell ref="EMF4:EMF5"/>
    <mergeCell ref="EMG4:EMG5"/>
    <mergeCell ref="EOP4:EOP5"/>
    <mergeCell ref="EOQ4:EOQ5"/>
    <mergeCell ref="EOR4:EOR5"/>
    <mergeCell ref="EOS4:EOS5"/>
    <mergeCell ref="EOT4:EOT5"/>
    <mergeCell ref="EOK4:EOK5"/>
    <mergeCell ref="EOL4:EOL5"/>
    <mergeCell ref="EOM4:EOM5"/>
    <mergeCell ref="EON4:EON5"/>
    <mergeCell ref="EOO4:EOO5"/>
    <mergeCell ref="EOF4:EOF5"/>
    <mergeCell ref="EOG4:EOG5"/>
    <mergeCell ref="EOH4:EOH5"/>
    <mergeCell ref="EOI4:EOI5"/>
    <mergeCell ref="EOJ4:EOJ5"/>
    <mergeCell ref="EOA4:EOA5"/>
    <mergeCell ref="EOB4:EOB5"/>
    <mergeCell ref="EOC4:EOC5"/>
    <mergeCell ref="EOD4:EOD5"/>
    <mergeCell ref="EOE4:EOE5"/>
    <mergeCell ref="ENV4:ENV5"/>
    <mergeCell ref="ENW4:ENW5"/>
    <mergeCell ref="ENX4:ENX5"/>
    <mergeCell ref="ENY4:ENY5"/>
    <mergeCell ref="ENZ4:ENZ5"/>
    <mergeCell ref="ENQ4:ENQ5"/>
    <mergeCell ref="ENR4:ENR5"/>
    <mergeCell ref="ENS4:ENS5"/>
    <mergeCell ref="ENT4:ENT5"/>
    <mergeCell ref="ENU4:ENU5"/>
    <mergeCell ref="ENL4:ENL5"/>
    <mergeCell ref="ENM4:ENM5"/>
    <mergeCell ref="ENN4:ENN5"/>
    <mergeCell ref="ENO4:ENO5"/>
    <mergeCell ref="ENP4:ENP5"/>
    <mergeCell ref="EPY4:EPY5"/>
    <mergeCell ref="EPZ4:EPZ5"/>
    <mergeCell ref="EQA4:EQA5"/>
    <mergeCell ref="EQB4:EQB5"/>
    <mergeCell ref="EQC4:EQC5"/>
    <mergeCell ref="EPT4:EPT5"/>
    <mergeCell ref="EPU4:EPU5"/>
    <mergeCell ref="EPV4:EPV5"/>
    <mergeCell ref="EPW4:EPW5"/>
    <mergeCell ref="EPX4:EPX5"/>
    <mergeCell ref="EPO4:EPO5"/>
    <mergeCell ref="EPP4:EPP5"/>
    <mergeCell ref="EPQ4:EPQ5"/>
    <mergeCell ref="EPR4:EPR5"/>
    <mergeCell ref="EPS4:EPS5"/>
    <mergeCell ref="EPJ4:EPJ5"/>
    <mergeCell ref="EPK4:EPK5"/>
    <mergeCell ref="EPL4:EPL5"/>
    <mergeCell ref="EPM4:EPM5"/>
    <mergeCell ref="EPN4:EPN5"/>
    <mergeCell ref="EPE4:EPE5"/>
    <mergeCell ref="EPF4:EPF5"/>
    <mergeCell ref="EPG4:EPG5"/>
    <mergeCell ref="EPH4:EPH5"/>
    <mergeCell ref="EPI4:EPI5"/>
    <mergeCell ref="EOZ4:EOZ5"/>
    <mergeCell ref="EPA4:EPA5"/>
    <mergeCell ref="EPB4:EPB5"/>
    <mergeCell ref="EPC4:EPC5"/>
    <mergeCell ref="EPD4:EPD5"/>
    <mergeCell ref="EOU4:EOU5"/>
    <mergeCell ref="EOV4:EOV5"/>
    <mergeCell ref="EOW4:EOW5"/>
    <mergeCell ref="EOX4:EOX5"/>
    <mergeCell ref="EOY4:EOY5"/>
    <mergeCell ref="ERH4:ERH5"/>
    <mergeCell ref="ERI4:ERI5"/>
    <mergeCell ref="ERJ4:ERJ5"/>
    <mergeCell ref="ERK4:ERK5"/>
    <mergeCell ref="ERL4:ERL5"/>
    <mergeCell ref="ERC4:ERC5"/>
    <mergeCell ref="ERD4:ERD5"/>
    <mergeCell ref="ERE4:ERE5"/>
    <mergeCell ref="ERF4:ERF5"/>
    <mergeCell ref="ERG4:ERG5"/>
    <mergeCell ref="EQX4:EQX5"/>
    <mergeCell ref="EQY4:EQY5"/>
    <mergeCell ref="EQZ4:EQZ5"/>
    <mergeCell ref="ERA4:ERA5"/>
    <mergeCell ref="ERB4:ERB5"/>
    <mergeCell ref="EQS4:EQS5"/>
    <mergeCell ref="EQT4:EQT5"/>
    <mergeCell ref="EQU4:EQU5"/>
    <mergeCell ref="EQV4:EQV5"/>
    <mergeCell ref="EQW4:EQW5"/>
    <mergeCell ref="EQN4:EQN5"/>
    <mergeCell ref="EQO4:EQO5"/>
    <mergeCell ref="EQP4:EQP5"/>
    <mergeCell ref="EQQ4:EQQ5"/>
    <mergeCell ref="EQR4:EQR5"/>
    <mergeCell ref="EQI4:EQI5"/>
    <mergeCell ref="EQJ4:EQJ5"/>
    <mergeCell ref="EQK4:EQK5"/>
    <mergeCell ref="EQL4:EQL5"/>
    <mergeCell ref="EQM4:EQM5"/>
    <mergeCell ref="EQD4:EQD5"/>
    <mergeCell ref="EQE4:EQE5"/>
    <mergeCell ref="EQF4:EQF5"/>
    <mergeCell ref="EQG4:EQG5"/>
    <mergeCell ref="EQH4:EQH5"/>
    <mergeCell ref="ESQ4:ESQ5"/>
    <mergeCell ref="ESR4:ESR5"/>
    <mergeCell ref="ESS4:ESS5"/>
    <mergeCell ref="EST4:EST5"/>
    <mergeCell ref="ESU4:ESU5"/>
    <mergeCell ref="ESL4:ESL5"/>
    <mergeCell ref="ESM4:ESM5"/>
    <mergeCell ref="ESN4:ESN5"/>
    <mergeCell ref="ESO4:ESO5"/>
    <mergeCell ref="ESP4:ESP5"/>
    <mergeCell ref="ESG4:ESG5"/>
    <mergeCell ref="ESH4:ESH5"/>
    <mergeCell ref="ESI4:ESI5"/>
    <mergeCell ref="ESJ4:ESJ5"/>
    <mergeCell ref="ESK4:ESK5"/>
    <mergeCell ref="ESB4:ESB5"/>
    <mergeCell ref="ESC4:ESC5"/>
    <mergeCell ref="ESD4:ESD5"/>
    <mergeCell ref="ESE4:ESE5"/>
    <mergeCell ref="ESF4:ESF5"/>
    <mergeCell ref="ERW4:ERW5"/>
    <mergeCell ref="ERX4:ERX5"/>
    <mergeCell ref="ERY4:ERY5"/>
    <mergeCell ref="ERZ4:ERZ5"/>
    <mergeCell ref="ESA4:ESA5"/>
    <mergeCell ref="ERR4:ERR5"/>
    <mergeCell ref="ERS4:ERS5"/>
    <mergeCell ref="ERT4:ERT5"/>
    <mergeCell ref="ERU4:ERU5"/>
    <mergeCell ref="ERV4:ERV5"/>
    <mergeCell ref="ERM4:ERM5"/>
    <mergeCell ref="ERN4:ERN5"/>
    <mergeCell ref="ERO4:ERO5"/>
    <mergeCell ref="ERP4:ERP5"/>
    <mergeCell ref="ERQ4:ERQ5"/>
    <mergeCell ref="ETZ4:ETZ5"/>
    <mergeCell ref="EUA4:EUA5"/>
    <mergeCell ref="EUB4:EUB5"/>
    <mergeCell ref="EUC4:EUC5"/>
    <mergeCell ref="EUD4:EUD5"/>
    <mergeCell ref="ETU4:ETU5"/>
    <mergeCell ref="ETV4:ETV5"/>
    <mergeCell ref="ETW4:ETW5"/>
    <mergeCell ref="ETX4:ETX5"/>
    <mergeCell ref="ETY4:ETY5"/>
    <mergeCell ref="ETP4:ETP5"/>
    <mergeCell ref="ETQ4:ETQ5"/>
    <mergeCell ref="ETR4:ETR5"/>
    <mergeCell ref="ETS4:ETS5"/>
    <mergeCell ref="ETT4:ETT5"/>
    <mergeCell ref="ETK4:ETK5"/>
    <mergeCell ref="ETL4:ETL5"/>
    <mergeCell ref="ETM4:ETM5"/>
    <mergeCell ref="ETN4:ETN5"/>
    <mergeCell ref="ETO4:ETO5"/>
    <mergeCell ref="ETF4:ETF5"/>
    <mergeCell ref="ETG4:ETG5"/>
    <mergeCell ref="ETH4:ETH5"/>
    <mergeCell ref="ETI4:ETI5"/>
    <mergeCell ref="ETJ4:ETJ5"/>
    <mergeCell ref="ETA4:ETA5"/>
    <mergeCell ref="ETB4:ETB5"/>
    <mergeCell ref="ETC4:ETC5"/>
    <mergeCell ref="ETD4:ETD5"/>
    <mergeCell ref="ETE4:ETE5"/>
    <mergeCell ref="ESV4:ESV5"/>
    <mergeCell ref="ESW4:ESW5"/>
    <mergeCell ref="ESX4:ESX5"/>
    <mergeCell ref="ESY4:ESY5"/>
    <mergeCell ref="ESZ4:ESZ5"/>
    <mergeCell ref="EVI4:EVI5"/>
    <mergeCell ref="EVJ4:EVJ5"/>
    <mergeCell ref="EVK4:EVK5"/>
    <mergeCell ref="EVL4:EVL5"/>
    <mergeCell ref="EVM4:EVM5"/>
    <mergeCell ref="EVD4:EVD5"/>
    <mergeCell ref="EVE4:EVE5"/>
    <mergeCell ref="EVF4:EVF5"/>
    <mergeCell ref="EVG4:EVG5"/>
    <mergeCell ref="EVH4:EVH5"/>
    <mergeCell ref="EUY4:EUY5"/>
    <mergeCell ref="EUZ4:EUZ5"/>
    <mergeCell ref="EVA4:EVA5"/>
    <mergeCell ref="EVB4:EVB5"/>
    <mergeCell ref="EVC4:EVC5"/>
    <mergeCell ref="EUT4:EUT5"/>
    <mergeCell ref="EUU4:EUU5"/>
    <mergeCell ref="EUV4:EUV5"/>
    <mergeCell ref="EUW4:EUW5"/>
    <mergeCell ref="EUX4:EUX5"/>
    <mergeCell ref="EUO4:EUO5"/>
    <mergeCell ref="EUP4:EUP5"/>
    <mergeCell ref="EUQ4:EUQ5"/>
    <mergeCell ref="EUR4:EUR5"/>
    <mergeCell ref="EUS4:EUS5"/>
    <mergeCell ref="EUJ4:EUJ5"/>
    <mergeCell ref="EUK4:EUK5"/>
    <mergeCell ref="EUL4:EUL5"/>
    <mergeCell ref="EUM4:EUM5"/>
    <mergeCell ref="EUN4:EUN5"/>
    <mergeCell ref="EUE4:EUE5"/>
    <mergeCell ref="EUF4:EUF5"/>
    <mergeCell ref="EUG4:EUG5"/>
    <mergeCell ref="EUH4:EUH5"/>
    <mergeCell ref="EUI4:EUI5"/>
    <mergeCell ref="EWR4:EWR5"/>
    <mergeCell ref="EWS4:EWS5"/>
    <mergeCell ref="EWT4:EWT5"/>
    <mergeCell ref="EWU4:EWU5"/>
    <mergeCell ref="EWV4:EWV5"/>
    <mergeCell ref="EWM4:EWM5"/>
    <mergeCell ref="EWN4:EWN5"/>
    <mergeCell ref="EWO4:EWO5"/>
    <mergeCell ref="EWP4:EWP5"/>
    <mergeCell ref="EWQ4:EWQ5"/>
    <mergeCell ref="EWH4:EWH5"/>
    <mergeCell ref="EWI4:EWI5"/>
    <mergeCell ref="EWJ4:EWJ5"/>
    <mergeCell ref="EWK4:EWK5"/>
    <mergeCell ref="EWL4:EWL5"/>
    <mergeCell ref="EWC4:EWC5"/>
    <mergeCell ref="EWD4:EWD5"/>
    <mergeCell ref="EWE4:EWE5"/>
    <mergeCell ref="EWF4:EWF5"/>
    <mergeCell ref="EWG4:EWG5"/>
    <mergeCell ref="EVX4:EVX5"/>
    <mergeCell ref="EVY4:EVY5"/>
    <mergeCell ref="EVZ4:EVZ5"/>
    <mergeCell ref="EWA4:EWA5"/>
    <mergeCell ref="EWB4:EWB5"/>
    <mergeCell ref="EVS4:EVS5"/>
    <mergeCell ref="EVT4:EVT5"/>
    <mergeCell ref="EVU4:EVU5"/>
    <mergeCell ref="EVV4:EVV5"/>
    <mergeCell ref="EVW4:EVW5"/>
    <mergeCell ref="EVN4:EVN5"/>
    <mergeCell ref="EVO4:EVO5"/>
    <mergeCell ref="EVP4:EVP5"/>
    <mergeCell ref="EVQ4:EVQ5"/>
    <mergeCell ref="EVR4:EVR5"/>
    <mergeCell ref="EYA4:EYA5"/>
    <mergeCell ref="EYB4:EYB5"/>
    <mergeCell ref="EYC4:EYC5"/>
    <mergeCell ref="EYD4:EYD5"/>
    <mergeCell ref="EYE4:EYE5"/>
    <mergeCell ref="EXV4:EXV5"/>
    <mergeCell ref="EXW4:EXW5"/>
    <mergeCell ref="EXX4:EXX5"/>
    <mergeCell ref="EXY4:EXY5"/>
    <mergeCell ref="EXZ4:EXZ5"/>
    <mergeCell ref="EXQ4:EXQ5"/>
    <mergeCell ref="EXR4:EXR5"/>
    <mergeCell ref="EXS4:EXS5"/>
    <mergeCell ref="EXT4:EXT5"/>
    <mergeCell ref="EXU4:EXU5"/>
    <mergeCell ref="EXL4:EXL5"/>
    <mergeCell ref="EXM4:EXM5"/>
    <mergeCell ref="EXN4:EXN5"/>
    <mergeCell ref="EXO4:EXO5"/>
    <mergeCell ref="EXP4:EXP5"/>
    <mergeCell ref="EXG4:EXG5"/>
    <mergeCell ref="EXH4:EXH5"/>
    <mergeCell ref="EXI4:EXI5"/>
    <mergeCell ref="EXJ4:EXJ5"/>
    <mergeCell ref="EXK4:EXK5"/>
    <mergeCell ref="EXB4:EXB5"/>
    <mergeCell ref="EXC4:EXC5"/>
    <mergeCell ref="EXD4:EXD5"/>
    <mergeCell ref="EXE4:EXE5"/>
    <mergeCell ref="EXF4:EXF5"/>
    <mergeCell ref="EWW4:EWW5"/>
    <mergeCell ref="EWX4:EWX5"/>
    <mergeCell ref="EWY4:EWY5"/>
    <mergeCell ref="EWZ4:EWZ5"/>
    <mergeCell ref="EXA4:EXA5"/>
    <mergeCell ref="EZJ4:EZJ5"/>
    <mergeCell ref="EZK4:EZK5"/>
    <mergeCell ref="EZL4:EZL5"/>
    <mergeCell ref="EZM4:EZM5"/>
    <mergeCell ref="EZN4:EZN5"/>
    <mergeCell ref="EZE4:EZE5"/>
    <mergeCell ref="EZF4:EZF5"/>
    <mergeCell ref="EZG4:EZG5"/>
    <mergeCell ref="EZH4:EZH5"/>
    <mergeCell ref="EZI4:EZI5"/>
    <mergeCell ref="EYZ4:EYZ5"/>
    <mergeCell ref="EZA4:EZA5"/>
    <mergeCell ref="EZB4:EZB5"/>
    <mergeCell ref="EZC4:EZC5"/>
    <mergeCell ref="EZD4:EZD5"/>
    <mergeCell ref="EYU4:EYU5"/>
    <mergeCell ref="EYV4:EYV5"/>
    <mergeCell ref="EYW4:EYW5"/>
    <mergeCell ref="EYX4:EYX5"/>
    <mergeCell ref="EYY4:EYY5"/>
    <mergeCell ref="EYP4:EYP5"/>
    <mergeCell ref="EYQ4:EYQ5"/>
    <mergeCell ref="EYR4:EYR5"/>
    <mergeCell ref="EYS4:EYS5"/>
    <mergeCell ref="EYT4:EYT5"/>
    <mergeCell ref="EYK4:EYK5"/>
    <mergeCell ref="EYL4:EYL5"/>
    <mergeCell ref="EYM4:EYM5"/>
    <mergeCell ref="EYN4:EYN5"/>
    <mergeCell ref="EYO4:EYO5"/>
    <mergeCell ref="EYF4:EYF5"/>
    <mergeCell ref="EYG4:EYG5"/>
    <mergeCell ref="EYH4:EYH5"/>
    <mergeCell ref="EYI4:EYI5"/>
    <mergeCell ref="EYJ4:EYJ5"/>
    <mergeCell ref="FAS4:FAS5"/>
    <mergeCell ref="FAT4:FAT5"/>
    <mergeCell ref="FAU4:FAU5"/>
    <mergeCell ref="FAV4:FAV5"/>
    <mergeCell ref="FAW4:FAW5"/>
    <mergeCell ref="FAN4:FAN5"/>
    <mergeCell ref="FAO4:FAO5"/>
    <mergeCell ref="FAP4:FAP5"/>
    <mergeCell ref="FAQ4:FAQ5"/>
    <mergeCell ref="FAR4:FAR5"/>
    <mergeCell ref="FAI4:FAI5"/>
    <mergeCell ref="FAJ4:FAJ5"/>
    <mergeCell ref="FAK4:FAK5"/>
    <mergeCell ref="FAL4:FAL5"/>
    <mergeCell ref="FAM4:FAM5"/>
    <mergeCell ref="FAD4:FAD5"/>
    <mergeCell ref="FAE4:FAE5"/>
    <mergeCell ref="FAF4:FAF5"/>
    <mergeCell ref="FAG4:FAG5"/>
    <mergeCell ref="FAH4:FAH5"/>
    <mergeCell ref="EZY4:EZY5"/>
    <mergeCell ref="EZZ4:EZZ5"/>
    <mergeCell ref="FAA4:FAA5"/>
    <mergeCell ref="FAB4:FAB5"/>
    <mergeCell ref="FAC4:FAC5"/>
    <mergeCell ref="EZT4:EZT5"/>
    <mergeCell ref="EZU4:EZU5"/>
    <mergeCell ref="EZV4:EZV5"/>
    <mergeCell ref="EZW4:EZW5"/>
    <mergeCell ref="EZX4:EZX5"/>
    <mergeCell ref="EZO4:EZO5"/>
    <mergeCell ref="EZP4:EZP5"/>
    <mergeCell ref="EZQ4:EZQ5"/>
    <mergeCell ref="EZR4:EZR5"/>
    <mergeCell ref="EZS4:EZS5"/>
    <mergeCell ref="FCB4:FCB5"/>
    <mergeCell ref="FCC4:FCC5"/>
    <mergeCell ref="FCD4:FCD5"/>
    <mergeCell ref="FCE4:FCE5"/>
    <mergeCell ref="FCF4:FCF5"/>
    <mergeCell ref="FBW4:FBW5"/>
    <mergeCell ref="FBX4:FBX5"/>
    <mergeCell ref="FBY4:FBY5"/>
    <mergeCell ref="FBZ4:FBZ5"/>
    <mergeCell ref="FCA4:FCA5"/>
    <mergeCell ref="FBR4:FBR5"/>
    <mergeCell ref="FBS4:FBS5"/>
    <mergeCell ref="FBT4:FBT5"/>
    <mergeCell ref="FBU4:FBU5"/>
    <mergeCell ref="FBV4:FBV5"/>
    <mergeCell ref="FBM4:FBM5"/>
    <mergeCell ref="FBN4:FBN5"/>
    <mergeCell ref="FBO4:FBO5"/>
    <mergeCell ref="FBP4:FBP5"/>
    <mergeCell ref="FBQ4:FBQ5"/>
    <mergeCell ref="FBH4:FBH5"/>
    <mergeCell ref="FBI4:FBI5"/>
    <mergeCell ref="FBJ4:FBJ5"/>
    <mergeCell ref="FBK4:FBK5"/>
    <mergeCell ref="FBL4:FBL5"/>
    <mergeCell ref="FBC4:FBC5"/>
    <mergeCell ref="FBD4:FBD5"/>
    <mergeCell ref="FBE4:FBE5"/>
    <mergeCell ref="FBF4:FBF5"/>
    <mergeCell ref="FBG4:FBG5"/>
    <mergeCell ref="FAX4:FAX5"/>
    <mergeCell ref="FAY4:FAY5"/>
    <mergeCell ref="FAZ4:FAZ5"/>
    <mergeCell ref="FBA4:FBA5"/>
    <mergeCell ref="FBB4:FBB5"/>
    <mergeCell ref="FDK4:FDK5"/>
    <mergeCell ref="FDL4:FDL5"/>
    <mergeCell ref="FDM4:FDM5"/>
    <mergeCell ref="FDN4:FDN5"/>
    <mergeCell ref="FDO4:FDO5"/>
    <mergeCell ref="FDF4:FDF5"/>
    <mergeCell ref="FDG4:FDG5"/>
    <mergeCell ref="FDH4:FDH5"/>
    <mergeCell ref="FDI4:FDI5"/>
    <mergeCell ref="FDJ4:FDJ5"/>
    <mergeCell ref="FDA4:FDA5"/>
    <mergeCell ref="FDB4:FDB5"/>
    <mergeCell ref="FDC4:FDC5"/>
    <mergeCell ref="FDD4:FDD5"/>
    <mergeCell ref="FDE4:FDE5"/>
    <mergeCell ref="FCV4:FCV5"/>
    <mergeCell ref="FCW4:FCW5"/>
    <mergeCell ref="FCX4:FCX5"/>
    <mergeCell ref="FCY4:FCY5"/>
    <mergeCell ref="FCZ4:FCZ5"/>
    <mergeCell ref="FCQ4:FCQ5"/>
    <mergeCell ref="FCR4:FCR5"/>
    <mergeCell ref="FCS4:FCS5"/>
    <mergeCell ref="FCT4:FCT5"/>
    <mergeCell ref="FCU4:FCU5"/>
    <mergeCell ref="FCL4:FCL5"/>
    <mergeCell ref="FCM4:FCM5"/>
    <mergeCell ref="FCN4:FCN5"/>
    <mergeCell ref="FCO4:FCO5"/>
    <mergeCell ref="FCP4:FCP5"/>
    <mergeCell ref="FCG4:FCG5"/>
    <mergeCell ref="FCH4:FCH5"/>
    <mergeCell ref="FCI4:FCI5"/>
    <mergeCell ref="FCJ4:FCJ5"/>
    <mergeCell ref="FCK4:FCK5"/>
    <mergeCell ref="FET4:FET5"/>
    <mergeCell ref="FEU4:FEU5"/>
    <mergeCell ref="FEV4:FEV5"/>
    <mergeCell ref="FEW4:FEW5"/>
    <mergeCell ref="FEX4:FEX5"/>
    <mergeCell ref="FEO4:FEO5"/>
    <mergeCell ref="FEP4:FEP5"/>
    <mergeCell ref="FEQ4:FEQ5"/>
    <mergeCell ref="FER4:FER5"/>
    <mergeCell ref="FES4:FES5"/>
    <mergeCell ref="FEJ4:FEJ5"/>
    <mergeCell ref="FEK4:FEK5"/>
    <mergeCell ref="FEL4:FEL5"/>
    <mergeCell ref="FEM4:FEM5"/>
    <mergeCell ref="FEN4:FEN5"/>
    <mergeCell ref="FEE4:FEE5"/>
    <mergeCell ref="FEF4:FEF5"/>
    <mergeCell ref="FEG4:FEG5"/>
    <mergeCell ref="FEH4:FEH5"/>
    <mergeCell ref="FEI4:FEI5"/>
    <mergeCell ref="FDZ4:FDZ5"/>
    <mergeCell ref="FEA4:FEA5"/>
    <mergeCell ref="FEB4:FEB5"/>
    <mergeCell ref="FEC4:FEC5"/>
    <mergeCell ref="FED4:FED5"/>
    <mergeCell ref="FDU4:FDU5"/>
    <mergeCell ref="FDV4:FDV5"/>
    <mergeCell ref="FDW4:FDW5"/>
    <mergeCell ref="FDX4:FDX5"/>
    <mergeCell ref="FDY4:FDY5"/>
    <mergeCell ref="FDP4:FDP5"/>
    <mergeCell ref="FDQ4:FDQ5"/>
    <mergeCell ref="FDR4:FDR5"/>
    <mergeCell ref="FDS4:FDS5"/>
    <mergeCell ref="FDT4:FDT5"/>
    <mergeCell ref="FGC4:FGC5"/>
    <mergeCell ref="FGD4:FGD5"/>
    <mergeCell ref="FGE4:FGE5"/>
    <mergeCell ref="FGF4:FGF5"/>
    <mergeCell ref="FGG4:FGG5"/>
    <mergeCell ref="FFX4:FFX5"/>
    <mergeCell ref="FFY4:FFY5"/>
    <mergeCell ref="FFZ4:FFZ5"/>
    <mergeCell ref="FGA4:FGA5"/>
    <mergeCell ref="FGB4:FGB5"/>
    <mergeCell ref="FFS4:FFS5"/>
    <mergeCell ref="FFT4:FFT5"/>
    <mergeCell ref="FFU4:FFU5"/>
    <mergeCell ref="FFV4:FFV5"/>
    <mergeCell ref="FFW4:FFW5"/>
    <mergeCell ref="FFN4:FFN5"/>
    <mergeCell ref="FFO4:FFO5"/>
    <mergeCell ref="FFP4:FFP5"/>
    <mergeCell ref="FFQ4:FFQ5"/>
    <mergeCell ref="FFR4:FFR5"/>
    <mergeCell ref="FFI4:FFI5"/>
    <mergeCell ref="FFJ4:FFJ5"/>
    <mergeCell ref="FFK4:FFK5"/>
    <mergeCell ref="FFL4:FFL5"/>
    <mergeCell ref="FFM4:FFM5"/>
    <mergeCell ref="FFD4:FFD5"/>
    <mergeCell ref="FFE4:FFE5"/>
    <mergeCell ref="FFF4:FFF5"/>
    <mergeCell ref="FFG4:FFG5"/>
    <mergeCell ref="FFH4:FFH5"/>
    <mergeCell ref="FEY4:FEY5"/>
    <mergeCell ref="FEZ4:FEZ5"/>
    <mergeCell ref="FFA4:FFA5"/>
    <mergeCell ref="FFB4:FFB5"/>
    <mergeCell ref="FFC4:FFC5"/>
    <mergeCell ref="FHL4:FHL5"/>
    <mergeCell ref="FHM4:FHM5"/>
    <mergeCell ref="FHN4:FHN5"/>
    <mergeCell ref="FHO4:FHO5"/>
    <mergeCell ref="FHP4:FHP5"/>
    <mergeCell ref="FHG4:FHG5"/>
    <mergeCell ref="FHH4:FHH5"/>
    <mergeCell ref="FHI4:FHI5"/>
    <mergeCell ref="FHJ4:FHJ5"/>
    <mergeCell ref="FHK4:FHK5"/>
    <mergeCell ref="FHB4:FHB5"/>
    <mergeCell ref="FHC4:FHC5"/>
    <mergeCell ref="FHD4:FHD5"/>
    <mergeCell ref="FHE4:FHE5"/>
    <mergeCell ref="FHF4:FHF5"/>
    <mergeCell ref="FGW4:FGW5"/>
    <mergeCell ref="FGX4:FGX5"/>
    <mergeCell ref="FGY4:FGY5"/>
    <mergeCell ref="FGZ4:FGZ5"/>
    <mergeCell ref="FHA4:FHA5"/>
    <mergeCell ref="FGR4:FGR5"/>
    <mergeCell ref="FGS4:FGS5"/>
    <mergeCell ref="FGT4:FGT5"/>
    <mergeCell ref="FGU4:FGU5"/>
    <mergeCell ref="FGV4:FGV5"/>
    <mergeCell ref="FGM4:FGM5"/>
    <mergeCell ref="FGN4:FGN5"/>
    <mergeCell ref="FGO4:FGO5"/>
    <mergeCell ref="FGP4:FGP5"/>
    <mergeCell ref="FGQ4:FGQ5"/>
    <mergeCell ref="FGH4:FGH5"/>
    <mergeCell ref="FGI4:FGI5"/>
    <mergeCell ref="FGJ4:FGJ5"/>
    <mergeCell ref="FGK4:FGK5"/>
    <mergeCell ref="FGL4:FGL5"/>
    <mergeCell ref="FIU4:FIU5"/>
    <mergeCell ref="FIV4:FIV5"/>
    <mergeCell ref="FIW4:FIW5"/>
    <mergeCell ref="FIX4:FIX5"/>
    <mergeCell ref="FIY4:FIY5"/>
    <mergeCell ref="FIP4:FIP5"/>
    <mergeCell ref="FIQ4:FIQ5"/>
    <mergeCell ref="FIR4:FIR5"/>
    <mergeCell ref="FIS4:FIS5"/>
    <mergeCell ref="FIT4:FIT5"/>
    <mergeCell ref="FIK4:FIK5"/>
    <mergeCell ref="FIL4:FIL5"/>
    <mergeCell ref="FIM4:FIM5"/>
    <mergeCell ref="FIN4:FIN5"/>
    <mergeCell ref="FIO4:FIO5"/>
    <mergeCell ref="FIF4:FIF5"/>
    <mergeCell ref="FIG4:FIG5"/>
    <mergeCell ref="FIH4:FIH5"/>
    <mergeCell ref="FII4:FII5"/>
    <mergeCell ref="FIJ4:FIJ5"/>
    <mergeCell ref="FIA4:FIA5"/>
    <mergeCell ref="FIB4:FIB5"/>
    <mergeCell ref="FIC4:FIC5"/>
    <mergeCell ref="FID4:FID5"/>
    <mergeCell ref="FIE4:FIE5"/>
    <mergeCell ref="FHV4:FHV5"/>
    <mergeCell ref="FHW4:FHW5"/>
    <mergeCell ref="FHX4:FHX5"/>
    <mergeCell ref="FHY4:FHY5"/>
    <mergeCell ref="FHZ4:FHZ5"/>
    <mergeCell ref="FHQ4:FHQ5"/>
    <mergeCell ref="FHR4:FHR5"/>
    <mergeCell ref="FHS4:FHS5"/>
    <mergeCell ref="FHT4:FHT5"/>
    <mergeCell ref="FHU4:FHU5"/>
    <mergeCell ref="FKD4:FKD5"/>
    <mergeCell ref="FKE4:FKE5"/>
    <mergeCell ref="FKF4:FKF5"/>
    <mergeCell ref="FKG4:FKG5"/>
    <mergeCell ref="FKH4:FKH5"/>
    <mergeCell ref="FJY4:FJY5"/>
    <mergeCell ref="FJZ4:FJZ5"/>
    <mergeCell ref="FKA4:FKA5"/>
    <mergeCell ref="FKB4:FKB5"/>
    <mergeCell ref="FKC4:FKC5"/>
    <mergeCell ref="FJT4:FJT5"/>
    <mergeCell ref="FJU4:FJU5"/>
    <mergeCell ref="FJV4:FJV5"/>
    <mergeCell ref="FJW4:FJW5"/>
    <mergeCell ref="FJX4:FJX5"/>
    <mergeCell ref="FJO4:FJO5"/>
    <mergeCell ref="FJP4:FJP5"/>
    <mergeCell ref="FJQ4:FJQ5"/>
    <mergeCell ref="FJR4:FJR5"/>
    <mergeCell ref="FJS4:FJS5"/>
    <mergeCell ref="FJJ4:FJJ5"/>
    <mergeCell ref="FJK4:FJK5"/>
    <mergeCell ref="FJL4:FJL5"/>
    <mergeCell ref="FJM4:FJM5"/>
    <mergeCell ref="FJN4:FJN5"/>
    <mergeCell ref="FJE4:FJE5"/>
    <mergeCell ref="FJF4:FJF5"/>
    <mergeCell ref="FJG4:FJG5"/>
    <mergeCell ref="FJH4:FJH5"/>
    <mergeCell ref="FJI4:FJI5"/>
    <mergeCell ref="FIZ4:FIZ5"/>
    <mergeCell ref="FJA4:FJA5"/>
    <mergeCell ref="FJB4:FJB5"/>
    <mergeCell ref="FJC4:FJC5"/>
    <mergeCell ref="FJD4:FJD5"/>
    <mergeCell ref="FLM4:FLM5"/>
    <mergeCell ref="FLN4:FLN5"/>
    <mergeCell ref="FLO4:FLO5"/>
    <mergeCell ref="FLP4:FLP5"/>
    <mergeCell ref="FLQ4:FLQ5"/>
    <mergeCell ref="FLH4:FLH5"/>
    <mergeCell ref="FLI4:FLI5"/>
    <mergeCell ref="FLJ4:FLJ5"/>
    <mergeCell ref="FLK4:FLK5"/>
    <mergeCell ref="FLL4:FLL5"/>
    <mergeCell ref="FLC4:FLC5"/>
    <mergeCell ref="FLD4:FLD5"/>
    <mergeCell ref="FLE4:FLE5"/>
    <mergeCell ref="FLF4:FLF5"/>
    <mergeCell ref="FLG4:FLG5"/>
    <mergeCell ref="FKX4:FKX5"/>
    <mergeCell ref="FKY4:FKY5"/>
    <mergeCell ref="FKZ4:FKZ5"/>
    <mergeCell ref="FLA4:FLA5"/>
    <mergeCell ref="FLB4:FLB5"/>
    <mergeCell ref="FKS4:FKS5"/>
    <mergeCell ref="FKT4:FKT5"/>
    <mergeCell ref="FKU4:FKU5"/>
    <mergeCell ref="FKV4:FKV5"/>
    <mergeCell ref="FKW4:FKW5"/>
    <mergeCell ref="FKN4:FKN5"/>
    <mergeCell ref="FKO4:FKO5"/>
    <mergeCell ref="FKP4:FKP5"/>
    <mergeCell ref="FKQ4:FKQ5"/>
    <mergeCell ref="FKR4:FKR5"/>
    <mergeCell ref="FKI4:FKI5"/>
    <mergeCell ref="FKJ4:FKJ5"/>
    <mergeCell ref="FKK4:FKK5"/>
    <mergeCell ref="FKL4:FKL5"/>
    <mergeCell ref="FKM4:FKM5"/>
    <mergeCell ref="FMV4:FMV5"/>
    <mergeCell ref="FMW4:FMW5"/>
    <mergeCell ref="FMX4:FMX5"/>
    <mergeCell ref="FMY4:FMY5"/>
    <mergeCell ref="FMZ4:FMZ5"/>
    <mergeCell ref="FMQ4:FMQ5"/>
    <mergeCell ref="FMR4:FMR5"/>
    <mergeCell ref="FMS4:FMS5"/>
    <mergeCell ref="FMT4:FMT5"/>
    <mergeCell ref="FMU4:FMU5"/>
    <mergeCell ref="FML4:FML5"/>
    <mergeCell ref="FMM4:FMM5"/>
    <mergeCell ref="FMN4:FMN5"/>
    <mergeCell ref="FMO4:FMO5"/>
    <mergeCell ref="FMP4:FMP5"/>
    <mergeCell ref="FMG4:FMG5"/>
    <mergeCell ref="FMH4:FMH5"/>
    <mergeCell ref="FMI4:FMI5"/>
    <mergeCell ref="FMJ4:FMJ5"/>
    <mergeCell ref="FMK4:FMK5"/>
    <mergeCell ref="FMB4:FMB5"/>
    <mergeCell ref="FMC4:FMC5"/>
    <mergeCell ref="FMD4:FMD5"/>
    <mergeCell ref="FME4:FME5"/>
    <mergeCell ref="FMF4:FMF5"/>
    <mergeCell ref="FLW4:FLW5"/>
    <mergeCell ref="FLX4:FLX5"/>
    <mergeCell ref="FLY4:FLY5"/>
    <mergeCell ref="FLZ4:FLZ5"/>
    <mergeCell ref="FMA4:FMA5"/>
    <mergeCell ref="FLR4:FLR5"/>
    <mergeCell ref="FLS4:FLS5"/>
    <mergeCell ref="FLT4:FLT5"/>
    <mergeCell ref="FLU4:FLU5"/>
    <mergeCell ref="FLV4:FLV5"/>
    <mergeCell ref="FOE4:FOE5"/>
    <mergeCell ref="FOF4:FOF5"/>
    <mergeCell ref="FOG4:FOG5"/>
    <mergeCell ref="FOH4:FOH5"/>
    <mergeCell ref="FOI4:FOI5"/>
    <mergeCell ref="FNZ4:FNZ5"/>
    <mergeCell ref="FOA4:FOA5"/>
    <mergeCell ref="FOB4:FOB5"/>
    <mergeCell ref="FOC4:FOC5"/>
    <mergeCell ref="FOD4:FOD5"/>
    <mergeCell ref="FNU4:FNU5"/>
    <mergeCell ref="FNV4:FNV5"/>
    <mergeCell ref="FNW4:FNW5"/>
    <mergeCell ref="FNX4:FNX5"/>
    <mergeCell ref="FNY4:FNY5"/>
    <mergeCell ref="FNP4:FNP5"/>
    <mergeCell ref="FNQ4:FNQ5"/>
    <mergeCell ref="FNR4:FNR5"/>
    <mergeCell ref="FNS4:FNS5"/>
    <mergeCell ref="FNT4:FNT5"/>
    <mergeCell ref="FNK4:FNK5"/>
    <mergeCell ref="FNL4:FNL5"/>
    <mergeCell ref="FNM4:FNM5"/>
    <mergeCell ref="FNN4:FNN5"/>
    <mergeCell ref="FNO4:FNO5"/>
    <mergeCell ref="FNF4:FNF5"/>
    <mergeCell ref="FNG4:FNG5"/>
    <mergeCell ref="FNH4:FNH5"/>
    <mergeCell ref="FNI4:FNI5"/>
    <mergeCell ref="FNJ4:FNJ5"/>
    <mergeCell ref="FNA4:FNA5"/>
    <mergeCell ref="FNB4:FNB5"/>
    <mergeCell ref="FNC4:FNC5"/>
    <mergeCell ref="FND4:FND5"/>
    <mergeCell ref="FNE4:FNE5"/>
    <mergeCell ref="FPN4:FPN5"/>
    <mergeCell ref="FPO4:FPO5"/>
    <mergeCell ref="FPP4:FPP5"/>
    <mergeCell ref="FPQ4:FPQ5"/>
    <mergeCell ref="FPR4:FPR5"/>
    <mergeCell ref="FPI4:FPI5"/>
    <mergeCell ref="FPJ4:FPJ5"/>
    <mergeCell ref="FPK4:FPK5"/>
    <mergeCell ref="FPL4:FPL5"/>
    <mergeCell ref="FPM4:FPM5"/>
    <mergeCell ref="FPD4:FPD5"/>
    <mergeCell ref="FPE4:FPE5"/>
    <mergeCell ref="FPF4:FPF5"/>
    <mergeCell ref="FPG4:FPG5"/>
    <mergeCell ref="FPH4:FPH5"/>
    <mergeCell ref="FOY4:FOY5"/>
    <mergeCell ref="FOZ4:FOZ5"/>
    <mergeCell ref="FPA4:FPA5"/>
    <mergeCell ref="FPB4:FPB5"/>
    <mergeCell ref="FPC4:FPC5"/>
    <mergeCell ref="FOT4:FOT5"/>
    <mergeCell ref="FOU4:FOU5"/>
    <mergeCell ref="FOV4:FOV5"/>
    <mergeCell ref="FOW4:FOW5"/>
    <mergeCell ref="FOX4:FOX5"/>
    <mergeCell ref="FOO4:FOO5"/>
    <mergeCell ref="FOP4:FOP5"/>
    <mergeCell ref="FOQ4:FOQ5"/>
    <mergeCell ref="FOR4:FOR5"/>
    <mergeCell ref="FOS4:FOS5"/>
    <mergeCell ref="FOJ4:FOJ5"/>
    <mergeCell ref="FOK4:FOK5"/>
    <mergeCell ref="FOL4:FOL5"/>
    <mergeCell ref="FOM4:FOM5"/>
    <mergeCell ref="FON4:FON5"/>
    <mergeCell ref="FQW4:FQW5"/>
    <mergeCell ref="FQX4:FQX5"/>
    <mergeCell ref="FQY4:FQY5"/>
    <mergeCell ref="FQZ4:FQZ5"/>
    <mergeCell ref="FRA4:FRA5"/>
    <mergeCell ref="FQR4:FQR5"/>
    <mergeCell ref="FQS4:FQS5"/>
    <mergeCell ref="FQT4:FQT5"/>
    <mergeCell ref="FQU4:FQU5"/>
    <mergeCell ref="FQV4:FQV5"/>
    <mergeCell ref="FQM4:FQM5"/>
    <mergeCell ref="FQN4:FQN5"/>
    <mergeCell ref="FQO4:FQO5"/>
    <mergeCell ref="FQP4:FQP5"/>
    <mergeCell ref="FQQ4:FQQ5"/>
    <mergeCell ref="FQH4:FQH5"/>
    <mergeCell ref="FQI4:FQI5"/>
    <mergeCell ref="FQJ4:FQJ5"/>
    <mergeCell ref="FQK4:FQK5"/>
    <mergeCell ref="FQL4:FQL5"/>
    <mergeCell ref="FQC4:FQC5"/>
    <mergeCell ref="FQD4:FQD5"/>
    <mergeCell ref="FQE4:FQE5"/>
    <mergeCell ref="FQF4:FQF5"/>
    <mergeCell ref="FQG4:FQG5"/>
    <mergeCell ref="FPX4:FPX5"/>
    <mergeCell ref="FPY4:FPY5"/>
    <mergeCell ref="FPZ4:FPZ5"/>
    <mergeCell ref="FQA4:FQA5"/>
    <mergeCell ref="FQB4:FQB5"/>
    <mergeCell ref="FPS4:FPS5"/>
    <mergeCell ref="FPT4:FPT5"/>
    <mergeCell ref="FPU4:FPU5"/>
    <mergeCell ref="FPV4:FPV5"/>
    <mergeCell ref="FPW4:FPW5"/>
    <mergeCell ref="FSF4:FSF5"/>
    <mergeCell ref="FSG4:FSG5"/>
    <mergeCell ref="FSH4:FSH5"/>
    <mergeCell ref="FSI4:FSI5"/>
    <mergeCell ref="FSJ4:FSJ5"/>
    <mergeCell ref="FSA4:FSA5"/>
    <mergeCell ref="FSB4:FSB5"/>
    <mergeCell ref="FSC4:FSC5"/>
    <mergeCell ref="FSD4:FSD5"/>
    <mergeCell ref="FSE4:FSE5"/>
    <mergeCell ref="FRV4:FRV5"/>
    <mergeCell ref="FRW4:FRW5"/>
    <mergeCell ref="FRX4:FRX5"/>
    <mergeCell ref="FRY4:FRY5"/>
    <mergeCell ref="FRZ4:FRZ5"/>
    <mergeCell ref="FRQ4:FRQ5"/>
    <mergeCell ref="FRR4:FRR5"/>
    <mergeCell ref="FRS4:FRS5"/>
    <mergeCell ref="FRT4:FRT5"/>
    <mergeCell ref="FRU4:FRU5"/>
    <mergeCell ref="FRL4:FRL5"/>
    <mergeCell ref="FRM4:FRM5"/>
    <mergeCell ref="FRN4:FRN5"/>
    <mergeCell ref="FRO4:FRO5"/>
    <mergeCell ref="FRP4:FRP5"/>
    <mergeCell ref="FRG4:FRG5"/>
    <mergeCell ref="FRH4:FRH5"/>
    <mergeCell ref="FRI4:FRI5"/>
    <mergeCell ref="FRJ4:FRJ5"/>
    <mergeCell ref="FRK4:FRK5"/>
    <mergeCell ref="FRB4:FRB5"/>
    <mergeCell ref="FRC4:FRC5"/>
    <mergeCell ref="FRD4:FRD5"/>
    <mergeCell ref="FRE4:FRE5"/>
    <mergeCell ref="FRF4:FRF5"/>
    <mergeCell ref="FTO4:FTO5"/>
    <mergeCell ref="FTP4:FTP5"/>
    <mergeCell ref="FTQ4:FTQ5"/>
    <mergeCell ref="FTR4:FTR5"/>
    <mergeCell ref="FTS4:FTS5"/>
    <mergeCell ref="FTJ4:FTJ5"/>
    <mergeCell ref="FTK4:FTK5"/>
    <mergeCell ref="FTL4:FTL5"/>
    <mergeCell ref="FTM4:FTM5"/>
    <mergeCell ref="FTN4:FTN5"/>
    <mergeCell ref="FTE4:FTE5"/>
    <mergeCell ref="FTF4:FTF5"/>
    <mergeCell ref="FTG4:FTG5"/>
    <mergeCell ref="FTH4:FTH5"/>
    <mergeCell ref="FTI4:FTI5"/>
    <mergeCell ref="FSZ4:FSZ5"/>
    <mergeCell ref="FTA4:FTA5"/>
    <mergeCell ref="FTB4:FTB5"/>
    <mergeCell ref="FTC4:FTC5"/>
    <mergeCell ref="FTD4:FTD5"/>
    <mergeCell ref="FSU4:FSU5"/>
    <mergeCell ref="FSV4:FSV5"/>
    <mergeCell ref="FSW4:FSW5"/>
    <mergeCell ref="FSX4:FSX5"/>
    <mergeCell ref="FSY4:FSY5"/>
    <mergeCell ref="FSP4:FSP5"/>
    <mergeCell ref="FSQ4:FSQ5"/>
    <mergeCell ref="FSR4:FSR5"/>
    <mergeCell ref="FSS4:FSS5"/>
    <mergeCell ref="FST4:FST5"/>
    <mergeCell ref="FSK4:FSK5"/>
    <mergeCell ref="FSL4:FSL5"/>
    <mergeCell ref="FSM4:FSM5"/>
    <mergeCell ref="FSN4:FSN5"/>
    <mergeCell ref="FSO4:FSO5"/>
    <mergeCell ref="FUX4:FUX5"/>
    <mergeCell ref="FUY4:FUY5"/>
    <mergeCell ref="FUZ4:FUZ5"/>
    <mergeCell ref="FVA4:FVA5"/>
    <mergeCell ref="FVB4:FVB5"/>
    <mergeCell ref="FUS4:FUS5"/>
    <mergeCell ref="FUT4:FUT5"/>
    <mergeCell ref="FUU4:FUU5"/>
    <mergeCell ref="FUV4:FUV5"/>
    <mergeCell ref="FUW4:FUW5"/>
    <mergeCell ref="FUN4:FUN5"/>
    <mergeCell ref="FUO4:FUO5"/>
    <mergeCell ref="FUP4:FUP5"/>
    <mergeCell ref="FUQ4:FUQ5"/>
    <mergeCell ref="FUR4:FUR5"/>
    <mergeCell ref="FUI4:FUI5"/>
    <mergeCell ref="FUJ4:FUJ5"/>
    <mergeCell ref="FUK4:FUK5"/>
    <mergeCell ref="FUL4:FUL5"/>
    <mergeCell ref="FUM4:FUM5"/>
    <mergeCell ref="FUD4:FUD5"/>
    <mergeCell ref="FUE4:FUE5"/>
    <mergeCell ref="FUF4:FUF5"/>
    <mergeCell ref="FUG4:FUG5"/>
    <mergeCell ref="FUH4:FUH5"/>
    <mergeCell ref="FTY4:FTY5"/>
    <mergeCell ref="FTZ4:FTZ5"/>
    <mergeCell ref="FUA4:FUA5"/>
    <mergeCell ref="FUB4:FUB5"/>
    <mergeCell ref="FUC4:FUC5"/>
    <mergeCell ref="FTT4:FTT5"/>
    <mergeCell ref="FTU4:FTU5"/>
    <mergeCell ref="FTV4:FTV5"/>
    <mergeCell ref="FTW4:FTW5"/>
    <mergeCell ref="FTX4:FTX5"/>
    <mergeCell ref="FWG4:FWG5"/>
    <mergeCell ref="FWH4:FWH5"/>
    <mergeCell ref="FWI4:FWI5"/>
    <mergeCell ref="FWJ4:FWJ5"/>
    <mergeCell ref="FWK4:FWK5"/>
    <mergeCell ref="FWB4:FWB5"/>
    <mergeCell ref="FWC4:FWC5"/>
    <mergeCell ref="FWD4:FWD5"/>
    <mergeCell ref="FWE4:FWE5"/>
    <mergeCell ref="FWF4:FWF5"/>
    <mergeCell ref="FVW4:FVW5"/>
    <mergeCell ref="FVX4:FVX5"/>
    <mergeCell ref="FVY4:FVY5"/>
    <mergeCell ref="FVZ4:FVZ5"/>
    <mergeCell ref="FWA4:FWA5"/>
    <mergeCell ref="FVR4:FVR5"/>
    <mergeCell ref="FVS4:FVS5"/>
    <mergeCell ref="FVT4:FVT5"/>
    <mergeCell ref="FVU4:FVU5"/>
    <mergeCell ref="FVV4:FVV5"/>
    <mergeCell ref="FVM4:FVM5"/>
    <mergeCell ref="FVN4:FVN5"/>
    <mergeCell ref="FVO4:FVO5"/>
    <mergeCell ref="FVP4:FVP5"/>
    <mergeCell ref="FVQ4:FVQ5"/>
    <mergeCell ref="FVH4:FVH5"/>
    <mergeCell ref="FVI4:FVI5"/>
    <mergeCell ref="FVJ4:FVJ5"/>
    <mergeCell ref="FVK4:FVK5"/>
    <mergeCell ref="FVL4:FVL5"/>
    <mergeCell ref="FVC4:FVC5"/>
    <mergeCell ref="FVD4:FVD5"/>
    <mergeCell ref="FVE4:FVE5"/>
    <mergeCell ref="FVF4:FVF5"/>
    <mergeCell ref="FVG4:FVG5"/>
    <mergeCell ref="FXP4:FXP5"/>
    <mergeCell ref="FXQ4:FXQ5"/>
    <mergeCell ref="FXR4:FXR5"/>
    <mergeCell ref="FXS4:FXS5"/>
    <mergeCell ref="FXT4:FXT5"/>
    <mergeCell ref="FXK4:FXK5"/>
    <mergeCell ref="FXL4:FXL5"/>
    <mergeCell ref="FXM4:FXM5"/>
    <mergeCell ref="FXN4:FXN5"/>
    <mergeCell ref="FXO4:FXO5"/>
    <mergeCell ref="FXF4:FXF5"/>
    <mergeCell ref="FXG4:FXG5"/>
    <mergeCell ref="FXH4:FXH5"/>
    <mergeCell ref="FXI4:FXI5"/>
    <mergeCell ref="FXJ4:FXJ5"/>
    <mergeCell ref="FXA4:FXA5"/>
    <mergeCell ref="FXB4:FXB5"/>
    <mergeCell ref="FXC4:FXC5"/>
    <mergeCell ref="FXD4:FXD5"/>
    <mergeCell ref="FXE4:FXE5"/>
    <mergeCell ref="FWV4:FWV5"/>
    <mergeCell ref="FWW4:FWW5"/>
    <mergeCell ref="FWX4:FWX5"/>
    <mergeCell ref="FWY4:FWY5"/>
    <mergeCell ref="FWZ4:FWZ5"/>
    <mergeCell ref="FWQ4:FWQ5"/>
    <mergeCell ref="FWR4:FWR5"/>
    <mergeCell ref="FWS4:FWS5"/>
    <mergeCell ref="FWT4:FWT5"/>
    <mergeCell ref="FWU4:FWU5"/>
    <mergeCell ref="FWL4:FWL5"/>
    <mergeCell ref="FWM4:FWM5"/>
    <mergeCell ref="FWN4:FWN5"/>
    <mergeCell ref="FWO4:FWO5"/>
    <mergeCell ref="FWP4:FWP5"/>
    <mergeCell ref="FYY4:FYY5"/>
    <mergeCell ref="FYZ4:FYZ5"/>
    <mergeCell ref="FZA4:FZA5"/>
    <mergeCell ref="FZB4:FZB5"/>
    <mergeCell ref="FZC4:FZC5"/>
    <mergeCell ref="FYT4:FYT5"/>
    <mergeCell ref="FYU4:FYU5"/>
    <mergeCell ref="FYV4:FYV5"/>
    <mergeCell ref="FYW4:FYW5"/>
    <mergeCell ref="FYX4:FYX5"/>
    <mergeCell ref="FYO4:FYO5"/>
    <mergeCell ref="FYP4:FYP5"/>
    <mergeCell ref="FYQ4:FYQ5"/>
    <mergeCell ref="FYR4:FYR5"/>
    <mergeCell ref="FYS4:FYS5"/>
    <mergeCell ref="FYJ4:FYJ5"/>
    <mergeCell ref="FYK4:FYK5"/>
    <mergeCell ref="FYL4:FYL5"/>
    <mergeCell ref="FYM4:FYM5"/>
    <mergeCell ref="FYN4:FYN5"/>
    <mergeCell ref="FYE4:FYE5"/>
    <mergeCell ref="FYF4:FYF5"/>
    <mergeCell ref="FYG4:FYG5"/>
    <mergeCell ref="FYH4:FYH5"/>
    <mergeCell ref="FYI4:FYI5"/>
    <mergeCell ref="FXZ4:FXZ5"/>
    <mergeCell ref="FYA4:FYA5"/>
    <mergeCell ref="FYB4:FYB5"/>
    <mergeCell ref="FYC4:FYC5"/>
    <mergeCell ref="FYD4:FYD5"/>
    <mergeCell ref="FXU4:FXU5"/>
    <mergeCell ref="FXV4:FXV5"/>
    <mergeCell ref="FXW4:FXW5"/>
    <mergeCell ref="FXX4:FXX5"/>
    <mergeCell ref="FXY4:FXY5"/>
    <mergeCell ref="GAH4:GAH5"/>
    <mergeCell ref="GAI4:GAI5"/>
    <mergeCell ref="GAJ4:GAJ5"/>
    <mergeCell ref="GAK4:GAK5"/>
    <mergeCell ref="GAL4:GAL5"/>
    <mergeCell ref="GAC4:GAC5"/>
    <mergeCell ref="GAD4:GAD5"/>
    <mergeCell ref="GAE4:GAE5"/>
    <mergeCell ref="GAF4:GAF5"/>
    <mergeCell ref="GAG4:GAG5"/>
    <mergeCell ref="FZX4:FZX5"/>
    <mergeCell ref="FZY4:FZY5"/>
    <mergeCell ref="FZZ4:FZZ5"/>
    <mergeCell ref="GAA4:GAA5"/>
    <mergeCell ref="GAB4:GAB5"/>
    <mergeCell ref="FZS4:FZS5"/>
    <mergeCell ref="FZT4:FZT5"/>
    <mergeCell ref="FZU4:FZU5"/>
    <mergeCell ref="FZV4:FZV5"/>
    <mergeCell ref="FZW4:FZW5"/>
    <mergeCell ref="FZN4:FZN5"/>
    <mergeCell ref="FZO4:FZO5"/>
    <mergeCell ref="FZP4:FZP5"/>
    <mergeCell ref="FZQ4:FZQ5"/>
    <mergeCell ref="FZR4:FZR5"/>
    <mergeCell ref="FZI4:FZI5"/>
    <mergeCell ref="FZJ4:FZJ5"/>
    <mergeCell ref="FZK4:FZK5"/>
    <mergeCell ref="FZL4:FZL5"/>
    <mergeCell ref="FZM4:FZM5"/>
    <mergeCell ref="FZD4:FZD5"/>
    <mergeCell ref="FZE4:FZE5"/>
    <mergeCell ref="FZF4:FZF5"/>
    <mergeCell ref="FZG4:FZG5"/>
    <mergeCell ref="FZH4:FZH5"/>
    <mergeCell ref="GBQ4:GBQ5"/>
    <mergeCell ref="GBR4:GBR5"/>
    <mergeCell ref="GBS4:GBS5"/>
    <mergeCell ref="GBT4:GBT5"/>
    <mergeCell ref="GBU4:GBU5"/>
    <mergeCell ref="GBL4:GBL5"/>
    <mergeCell ref="GBM4:GBM5"/>
    <mergeCell ref="GBN4:GBN5"/>
    <mergeCell ref="GBO4:GBO5"/>
    <mergeCell ref="GBP4:GBP5"/>
    <mergeCell ref="GBG4:GBG5"/>
    <mergeCell ref="GBH4:GBH5"/>
    <mergeCell ref="GBI4:GBI5"/>
    <mergeCell ref="GBJ4:GBJ5"/>
    <mergeCell ref="GBK4:GBK5"/>
    <mergeCell ref="GBB4:GBB5"/>
    <mergeCell ref="GBC4:GBC5"/>
    <mergeCell ref="GBD4:GBD5"/>
    <mergeCell ref="GBE4:GBE5"/>
    <mergeCell ref="GBF4:GBF5"/>
    <mergeCell ref="GAW4:GAW5"/>
    <mergeCell ref="GAX4:GAX5"/>
    <mergeCell ref="GAY4:GAY5"/>
    <mergeCell ref="GAZ4:GAZ5"/>
    <mergeCell ref="GBA4:GBA5"/>
    <mergeCell ref="GAR4:GAR5"/>
    <mergeCell ref="GAS4:GAS5"/>
    <mergeCell ref="GAT4:GAT5"/>
    <mergeCell ref="GAU4:GAU5"/>
    <mergeCell ref="GAV4:GAV5"/>
    <mergeCell ref="GAM4:GAM5"/>
    <mergeCell ref="GAN4:GAN5"/>
    <mergeCell ref="GAO4:GAO5"/>
    <mergeCell ref="GAP4:GAP5"/>
    <mergeCell ref="GAQ4:GAQ5"/>
    <mergeCell ref="GCZ4:GCZ5"/>
    <mergeCell ref="GDA4:GDA5"/>
    <mergeCell ref="GDB4:GDB5"/>
    <mergeCell ref="GDC4:GDC5"/>
    <mergeCell ref="GDD4:GDD5"/>
    <mergeCell ref="GCU4:GCU5"/>
    <mergeCell ref="GCV4:GCV5"/>
    <mergeCell ref="GCW4:GCW5"/>
    <mergeCell ref="GCX4:GCX5"/>
    <mergeCell ref="GCY4:GCY5"/>
    <mergeCell ref="GCP4:GCP5"/>
    <mergeCell ref="GCQ4:GCQ5"/>
    <mergeCell ref="GCR4:GCR5"/>
    <mergeCell ref="GCS4:GCS5"/>
    <mergeCell ref="GCT4:GCT5"/>
    <mergeCell ref="GCK4:GCK5"/>
    <mergeCell ref="GCL4:GCL5"/>
    <mergeCell ref="GCM4:GCM5"/>
    <mergeCell ref="GCN4:GCN5"/>
    <mergeCell ref="GCO4:GCO5"/>
    <mergeCell ref="GCF4:GCF5"/>
    <mergeCell ref="GCG4:GCG5"/>
    <mergeCell ref="GCH4:GCH5"/>
    <mergeCell ref="GCI4:GCI5"/>
    <mergeCell ref="GCJ4:GCJ5"/>
    <mergeCell ref="GCA4:GCA5"/>
    <mergeCell ref="GCB4:GCB5"/>
    <mergeCell ref="GCC4:GCC5"/>
    <mergeCell ref="GCD4:GCD5"/>
    <mergeCell ref="GCE4:GCE5"/>
    <mergeCell ref="GBV4:GBV5"/>
    <mergeCell ref="GBW4:GBW5"/>
    <mergeCell ref="GBX4:GBX5"/>
    <mergeCell ref="GBY4:GBY5"/>
    <mergeCell ref="GBZ4:GBZ5"/>
    <mergeCell ref="GEI4:GEI5"/>
    <mergeCell ref="GEJ4:GEJ5"/>
    <mergeCell ref="GEK4:GEK5"/>
    <mergeCell ref="GEL4:GEL5"/>
    <mergeCell ref="GEM4:GEM5"/>
    <mergeCell ref="GED4:GED5"/>
    <mergeCell ref="GEE4:GEE5"/>
    <mergeCell ref="GEF4:GEF5"/>
    <mergeCell ref="GEG4:GEG5"/>
    <mergeCell ref="GEH4:GEH5"/>
    <mergeCell ref="GDY4:GDY5"/>
    <mergeCell ref="GDZ4:GDZ5"/>
    <mergeCell ref="GEA4:GEA5"/>
    <mergeCell ref="GEB4:GEB5"/>
    <mergeCell ref="GEC4:GEC5"/>
    <mergeCell ref="GDT4:GDT5"/>
    <mergeCell ref="GDU4:GDU5"/>
    <mergeCell ref="GDV4:GDV5"/>
    <mergeCell ref="GDW4:GDW5"/>
    <mergeCell ref="GDX4:GDX5"/>
    <mergeCell ref="GDO4:GDO5"/>
    <mergeCell ref="GDP4:GDP5"/>
    <mergeCell ref="GDQ4:GDQ5"/>
    <mergeCell ref="GDR4:GDR5"/>
    <mergeCell ref="GDS4:GDS5"/>
    <mergeCell ref="GDJ4:GDJ5"/>
    <mergeCell ref="GDK4:GDK5"/>
    <mergeCell ref="GDL4:GDL5"/>
    <mergeCell ref="GDM4:GDM5"/>
    <mergeCell ref="GDN4:GDN5"/>
    <mergeCell ref="GDE4:GDE5"/>
    <mergeCell ref="GDF4:GDF5"/>
    <mergeCell ref="GDG4:GDG5"/>
    <mergeCell ref="GDH4:GDH5"/>
    <mergeCell ref="GDI4:GDI5"/>
    <mergeCell ref="GFR4:GFR5"/>
    <mergeCell ref="GFS4:GFS5"/>
    <mergeCell ref="GFT4:GFT5"/>
    <mergeCell ref="GFU4:GFU5"/>
    <mergeCell ref="GFV4:GFV5"/>
    <mergeCell ref="GFM4:GFM5"/>
    <mergeCell ref="GFN4:GFN5"/>
    <mergeCell ref="GFO4:GFO5"/>
    <mergeCell ref="GFP4:GFP5"/>
    <mergeCell ref="GFQ4:GFQ5"/>
    <mergeCell ref="GFH4:GFH5"/>
    <mergeCell ref="GFI4:GFI5"/>
    <mergeCell ref="GFJ4:GFJ5"/>
    <mergeCell ref="GFK4:GFK5"/>
    <mergeCell ref="GFL4:GFL5"/>
    <mergeCell ref="GFC4:GFC5"/>
    <mergeCell ref="GFD4:GFD5"/>
    <mergeCell ref="GFE4:GFE5"/>
    <mergeCell ref="GFF4:GFF5"/>
    <mergeCell ref="GFG4:GFG5"/>
    <mergeCell ref="GEX4:GEX5"/>
    <mergeCell ref="GEY4:GEY5"/>
    <mergeCell ref="GEZ4:GEZ5"/>
    <mergeCell ref="GFA4:GFA5"/>
    <mergeCell ref="GFB4:GFB5"/>
    <mergeCell ref="GES4:GES5"/>
    <mergeCell ref="GET4:GET5"/>
    <mergeCell ref="GEU4:GEU5"/>
    <mergeCell ref="GEV4:GEV5"/>
    <mergeCell ref="GEW4:GEW5"/>
    <mergeCell ref="GEN4:GEN5"/>
    <mergeCell ref="GEO4:GEO5"/>
    <mergeCell ref="GEP4:GEP5"/>
    <mergeCell ref="GEQ4:GEQ5"/>
    <mergeCell ref="GER4:GER5"/>
    <mergeCell ref="GHA4:GHA5"/>
    <mergeCell ref="GHB4:GHB5"/>
    <mergeCell ref="GHC4:GHC5"/>
    <mergeCell ref="GHD4:GHD5"/>
    <mergeCell ref="GHE4:GHE5"/>
    <mergeCell ref="GGV4:GGV5"/>
    <mergeCell ref="GGW4:GGW5"/>
    <mergeCell ref="GGX4:GGX5"/>
    <mergeCell ref="GGY4:GGY5"/>
    <mergeCell ref="GGZ4:GGZ5"/>
    <mergeCell ref="GGQ4:GGQ5"/>
    <mergeCell ref="GGR4:GGR5"/>
    <mergeCell ref="GGS4:GGS5"/>
    <mergeCell ref="GGT4:GGT5"/>
    <mergeCell ref="GGU4:GGU5"/>
    <mergeCell ref="GGL4:GGL5"/>
    <mergeCell ref="GGM4:GGM5"/>
    <mergeCell ref="GGN4:GGN5"/>
    <mergeCell ref="GGO4:GGO5"/>
    <mergeCell ref="GGP4:GGP5"/>
    <mergeCell ref="GGG4:GGG5"/>
    <mergeCell ref="GGH4:GGH5"/>
    <mergeCell ref="GGI4:GGI5"/>
    <mergeCell ref="GGJ4:GGJ5"/>
    <mergeCell ref="GGK4:GGK5"/>
    <mergeCell ref="GGB4:GGB5"/>
    <mergeCell ref="GGC4:GGC5"/>
    <mergeCell ref="GGD4:GGD5"/>
    <mergeCell ref="GGE4:GGE5"/>
    <mergeCell ref="GGF4:GGF5"/>
    <mergeCell ref="GFW4:GFW5"/>
    <mergeCell ref="GFX4:GFX5"/>
    <mergeCell ref="GFY4:GFY5"/>
    <mergeCell ref="GFZ4:GFZ5"/>
    <mergeCell ref="GGA4:GGA5"/>
    <mergeCell ref="GIJ4:GIJ5"/>
    <mergeCell ref="GIK4:GIK5"/>
    <mergeCell ref="GIL4:GIL5"/>
    <mergeCell ref="GIM4:GIM5"/>
    <mergeCell ref="GIN4:GIN5"/>
    <mergeCell ref="GIE4:GIE5"/>
    <mergeCell ref="GIF4:GIF5"/>
    <mergeCell ref="GIG4:GIG5"/>
    <mergeCell ref="GIH4:GIH5"/>
    <mergeCell ref="GII4:GII5"/>
    <mergeCell ref="GHZ4:GHZ5"/>
    <mergeCell ref="GIA4:GIA5"/>
    <mergeCell ref="GIB4:GIB5"/>
    <mergeCell ref="GIC4:GIC5"/>
    <mergeCell ref="GID4:GID5"/>
    <mergeCell ref="GHU4:GHU5"/>
    <mergeCell ref="GHV4:GHV5"/>
    <mergeCell ref="GHW4:GHW5"/>
    <mergeCell ref="GHX4:GHX5"/>
    <mergeCell ref="GHY4:GHY5"/>
    <mergeCell ref="GHP4:GHP5"/>
    <mergeCell ref="GHQ4:GHQ5"/>
    <mergeCell ref="GHR4:GHR5"/>
    <mergeCell ref="GHS4:GHS5"/>
    <mergeCell ref="GHT4:GHT5"/>
    <mergeCell ref="GHK4:GHK5"/>
    <mergeCell ref="GHL4:GHL5"/>
    <mergeCell ref="GHM4:GHM5"/>
    <mergeCell ref="GHN4:GHN5"/>
    <mergeCell ref="GHO4:GHO5"/>
    <mergeCell ref="GHF4:GHF5"/>
    <mergeCell ref="GHG4:GHG5"/>
    <mergeCell ref="GHH4:GHH5"/>
    <mergeCell ref="GHI4:GHI5"/>
    <mergeCell ref="GHJ4:GHJ5"/>
    <mergeCell ref="GJS4:GJS5"/>
    <mergeCell ref="GJT4:GJT5"/>
    <mergeCell ref="GJU4:GJU5"/>
    <mergeCell ref="GJV4:GJV5"/>
    <mergeCell ref="GJW4:GJW5"/>
    <mergeCell ref="GJN4:GJN5"/>
    <mergeCell ref="GJO4:GJO5"/>
    <mergeCell ref="GJP4:GJP5"/>
    <mergeCell ref="GJQ4:GJQ5"/>
    <mergeCell ref="GJR4:GJR5"/>
    <mergeCell ref="GJI4:GJI5"/>
    <mergeCell ref="GJJ4:GJJ5"/>
    <mergeCell ref="GJK4:GJK5"/>
    <mergeCell ref="GJL4:GJL5"/>
    <mergeCell ref="GJM4:GJM5"/>
    <mergeCell ref="GJD4:GJD5"/>
    <mergeCell ref="GJE4:GJE5"/>
    <mergeCell ref="GJF4:GJF5"/>
    <mergeCell ref="GJG4:GJG5"/>
    <mergeCell ref="GJH4:GJH5"/>
    <mergeCell ref="GIY4:GIY5"/>
    <mergeCell ref="GIZ4:GIZ5"/>
    <mergeCell ref="GJA4:GJA5"/>
    <mergeCell ref="GJB4:GJB5"/>
    <mergeCell ref="GJC4:GJC5"/>
    <mergeCell ref="GIT4:GIT5"/>
    <mergeCell ref="GIU4:GIU5"/>
    <mergeCell ref="GIV4:GIV5"/>
    <mergeCell ref="GIW4:GIW5"/>
    <mergeCell ref="GIX4:GIX5"/>
    <mergeCell ref="GIO4:GIO5"/>
    <mergeCell ref="GIP4:GIP5"/>
    <mergeCell ref="GIQ4:GIQ5"/>
    <mergeCell ref="GIR4:GIR5"/>
    <mergeCell ref="GIS4:GIS5"/>
    <mergeCell ref="GLB4:GLB5"/>
    <mergeCell ref="GLC4:GLC5"/>
    <mergeCell ref="GLD4:GLD5"/>
    <mergeCell ref="GLE4:GLE5"/>
    <mergeCell ref="GLF4:GLF5"/>
    <mergeCell ref="GKW4:GKW5"/>
    <mergeCell ref="GKX4:GKX5"/>
    <mergeCell ref="GKY4:GKY5"/>
    <mergeCell ref="GKZ4:GKZ5"/>
    <mergeCell ref="GLA4:GLA5"/>
    <mergeCell ref="GKR4:GKR5"/>
    <mergeCell ref="GKS4:GKS5"/>
    <mergeCell ref="GKT4:GKT5"/>
    <mergeCell ref="GKU4:GKU5"/>
    <mergeCell ref="GKV4:GKV5"/>
    <mergeCell ref="GKM4:GKM5"/>
    <mergeCell ref="GKN4:GKN5"/>
    <mergeCell ref="GKO4:GKO5"/>
    <mergeCell ref="GKP4:GKP5"/>
    <mergeCell ref="GKQ4:GKQ5"/>
    <mergeCell ref="GKH4:GKH5"/>
    <mergeCell ref="GKI4:GKI5"/>
    <mergeCell ref="GKJ4:GKJ5"/>
    <mergeCell ref="GKK4:GKK5"/>
    <mergeCell ref="GKL4:GKL5"/>
    <mergeCell ref="GKC4:GKC5"/>
    <mergeCell ref="GKD4:GKD5"/>
    <mergeCell ref="GKE4:GKE5"/>
    <mergeCell ref="GKF4:GKF5"/>
    <mergeCell ref="GKG4:GKG5"/>
    <mergeCell ref="GJX4:GJX5"/>
    <mergeCell ref="GJY4:GJY5"/>
    <mergeCell ref="GJZ4:GJZ5"/>
    <mergeCell ref="GKA4:GKA5"/>
    <mergeCell ref="GKB4:GKB5"/>
    <mergeCell ref="GMK4:GMK5"/>
    <mergeCell ref="GML4:GML5"/>
    <mergeCell ref="GMM4:GMM5"/>
    <mergeCell ref="GMN4:GMN5"/>
    <mergeCell ref="GMO4:GMO5"/>
    <mergeCell ref="GMF4:GMF5"/>
    <mergeCell ref="GMG4:GMG5"/>
    <mergeCell ref="GMH4:GMH5"/>
    <mergeCell ref="GMI4:GMI5"/>
    <mergeCell ref="GMJ4:GMJ5"/>
    <mergeCell ref="GMA4:GMA5"/>
    <mergeCell ref="GMB4:GMB5"/>
    <mergeCell ref="GMC4:GMC5"/>
    <mergeCell ref="GMD4:GMD5"/>
    <mergeCell ref="GME4:GME5"/>
    <mergeCell ref="GLV4:GLV5"/>
    <mergeCell ref="GLW4:GLW5"/>
    <mergeCell ref="GLX4:GLX5"/>
    <mergeCell ref="GLY4:GLY5"/>
    <mergeCell ref="GLZ4:GLZ5"/>
    <mergeCell ref="GLQ4:GLQ5"/>
    <mergeCell ref="GLR4:GLR5"/>
    <mergeCell ref="GLS4:GLS5"/>
    <mergeCell ref="GLT4:GLT5"/>
    <mergeCell ref="GLU4:GLU5"/>
    <mergeCell ref="GLL4:GLL5"/>
    <mergeCell ref="GLM4:GLM5"/>
    <mergeCell ref="GLN4:GLN5"/>
    <mergeCell ref="GLO4:GLO5"/>
    <mergeCell ref="GLP4:GLP5"/>
    <mergeCell ref="GLG4:GLG5"/>
    <mergeCell ref="GLH4:GLH5"/>
    <mergeCell ref="GLI4:GLI5"/>
    <mergeCell ref="GLJ4:GLJ5"/>
    <mergeCell ref="GLK4:GLK5"/>
    <mergeCell ref="GNT4:GNT5"/>
    <mergeCell ref="GNU4:GNU5"/>
    <mergeCell ref="GNV4:GNV5"/>
    <mergeCell ref="GNW4:GNW5"/>
    <mergeCell ref="GNX4:GNX5"/>
    <mergeCell ref="GNO4:GNO5"/>
    <mergeCell ref="GNP4:GNP5"/>
    <mergeCell ref="GNQ4:GNQ5"/>
    <mergeCell ref="GNR4:GNR5"/>
    <mergeCell ref="GNS4:GNS5"/>
    <mergeCell ref="GNJ4:GNJ5"/>
    <mergeCell ref="GNK4:GNK5"/>
    <mergeCell ref="GNL4:GNL5"/>
    <mergeCell ref="GNM4:GNM5"/>
    <mergeCell ref="GNN4:GNN5"/>
    <mergeCell ref="GNE4:GNE5"/>
    <mergeCell ref="GNF4:GNF5"/>
    <mergeCell ref="GNG4:GNG5"/>
    <mergeCell ref="GNH4:GNH5"/>
    <mergeCell ref="GNI4:GNI5"/>
    <mergeCell ref="GMZ4:GMZ5"/>
    <mergeCell ref="GNA4:GNA5"/>
    <mergeCell ref="GNB4:GNB5"/>
    <mergeCell ref="GNC4:GNC5"/>
    <mergeCell ref="GND4:GND5"/>
    <mergeCell ref="GMU4:GMU5"/>
    <mergeCell ref="GMV4:GMV5"/>
    <mergeCell ref="GMW4:GMW5"/>
    <mergeCell ref="GMX4:GMX5"/>
    <mergeCell ref="GMY4:GMY5"/>
    <mergeCell ref="GMP4:GMP5"/>
    <mergeCell ref="GMQ4:GMQ5"/>
    <mergeCell ref="GMR4:GMR5"/>
    <mergeCell ref="GMS4:GMS5"/>
    <mergeCell ref="GMT4:GMT5"/>
    <mergeCell ref="GPC4:GPC5"/>
    <mergeCell ref="GPD4:GPD5"/>
    <mergeCell ref="GPE4:GPE5"/>
    <mergeCell ref="GPF4:GPF5"/>
    <mergeCell ref="GPG4:GPG5"/>
    <mergeCell ref="GOX4:GOX5"/>
    <mergeCell ref="GOY4:GOY5"/>
    <mergeCell ref="GOZ4:GOZ5"/>
    <mergeCell ref="GPA4:GPA5"/>
    <mergeCell ref="GPB4:GPB5"/>
    <mergeCell ref="GOS4:GOS5"/>
    <mergeCell ref="GOT4:GOT5"/>
    <mergeCell ref="GOU4:GOU5"/>
    <mergeCell ref="GOV4:GOV5"/>
    <mergeCell ref="GOW4:GOW5"/>
    <mergeCell ref="GON4:GON5"/>
    <mergeCell ref="GOO4:GOO5"/>
    <mergeCell ref="GOP4:GOP5"/>
    <mergeCell ref="GOQ4:GOQ5"/>
    <mergeCell ref="GOR4:GOR5"/>
    <mergeCell ref="GOI4:GOI5"/>
    <mergeCell ref="GOJ4:GOJ5"/>
    <mergeCell ref="GOK4:GOK5"/>
    <mergeCell ref="GOL4:GOL5"/>
    <mergeCell ref="GOM4:GOM5"/>
    <mergeCell ref="GOD4:GOD5"/>
    <mergeCell ref="GOE4:GOE5"/>
    <mergeCell ref="GOF4:GOF5"/>
    <mergeCell ref="GOG4:GOG5"/>
    <mergeCell ref="GOH4:GOH5"/>
    <mergeCell ref="GNY4:GNY5"/>
    <mergeCell ref="GNZ4:GNZ5"/>
    <mergeCell ref="GOA4:GOA5"/>
    <mergeCell ref="GOB4:GOB5"/>
    <mergeCell ref="GOC4:GOC5"/>
    <mergeCell ref="GQL4:GQL5"/>
    <mergeCell ref="GQM4:GQM5"/>
    <mergeCell ref="GQN4:GQN5"/>
    <mergeCell ref="GQO4:GQO5"/>
    <mergeCell ref="GQP4:GQP5"/>
    <mergeCell ref="GQG4:GQG5"/>
    <mergeCell ref="GQH4:GQH5"/>
    <mergeCell ref="GQI4:GQI5"/>
    <mergeCell ref="GQJ4:GQJ5"/>
    <mergeCell ref="GQK4:GQK5"/>
    <mergeCell ref="GQB4:GQB5"/>
    <mergeCell ref="GQC4:GQC5"/>
    <mergeCell ref="GQD4:GQD5"/>
    <mergeCell ref="GQE4:GQE5"/>
    <mergeCell ref="GQF4:GQF5"/>
    <mergeCell ref="GPW4:GPW5"/>
    <mergeCell ref="GPX4:GPX5"/>
    <mergeCell ref="GPY4:GPY5"/>
    <mergeCell ref="GPZ4:GPZ5"/>
    <mergeCell ref="GQA4:GQA5"/>
    <mergeCell ref="GPR4:GPR5"/>
    <mergeCell ref="GPS4:GPS5"/>
    <mergeCell ref="GPT4:GPT5"/>
    <mergeCell ref="GPU4:GPU5"/>
    <mergeCell ref="GPV4:GPV5"/>
    <mergeCell ref="GPM4:GPM5"/>
    <mergeCell ref="GPN4:GPN5"/>
    <mergeCell ref="GPO4:GPO5"/>
    <mergeCell ref="GPP4:GPP5"/>
    <mergeCell ref="GPQ4:GPQ5"/>
    <mergeCell ref="GPH4:GPH5"/>
    <mergeCell ref="GPI4:GPI5"/>
    <mergeCell ref="GPJ4:GPJ5"/>
    <mergeCell ref="GPK4:GPK5"/>
    <mergeCell ref="GPL4:GPL5"/>
    <mergeCell ref="GRU4:GRU5"/>
    <mergeCell ref="GRV4:GRV5"/>
    <mergeCell ref="GRW4:GRW5"/>
    <mergeCell ref="GRX4:GRX5"/>
    <mergeCell ref="GRY4:GRY5"/>
    <mergeCell ref="GRP4:GRP5"/>
    <mergeCell ref="GRQ4:GRQ5"/>
    <mergeCell ref="GRR4:GRR5"/>
    <mergeCell ref="GRS4:GRS5"/>
    <mergeCell ref="GRT4:GRT5"/>
    <mergeCell ref="GRK4:GRK5"/>
    <mergeCell ref="GRL4:GRL5"/>
    <mergeCell ref="GRM4:GRM5"/>
    <mergeCell ref="GRN4:GRN5"/>
    <mergeCell ref="GRO4:GRO5"/>
    <mergeCell ref="GRF4:GRF5"/>
    <mergeCell ref="GRG4:GRG5"/>
    <mergeCell ref="GRH4:GRH5"/>
    <mergeCell ref="GRI4:GRI5"/>
    <mergeCell ref="GRJ4:GRJ5"/>
    <mergeCell ref="GRA4:GRA5"/>
    <mergeCell ref="GRB4:GRB5"/>
    <mergeCell ref="GRC4:GRC5"/>
    <mergeCell ref="GRD4:GRD5"/>
    <mergeCell ref="GRE4:GRE5"/>
    <mergeCell ref="GQV4:GQV5"/>
    <mergeCell ref="GQW4:GQW5"/>
    <mergeCell ref="GQX4:GQX5"/>
    <mergeCell ref="GQY4:GQY5"/>
    <mergeCell ref="GQZ4:GQZ5"/>
    <mergeCell ref="GQQ4:GQQ5"/>
    <mergeCell ref="GQR4:GQR5"/>
    <mergeCell ref="GQS4:GQS5"/>
    <mergeCell ref="GQT4:GQT5"/>
    <mergeCell ref="GQU4:GQU5"/>
    <mergeCell ref="GTD4:GTD5"/>
    <mergeCell ref="GTE4:GTE5"/>
    <mergeCell ref="GTF4:GTF5"/>
    <mergeCell ref="GTG4:GTG5"/>
    <mergeCell ref="GTH4:GTH5"/>
    <mergeCell ref="GSY4:GSY5"/>
    <mergeCell ref="GSZ4:GSZ5"/>
    <mergeCell ref="GTA4:GTA5"/>
    <mergeCell ref="GTB4:GTB5"/>
    <mergeCell ref="GTC4:GTC5"/>
    <mergeCell ref="GST4:GST5"/>
    <mergeCell ref="GSU4:GSU5"/>
    <mergeCell ref="GSV4:GSV5"/>
    <mergeCell ref="GSW4:GSW5"/>
    <mergeCell ref="GSX4:GSX5"/>
    <mergeCell ref="GSO4:GSO5"/>
    <mergeCell ref="GSP4:GSP5"/>
    <mergeCell ref="GSQ4:GSQ5"/>
    <mergeCell ref="GSR4:GSR5"/>
    <mergeCell ref="GSS4:GSS5"/>
    <mergeCell ref="GSJ4:GSJ5"/>
    <mergeCell ref="GSK4:GSK5"/>
    <mergeCell ref="GSL4:GSL5"/>
    <mergeCell ref="GSM4:GSM5"/>
    <mergeCell ref="GSN4:GSN5"/>
    <mergeCell ref="GSE4:GSE5"/>
    <mergeCell ref="GSF4:GSF5"/>
    <mergeCell ref="GSG4:GSG5"/>
    <mergeCell ref="GSH4:GSH5"/>
    <mergeCell ref="GSI4:GSI5"/>
    <mergeCell ref="GRZ4:GRZ5"/>
    <mergeCell ref="GSA4:GSA5"/>
    <mergeCell ref="GSB4:GSB5"/>
    <mergeCell ref="GSC4:GSC5"/>
    <mergeCell ref="GSD4:GSD5"/>
    <mergeCell ref="GUM4:GUM5"/>
    <mergeCell ref="GUN4:GUN5"/>
    <mergeCell ref="GUO4:GUO5"/>
    <mergeCell ref="GUP4:GUP5"/>
    <mergeCell ref="GUQ4:GUQ5"/>
    <mergeCell ref="GUH4:GUH5"/>
    <mergeCell ref="GUI4:GUI5"/>
    <mergeCell ref="GUJ4:GUJ5"/>
    <mergeCell ref="GUK4:GUK5"/>
    <mergeCell ref="GUL4:GUL5"/>
    <mergeCell ref="GUC4:GUC5"/>
    <mergeCell ref="GUD4:GUD5"/>
    <mergeCell ref="GUE4:GUE5"/>
    <mergeCell ref="GUF4:GUF5"/>
    <mergeCell ref="GUG4:GUG5"/>
    <mergeCell ref="GTX4:GTX5"/>
    <mergeCell ref="GTY4:GTY5"/>
    <mergeCell ref="GTZ4:GTZ5"/>
    <mergeCell ref="GUA4:GUA5"/>
    <mergeCell ref="GUB4:GUB5"/>
    <mergeCell ref="GTS4:GTS5"/>
    <mergeCell ref="GTT4:GTT5"/>
    <mergeCell ref="GTU4:GTU5"/>
    <mergeCell ref="GTV4:GTV5"/>
    <mergeCell ref="GTW4:GTW5"/>
    <mergeCell ref="GTN4:GTN5"/>
    <mergeCell ref="GTO4:GTO5"/>
    <mergeCell ref="GTP4:GTP5"/>
    <mergeCell ref="GTQ4:GTQ5"/>
    <mergeCell ref="GTR4:GTR5"/>
    <mergeCell ref="GTI4:GTI5"/>
    <mergeCell ref="GTJ4:GTJ5"/>
    <mergeCell ref="GTK4:GTK5"/>
    <mergeCell ref="GTL4:GTL5"/>
    <mergeCell ref="GTM4:GTM5"/>
    <mergeCell ref="GVV4:GVV5"/>
    <mergeCell ref="GVW4:GVW5"/>
    <mergeCell ref="GVX4:GVX5"/>
    <mergeCell ref="GVY4:GVY5"/>
    <mergeCell ref="GVZ4:GVZ5"/>
    <mergeCell ref="GVQ4:GVQ5"/>
    <mergeCell ref="GVR4:GVR5"/>
    <mergeCell ref="GVS4:GVS5"/>
    <mergeCell ref="GVT4:GVT5"/>
    <mergeCell ref="GVU4:GVU5"/>
    <mergeCell ref="GVL4:GVL5"/>
    <mergeCell ref="GVM4:GVM5"/>
    <mergeCell ref="GVN4:GVN5"/>
    <mergeCell ref="GVO4:GVO5"/>
    <mergeCell ref="GVP4:GVP5"/>
    <mergeCell ref="GVG4:GVG5"/>
    <mergeCell ref="GVH4:GVH5"/>
    <mergeCell ref="GVI4:GVI5"/>
    <mergeCell ref="GVJ4:GVJ5"/>
    <mergeCell ref="GVK4:GVK5"/>
    <mergeCell ref="GVB4:GVB5"/>
    <mergeCell ref="GVC4:GVC5"/>
    <mergeCell ref="GVD4:GVD5"/>
    <mergeCell ref="GVE4:GVE5"/>
    <mergeCell ref="GVF4:GVF5"/>
    <mergeCell ref="GUW4:GUW5"/>
    <mergeCell ref="GUX4:GUX5"/>
    <mergeCell ref="GUY4:GUY5"/>
    <mergeCell ref="GUZ4:GUZ5"/>
    <mergeCell ref="GVA4:GVA5"/>
    <mergeCell ref="GUR4:GUR5"/>
    <mergeCell ref="GUS4:GUS5"/>
    <mergeCell ref="GUT4:GUT5"/>
    <mergeCell ref="GUU4:GUU5"/>
    <mergeCell ref="GUV4:GUV5"/>
    <mergeCell ref="GXE4:GXE5"/>
    <mergeCell ref="GXF4:GXF5"/>
    <mergeCell ref="GXG4:GXG5"/>
    <mergeCell ref="GXH4:GXH5"/>
    <mergeCell ref="GXI4:GXI5"/>
    <mergeCell ref="GWZ4:GWZ5"/>
    <mergeCell ref="GXA4:GXA5"/>
    <mergeCell ref="GXB4:GXB5"/>
    <mergeCell ref="GXC4:GXC5"/>
    <mergeCell ref="GXD4:GXD5"/>
    <mergeCell ref="GWU4:GWU5"/>
    <mergeCell ref="GWV4:GWV5"/>
    <mergeCell ref="GWW4:GWW5"/>
    <mergeCell ref="GWX4:GWX5"/>
    <mergeCell ref="GWY4:GWY5"/>
    <mergeCell ref="GWP4:GWP5"/>
    <mergeCell ref="GWQ4:GWQ5"/>
    <mergeCell ref="GWR4:GWR5"/>
    <mergeCell ref="GWS4:GWS5"/>
    <mergeCell ref="GWT4:GWT5"/>
    <mergeCell ref="GWK4:GWK5"/>
    <mergeCell ref="GWL4:GWL5"/>
    <mergeCell ref="GWM4:GWM5"/>
    <mergeCell ref="GWN4:GWN5"/>
    <mergeCell ref="GWO4:GWO5"/>
    <mergeCell ref="GWF4:GWF5"/>
    <mergeCell ref="GWG4:GWG5"/>
    <mergeCell ref="GWH4:GWH5"/>
    <mergeCell ref="GWI4:GWI5"/>
    <mergeCell ref="GWJ4:GWJ5"/>
    <mergeCell ref="GWA4:GWA5"/>
    <mergeCell ref="GWB4:GWB5"/>
    <mergeCell ref="GWC4:GWC5"/>
    <mergeCell ref="GWD4:GWD5"/>
    <mergeCell ref="GWE4:GWE5"/>
    <mergeCell ref="GYN4:GYN5"/>
    <mergeCell ref="GYO4:GYO5"/>
    <mergeCell ref="GYP4:GYP5"/>
    <mergeCell ref="GYQ4:GYQ5"/>
    <mergeCell ref="GYR4:GYR5"/>
    <mergeCell ref="GYI4:GYI5"/>
    <mergeCell ref="GYJ4:GYJ5"/>
    <mergeCell ref="GYK4:GYK5"/>
    <mergeCell ref="GYL4:GYL5"/>
    <mergeCell ref="GYM4:GYM5"/>
    <mergeCell ref="GYD4:GYD5"/>
    <mergeCell ref="GYE4:GYE5"/>
    <mergeCell ref="GYF4:GYF5"/>
    <mergeCell ref="GYG4:GYG5"/>
    <mergeCell ref="GYH4:GYH5"/>
    <mergeCell ref="GXY4:GXY5"/>
    <mergeCell ref="GXZ4:GXZ5"/>
    <mergeCell ref="GYA4:GYA5"/>
    <mergeCell ref="GYB4:GYB5"/>
    <mergeCell ref="GYC4:GYC5"/>
    <mergeCell ref="GXT4:GXT5"/>
    <mergeCell ref="GXU4:GXU5"/>
    <mergeCell ref="GXV4:GXV5"/>
    <mergeCell ref="GXW4:GXW5"/>
    <mergeCell ref="GXX4:GXX5"/>
    <mergeCell ref="GXO4:GXO5"/>
    <mergeCell ref="GXP4:GXP5"/>
    <mergeCell ref="GXQ4:GXQ5"/>
    <mergeCell ref="GXR4:GXR5"/>
    <mergeCell ref="GXS4:GXS5"/>
    <mergeCell ref="GXJ4:GXJ5"/>
    <mergeCell ref="GXK4:GXK5"/>
    <mergeCell ref="GXL4:GXL5"/>
    <mergeCell ref="GXM4:GXM5"/>
    <mergeCell ref="GXN4:GXN5"/>
    <mergeCell ref="GZW4:GZW5"/>
    <mergeCell ref="GZX4:GZX5"/>
    <mergeCell ref="GZY4:GZY5"/>
    <mergeCell ref="GZZ4:GZZ5"/>
    <mergeCell ref="HAA4:HAA5"/>
    <mergeCell ref="GZR4:GZR5"/>
    <mergeCell ref="GZS4:GZS5"/>
    <mergeCell ref="GZT4:GZT5"/>
    <mergeCell ref="GZU4:GZU5"/>
    <mergeCell ref="GZV4:GZV5"/>
    <mergeCell ref="GZM4:GZM5"/>
    <mergeCell ref="GZN4:GZN5"/>
    <mergeCell ref="GZO4:GZO5"/>
    <mergeCell ref="GZP4:GZP5"/>
    <mergeCell ref="GZQ4:GZQ5"/>
    <mergeCell ref="GZH4:GZH5"/>
    <mergeCell ref="GZI4:GZI5"/>
    <mergeCell ref="GZJ4:GZJ5"/>
    <mergeCell ref="GZK4:GZK5"/>
    <mergeCell ref="GZL4:GZL5"/>
    <mergeCell ref="GZC4:GZC5"/>
    <mergeCell ref="GZD4:GZD5"/>
    <mergeCell ref="GZE4:GZE5"/>
    <mergeCell ref="GZF4:GZF5"/>
    <mergeCell ref="GZG4:GZG5"/>
    <mergeCell ref="GYX4:GYX5"/>
    <mergeCell ref="GYY4:GYY5"/>
    <mergeCell ref="GYZ4:GYZ5"/>
    <mergeCell ref="GZA4:GZA5"/>
    <mergeCell ref="GZB4:GZB5"/>
    <mergeCell ref="GYS4:GYS5"/>
    <mergeCell ref="GYT4:GYT5"/>
    <mergeCell ref="GYU4:GYU5"/>
    <mergeCell ref="GYV4:GYV5"/>
    <mergeCell ref="GYW4:GYW5"/>
    <mergeCell ref="HBF4:HBF5"/>
    <mergeCell ref="HBG4:HBG5"/>
    <mergeCell ref="HBH4:HBH5"/>
    <mergeCell ref="HBI4:HBI5"/>
    <mergeCell ref="HBJ4:HBJ5"/>
    <mergeCell ref="HBA4:HBA5"/>
    <mergeCell ref="HBB4:HBB5"/>
    <mergeCell ref="HBC4:HBC5"/>
    <mergeCell ref="HBD4:HBD5"/>
    <mergeCell ref="HBE4:HBE5"/>
    <mergeCell ref="HAV4:HAV5"/>
    <mergeCell ref="HAW4:HAW5"/>
    <mergeCell ref="HAX4:HAX5"/>
    <mergeCell ref="HAY4:HAY5"/>
    <mergeCell ref="HAZ4:HAZ5"/>
    <mergeCell ref="HAQ4:HAQ5"/>
    <mergeCell ref="HAR4:HAR5"/>
    <mergeCell ref="HAS4:HAS5"/>
    <mergeCell ref="HAT4:HAT5"/>
    <mergeCell ref="HAU4:HAU5"/>
    <mergeCell ref="HAL4:HAL5"/>
    <mergeCell ref="HAM4:HAM5"/>
    <mergeCell ref="HAN4:HAN5"/>
    <mergeCell ref="HAO4:HAO5"/>
    <mergeCell ref="HAP4:HAP5"/>
    <mergeCell ref="HAG4:HAG5"/>
    <mergeCell ref="HAH4:HAH5"/>
    <mergeCell ref="HAI4:HAI5"/>
    <mergeCell ref="HAJ4:HAJ5"/>
    <mergeCell ref="HAK4:HAK5"/>
    <mergeCell ref="HAB4:HAB5"/>
    <mergeCell ref="HAC4:HAC5"/>
    <mergeCell ref="HAD4:HAD5"/>
    <mergeCell ref="HAE4:HAE5"/>
    <mergeCell ref="HAF4:HAF5"/>
    <mergeCell ref="HCO4:HCO5"/>
    <mergeCell ref="HCP4:HCP5"/>
    <mergeCell ref="HCQ4:HCQ5"/>
    <mergeCell ref="HCR4:HCR5"/>
    <mergeCell ref="HCS4:HCS5"/>
    <mergeCell ref="HCJ4:HCJ5"/>
    <mergeCell ref="HCK4:HCK5"/>
    <mergeCell ref="HCL4:HCL5"/>
    <mergeCell ref="HCM4:HCM5"/>
    <mergeCell ref="HCN4:HCN5"/>
    <mergeCell ref="HCE4:HCE5"/>
    <mergeCell ref="HCF4:HCF5"/>
    <mergeCell ref="HCG4:HCG5"/>
    <mergeCell ref="HCH4:HCH5"/>
    <mergeCell ref="HCI4:HCI5"/>
    <mergeCell ref="HBZ4:HBZ5"/>
    <mergeCell ref="HCA4:HCA5"/>
    <mergeCell ref="HCB4:HCB5"/>
    <mergeCell ref="HCC4:HCC5"/>
    <mergeCell ref="HCD4:HCD5"/>
    <mergeCell ref="HBU4:HBU5"/>
    <mergeCell ref="HBV4:HBV5"/>
    <mergeCell ref="HBW4:HBW5"/>
    <mergeCell ref="HBX4:HBX5"/>
    <mergeCell ref="HBY4:HBY5"/>
    <mergeCell ref="HBP4:HBP5"/>
    <mergeCell ref="HBQ4:HBQ5"/>
    <mergeCell ref="HBR4:HBR5"/>
    <mergeCell ref="HBS4:HBS5"/>
    <mergeCell ref="HBT4:HBT5"/>
    <mergeCell ref="HBK4:HBK5"/>
    <mergeCell ref="HBL4:HBL5"/>
    <mergeCell ref="HBM4:HBM5"/>
    <mergeCell ref="HBN4:HBN5"/>
    <mergeCell ref="HBO4:HBO5"/>
    <mergeCell ref="HDX4:HDX5"/>
    <mergeCell ref="HDY4:HDY5"/>
    <mergeCell ref="HDZ4:HDZ5"/>
    <mergeCell ref="HEA4:HEA5"/>
    <mergeCell ref="HEB4:HEB5"/>
    <mergeCell ref="HDS4:HDS5"/>
    <mergeCell ref="HDT4:HDT5"/>
    <mergeCell ref="HDU4:HDU5"/>
    <mergeCell ref="HDV4:HDV5"/>
    <mergeCell ref="HDW4:HDW5"/>
    <mergeCell ref="HDN4:HDN5"/>
    <mergeCell ref="HDO4:HDO5"/>
    <mergeCell ref="HDP4:HDP5"/>
    <mergeCell ref="HDQ4:HDQ5"/>
    <mergeCell ref="HDR4:HDR5"/>
    <mergeCell ref="HDI4:HDI5"/>
    <mergeCell ref="HDJ4:HDJ5"/>
    <mergeCell ref="HDK4:HDK5"/>
    <mergeCell ref="HDL4:HDL5"/>
    <mergeCell ref="HDM4:HDM5"/>
    <mergeCell ref="HDD4:HDD5"/>
    <mergeCell ref="HDE4:HDE5"/>
    <mergeCell ref="HDF4:HDF5"/>
    <mergeCell ref="HDG4:HDG5"/>
    <mergeCell ref="HDH4:HDH5"/>
    <mergeCell ref="HCY4:HCY5"/>
    <mergeCell ref="HCZ4:HCZ5"/>
    <mergeCell ref="HDA4:HDA5"/>
    <mergeCell ref="HDB4:HDB5"/>
    <mergeCell ref="HDC4:HDC5"/>
    <mergeCell ref="HCT4:HCT5"/>
    <mergeCell ref="HCU4:HCU5"/>
    <mergeCell ref="HCV4:HCV5"/>
    <mergeCell ref="HCW4:HCW5"/>
    <mergeCell ref="HCX4:HCX5"/>
    <mergeCell ref="HFG4:HFG5"/>
    <mergeCell ref="HFH4:HFH5"/>
    <mergeCell ref="HFI4:HFI5"/>
    <mergeCell ref="HFJ4:HFJ5"/>
    <mergeCell ref="HFK4:HFK5"/>
    <mergeCell ref="HFB4:HFB5"/>
    <mergeCell ref="HFC4:HFC5"/>
    <mergeCell ref="HFD4:HFD5"/>
    <mergeCell ref="HFE4:HFE5"/>
    <mergeCell ref="HFF4:HFF5"/>
    <mergeCell ref="HEW4:HEW5"/>
    <mergeCell ref="HEX4:HEX5"/>
    <mergeCell ref="HEY4:HEY5"/>
    <mergeCell ref="HEZ4:HEZ5"/>
    <mergeCell ref="HFA4:HFA5"/>
    <mergeCell ref="HER4:HER5"/>
    <mergeCell ref="HES4:HES5"/>
    <mergeCell ref="HET4:HET5"/>
    <mergeCell ref="HEU4:HEU5"/>
    <mergeCell ref="HEV4:HEV5"/>
    <mergeCell ref="HEM4:HEM5"/>
    <mergeCell ref="HEN4:HEN5"/>
    <mergeCell ref="HEO4:HEO5"/>
    <mergeCell ref="HEP4:HEP5"/>
    <mergeCell ref="HEQ4:HEQ5"/>
    <mergeCell ref="HEH4:HEH5"/>
    <mergeCell ref="HEI4:HEI5"/>
    <mergeCell ref="HEJ4:HEJ5"/>
    <mergeCell ref="HEK4:HEK5"/>
    <mergeCell ref="HEL4:HEL5"/>
    <mergeCell ref="HEC4:HEC5"/>
    <mergeCell ref="HED4:HED5"/>
    <mergeCell ref="HEE4:HEE5"/>
    <mergeCell ref="HEF4:HEF5"/>
    <mergeCell ref="HEG4:HEG5"/>
    <mergeCell ref="HGP4:HGP5"/>
    <mergeCell ref="HGQ4:HGQ5"/>
    <mergeCell ref="HGR4:HGR5"/>
    <mergeCell ref="HGS4:HGS5"/>
    <mergeCell ref="HGT4:HGT5"/>
    <mergeCell ref="HGK4:HGK5"/>
    <mergeCell ref="HGL4:HGL5"/>
    <mergeCell ref="HGM4:HGM5"/>
    <mergeCell ref="HGN4:HGN5"/>
    <mergeCell ref="HGO4:HGO5"/>
    <mergeCell ref="HGF4:HGF5"/>
    <mergeCell ref="HGG4:HGG5"/>
    <mergeCell ref="HGH4:HGH5"/>
    <mergeCell ref="HGI4:HGI5"/>
    <mergeCell ref="HGJ4:HGJ5"/>
    <mergeCell ref="HGA4:HGA5"/>
    <mergeCell ref="HGB4:HGB5"/>
    <mergeCell ref="HGC4:HGC5"/>
    <mergeCell ref="HGD4:HGD5"/>
    <mergeCell ref="HGE4:HGE5"/>
    <mergeCell ref="HFV4:HFV5"/>
    <mergeCell ref="HFW4:HFW5"/>
    <mergeCell ref="HFX4:HFX5"/>
    <mergeCell ref="HFY4:HFY5"/>
    <mergeCell ref="HFZ4:HFZ5"/>
    <mergeCell ref="HFQ4:HFQ5"/>
    <mergeCell ref="HFR4:HFR5"/>
    <mergeCell ref="HFS4:HFS5"/>
    <mergeCell ref="HFT4:HFT5"/>
    <mergeCell ref="HFU4:HFU5"/>
    <mergeCell ref="HFL4:HFL5"/>
    <mergeCell ref="HFM4:HFM5"/>
    <mergeCell ref="HFN4:HFN5"/>
    <mergeCell ref="HFO4:HFO5"/>
    <mergeCell ref="HFP4:HFP5"/>
    <mergeCell ref="HHY4:HHY5"/>
    <mergeCell ref="HHZ4:HHZ5"/>
    <mergeCell ref="HIA4:HIA5"/>
    <mergeCell ref="HIB4:HIB5"/>
    <mergeCell ref="HIC4:HIC5"/>
    <mergeCell ref="HHT4:HHT5"/>
    <mergeCell ref="HHU4:HHU5"/>
    <mergeCell ref="HHV4:HHV5"/>
    <mergeCell ref="HHW4:HHW5"/>
    <mergeCell ref="HHX4:HHX5"/>
    <mergeCell ref="HHO4:HHO5"/>
    <mergeCell ref="HHP4:HHP5"/>
    <mergeCell ref="HHQ4:HHQ5"/>
    <mergeCell ref="HHR4:HHR5"/>
    <mergeCell ref="HHS4:HHS5"/>
    <mergeCell ref="HHJ4:HHJ5"/>
    <mergeCell ref="HHK4:HHK5"/>
    <mergeCell ref="HHL4:HHL5"/>
    <mergeCell ref="HHM4:HHM5"/>
    <mergeCell ref="HHN4:HHN5"/>
    <mergeCell ref="HHE4:HHE5"/>
    <mergeCell ref="HHF4:HHF5"/>
    <mergeCell ref="HHG4:HHG5"/>
    <mergeCell ref="HHH4:HHH5"/>
    <mergeCell ref="HHI4:HHI5"/>
    <mergeCell ref="HGZ4:HGZ5"/>
    <mergeCell ref="HHA4:HHA5"/>
    <mergeCell ref="HHB4:HHB5"/>
    <mergeCell ref="HHC4:HHC5"/>
    <mergeCell ref="HHD4:HHD5"/>
    <mergeCell ref="HGU4:HGU5"/>
    <mergeCell ref="HGV4:HGV5"/>
    <mergeCell ref="HGW4:HGW5"/>
    <mergeCell ref="HGX4:HGX5"/>
    <mergeCell ref="HGY4:HGY5"/>
    <mergeCell ref="HJH4:HJH5"/>
    <mergeCell ref="HJI4:HJI5"/>
    <mergeCell ref="HJJ4:HJJ5"/>
    <mergeCell ref="HJK4:HJK5"/>
    <mergeCell ref="HJL4:HJL5"/>
    <mergeCell ref="HJC4:HJC5"/>
    <mergeCell ref="HJD4:HJD5"/>
    <mergeCell ref="HJE4:HJE5"/>
    <mergeCell ref="HJF4:HJF5"/>
    <mergeCell ref="HJG4:HJG5"/>
    <mergeCell ref="HIX4:HIX5"/>
    <mergeCell ref="HIY4:HIY5"/>
    <mergeCell ref="HIZ4:HIZ5"/>
    <mergeCell ref="HJA4:HJA5"/>
    <mergeCell ref="HJB4:HJB5"/>
    <mergeCell ref="HIS4:HIS5"/>
    <mergeCell ref="HIT4:HIT5"/>
    <mergeCell ref="HIU4:HIU5"/>
    <mergeCell ref="HIV4:HIV5"/>
    <mergeCell ref="HIW4:HIW5"/>
    <mergeCell ref="HIN4:HIN5"/>
    <mergeCell ref="HIO4:HIO5"/>
    <mergeCell ref="HIP4:HIP5"/>
    <mergeCell ref="HIQ4:HIQ5"/>
    <mergeCell ref="HIR4:HIR5"/>
    <mergeCell ref="HII4:HII5"/>
    <mergeCell ref="HIJ4:HIJ5"/>
    <mergeCell ref="HIK4:HIK5"/>
    <mergeCell ref="HIL4:HIL5"/>
    <mergeCell ref="HIM4:HIM5"/>
    <mergeCell ref="HID4:HID5"/>
    <mergeCell ref="HIE4:HIE5"/>
    <mergeCell ref="HIF4:HIF5"/>
    <mergeCell ref="HIG4:HIG5"/>
    <mergeCell ref="HIH4:HIH5"/>
    <mergeCell ref="HKQ4:HKQ5"/>
    <mergeCell ref="HKR4:HKR5"/>
    <mergeCell ref="HKS4:HKS5"/>
    <mergeCell ref="HKT4:HKT5"/>
    <mergeCell ref="HKU4:HKU5"/>
    <mergeCell ref="HKL4:HKL5"/>
    <mergeCell ref="HKM4:HKM5"/>
    <mergeCell ref="HKN4:HKN5"/>
    <mergeCell ref="HKO4:HKO5"/>
    <mergeCell ref="HKP4:HKP5"/>
    <mergeCell ref="HKG4:HKG5"/>
    <mergeCell ref="HKH4:HKH5"/>
    <mergeCell ref="HKI4:HKI5"/>
    <mergeCell ref="HKJ4:HKJ5"/>
    <mergeCell ref="HKK4:HKK5"/>
    <mergeCell ref="HKB4:HKB5"/>
    <mergeCell ref="HKC4:HKC5"/>
    <mergeCell ref="HKD4:HKD5"/>
    <mergeCell ref="HKE4:HKE5"/>
    <mergeCell ref="HKF4:HKF5"/>
    <mergeCell ref="HJW4:HJW5"/>
    <mergeCell ref="HJX4:HJX5"/>
    <mergeCell ref="HJY4:HJY5"/>
    <mergeCell ref="HJZ4:HJZ5"/>
    <mergeCell ref="HKA4:HKA5"/>
    <mergeCell ref="HJR4:HJR5"/>
    <mergeCell ref="HJS4:HJS5"/>
    <mergeCell ref="HJT4:HJT5"/>
    <mergeCell ref="HJU4:HJU5"/>
    <mergeCell ref="HJV4:HJV5"/>
    <mergeCell ref="HJM4:HJM5"/>
    <mergeCell ref="HJN4:HJN5"/>
    <mergeCell ref="HJO4:HJO5"/>
    <mergeCell ref="HJP4:HJP5"/>
    <mergeCell ref="HJQ4:HJQ5"/>
    <mergeCell ref="HLZ4:HLZ5"/>
    <mergeCell ref="HMA4:HMA5"/>
    <mergeCell ref="HMB4:HMB5"/>
    <mergeCell ref="HMC4:HMC5"/>
    <mergeCell ref="HMD4:HMD5"/>
    <mergeCell ref="HLU4:HLU5"/>
    <mergeCell ref="HLV4:HLV5"/>
    <mergeCell ref="HLW4:HLW5"/>
    <mergeCell ref="HLX4:HLX5"/>
    <mergeCell ref="HLY4:HLY5"/>
    <mergeCell ref="HLP4:HLP5"/>
    <mergeCell ref="HLQ4:HLQ5"/>
    <mergeCell ref="HLR4:HLR5"/>
    <mergeCell ref="HLS4:HLS5"/>
    <mergeCell ref="HLT4:HLT5"/>
    <mergeCell ref="HLK4:HLK5"/>
    <mergeCell ref="HLL4:HLL5"/>
    <mergeCell ref="HLM4:HLM5"/>
    <mergeCell ref="HLN4:HLN5"/>
    <mergeCell ref="HLO4:HLO5"/>
    <mergeCell ref="HLF4:HLF5"/>
    <mergeCell ref="HLG4:HLG5"/>
    <mergeCell ref="HLH4:HLH5"/>
    <mergeCell ref="HLI4:HLI5"/>
    <mergeCell ref="HLJ4:HLJ5"/>
    <mergeCell ref="HLA4:HLA5"/>
    <mergeCell ref="HLB4:HLB5"/>
    <mergeCell ref="HLC4:HLC5"/>
    <mergeCell ref="HLD4:HLD5"/>
    <mergeCell ref="HLE4:HLE5"/>
    <mergeCell ref="HKV4:HKV5"/>
    <mergeCell ref="HKW4:HKW5"/>
    <mergeCell ref="HKX4:HKX5"/>
    <mergeCell ref="HKY4:HKY5"/>
    <mergeCell ref="HKZ4:HKZ5"/>
    <mergeCell ref="HNI4:HNI5"/>
    <mergeCell ref="HNJ4:HNJ5"/>
    <mergeCell ref="HNK4:HNK5"/>
    <mergeCell ref="HNL4:HNL5"/>
    <mergeCell ref="HNM4:HNM5"/>
    <mergeCell ref="HND4:HND5"/>
    <mergeCell ref="HNE4:HNE5"/>
    <mergeCell ref="HNF4:HNF5"/>
    <mergeCell ref="HNG4:HNG5"/>
    <mergeCell ref="HNH4:HNH5"/>
    <mergeCell ref="HMY4:HMY5"/>
    <mergeCell ref="HMZ4:HMZ5"/>
    <mergeCell ref="HNA4:HNA5"/>
    <mergeCell ref="HNB4:HNB5"/>
    <mergeCell ref="HNC4:HNC5"/>
    <mergeCell ref="HMT4:HMT5"/>
    <mergeCell ref="HMU4:HMU5"/>
    <mergeCell ref="HMV4:HMV5"/>
    <mergeCell ref="HMW4:HMW5"/>
    <mergeCell ref="HMX4:HMX5"/>
    <mergeCell ref="HMO4:HMO5"/>
    <mergeCell ref="HMP4:HMP5"/>
    <mergeCell ref="HMQ4:HMQ5"/>
    <mergeCell ref="HMR4:HMR5"/>
    <mergeCell ref="HMS4:HMS5"/>
    <mergeCell ref="HMJ4:HMJ5"/>
    <mergeCell ref="HMK4:HMK5"/>
    <mergeCell ref="HML4:HML5"/>
    <mergeCell ref="HMM4:HMM5"/>
    <mergeCell ref="HMN4:HMN5"/>
    <mergeCell ref="HME4:HME5"/>
    <mergeCell ref="HMF4:HMF5"/>
    <mergeCell ref="HMG4:HMG5"/>
    <mergeCell ref="HMH4:HMH5"/>
    <mergeCell ref="HMI4:HMI5"/>
    <mergeCell ref="HOR4:HOR5"/>
    <mergeCell ref="HOS4:HOS5"/>
    <mergeCell ref="HOT4:HOT5"/>
    <mergeCell ref="HOU4:HOU5"/>
    <mergeCell ref="HOV4:HOV5"/>
    <mergeCell ref="HOM4:HOM5"/>
    <mergeCell ref="HON4:HON5"/>
    <mergeCell ref="HOO4:HOO5"/>
    <mergeCell ref="HOP4:HOP5"/>
    <mergeCell ref="HOQ4:HOQ5"/>
    <mergeCell ref="HOH4:HOH5"/>
    <mergeCell ref="HOI4:HOI5"/>
    <mergeCell ref="HOJ4:HOJ5"/>
    <mergeCell ref="HOK4:HOK5"/>
    <mergeCell ref="HOL4:HOL5"/>
    <mergeCell ref="HOC4:HOC5"/>
    <mergeCell ref="HOD4:HOD5"/>
    <mergeCell ref="HOE4:HOE5"/>
    <mergeCell ref="HOF4:HOF5"/>
    <mergeCell ref="HOG4:HOG5"/>
    <mergeCell ref="HNX4:HNX5"/>
    <mergeCell ref="HNY4:HNY5"/>
    <mergeCell ref="HNZ4:HNZ5"/>
    <mergeCell ref="HOA4:HOA5"/>
    <mergeCell ref="HOB4:HOB5"/>
    <mergeCell ref="HNS4:HNS5"/>
    <mergeCell ref="HNT4:HNT5"/>
    <mergeCell ref="HNU4:HNU5"/>
    <mergeCell ref="HNV4:HNV5"/>
    <mergeCell ref="HNW4:HNW5"/>
    <mergeCell ref="HNN4:HNN5"/>
    <mergeCell ref="HNO4:HNO5"/>
    <mergeCell ref="HNP4:HNP5"/>
    <mergeCell ref="HNQ4:HNQ5"/>
    <mergeCell ref="HNR4:HNR5"/>
    <mergeCell ref="HQA4:HQA5"/>
    <mergeCell ref="HQB4:HQB5"/>
    <mergeCell ref="HQC4:HQC5"/>
    <mergeCell ref="HQD4:HQD5"/>
    <mergeCell ref="HQE4:HQE5"/>
    <mergeCell ref="HPV4:HPV5"/>
    <mergeCell ref="HPW4:HPW5"/>
    <mergeCell ref="HPX4:HPX5"/>
    <mergeCell ref="HPY4:HPY5"/>
    <mergeCell ref="HPZ4:HPZ5"/>
    <mergeCell ref="HPQ4:HPQ5"/>
    <mergeCell ref="HPR4:HPR5"/>
    <mergeCell ref="HPS4:HPS5"/>
    <mergeCell ref="HPT4:HPT5"/>
    <mergeCell ref="HPU4:HPU5"/>
    <mergeCell ref="HPL4:HPL5"/>
    <mergeCell ref="HPM4:HPM5"/>
    <mergeCell ref="HPN4:HPN5"/>
    <mergeCell ref="HPO4:HPO5"/>
    <mergeCell ref="HPP4:HPP5"/>
    <mergeCell ref="HPG4:HPG5"/>
    <mergeCell ref="HPH4:HPH5"/>
    <mergeCell ref="HPI4:HPI5"/>
    <mergeCell ref="HPJ4:HPJ5"/>
    <mergeCell ref="HPK4:HPK5"/>
    <mergeCell ref="HPB4:HPB5"/>
    <mergeCell ref="HPC4:HPC5"/>
    <mergeCell ref="HPD4:HPD5"/>
    <mergeCell ref="HPE4:HPE5"/>
    <mergeCell ref="HPF4:HPF5"/>
    <mergeCell ref="HOW4:HOW5"/>
    <mergeCell ref="HOX4:HOX5"/>
    <mergeCell ref="HOY4:HOY5"/>
    <mergeCell ref="HOZ4:HOZ5"/>
    <mergeCell ref="HPA4:HPA5"/>
    <mergeCell ref="HRJ4:HRJ5"/>
    <mergeCell ref="HRK4:HRK5"/>
    <mergeCell ref="HRL4:HRL5"/>
    <mergeCell ref="HRM4:HRM5"/>
    <mergeCell ref="HRN4:HRN5"/>
    <mergeCell ref="HRE4:HRE5"/>
    <mergeCell ref="HRF4:HRF5"/>
    <mergeCell ref="HRG4:HRG5"/>
    <mergeCell ref="HRH4:HRH5"/>
    <mergeCell ref="HRI4:HRI5"/>
    <mergeCell ref="HQZ4:HQZ5"/>
    <mergeCell ref="HRA4:HRA5"/>
    <mergeCell ref="HRB4:HRB5"/>
    <mergeCell ref="HRC4:HRC5"/>
    <mergeCell ref="HRD4:HRD5"/>
    <mergeCell ref="HQU4:HQU5"/>
    <mergeCell ref="HQV4:HQV5"/>
    <mergeCell ref="HQW4:HQW5"/>
    <mergeCell ref="HQX4:HQX5"/>
    <mergeCell ref="HQY4:HQY5"/>
    <mergeCell ref="HQP4:HQP5"/>
    <mergeCell ref="HQQ4:HQQ5"/>
    <mergeCell ref="HQR4:HQR5"/>
    <mergeCell ref="HQS4:HQS5"/>
    <mergeCell ref="HQT4:HQT5"/>
    <mergeCell ref="HQK4:HQK5"/>
    <mergeCell ref="HQL4:HQL5"/>
    <mergeCell ref="HQM4:HQM5"/>
    <mergeCell ref="HQN4:HQN5"/>
    <mergeCell ref="HQO4:HQO5"/>
    <mergeCell ref="HQF4:HQF5"/>
    <mergeCell ref="HQG4:HQG5"/>
    <mergeCell ref="HQH4:HQH5"/>
    <mergeCell ref="HQI4:HQI5"/>
    <mergeCell ref="HQJ4:HQJ5"/>
    <mergeCell ref="HSS4:HSS5"/>
    <mergeCell ref="HST4:HST5"/>
    <mergeCell ref="HSU4:HSU5"/>
    <mergeCell ref="HSV4:HSV5"/>
    <mergeCell ref="HSW4:HSW5"/>
    <mergeCell ref="HSN4:HSN5"/>
    <mergeCell ref="HSO4:HSO5"/>
    <mergeCell ref="HSP4:HSP5"/>
    <mergeCell ref="HSQ4:HSQ5"/>
    <mergeCell ref="HSR4:HSR5"/>
    <mergeCell ref="HSI4:HSI5"/>
    <mergeCell ref="HSJ4:HSJ5"/>
    <mergeCell ref="HSK4:HSK5"/>
    <mergeCell ref="HSL4:HSL5"/>
    <mergeCell ref="HSM4:HSM5"/>
    <mergeCell ref="HSD4:HSD5"/>
    <mergeCell ref="HSE4:HSE5"/>
    <mergeCell ref="HSF4:HSF5"/>
    <mergeCell ref="HSG4:HSG5"/>
    <mergeCell ref="HSH4:HSH5"/>
    <mergeCell ref="HRY4:HRY5"/>
    <mergeCell ref="HRZ4:HRZ5"/>
    <mergeCell ref="HSA4:HSA5"/>
    <mergeCell ref="HSB4:HSB5"/>
    <mergeCell ref="HSC4:HSC5"/>
    <mergeCell ref="HRT4:HRT5"/>
    <mergeCell ref="HRU4:HRU5"/>
    <mergeCell ref="HRV4:HRV5"/>
    <mergeCell ref="HRW4:HRW5"/>
    <mergeCell ref="HRX4:HRX5"/>
    <mergeCell ref="HRO4:HRO5"/>
    <mergeCell ref="HRP4:HRP5"/>
    <mergeCell ref="HRQ4:HRQ5"/>
    <mergeCell ref="HRR4:HRR5"/>
    <mergeCell ref="HRS4:HRS5"/>
    <mergeCell ref="HUB4:HUB5"/>
    <mergeCell ref="HUC4:HUC5"/>
    <mergeCell ref="HUD4:HUD5"/>
    <mergeCell ref="HUE4:HUE5"/>
    <mergeCell ref="HUF4:HUF5"/>
    <mergeCell ref="HTW4:HTW5"/>
    <mergeCell ref="HTX4:HTX5"/>
    <mergeCell ref="HTY4:HTY5"/>
    <mergeCell ref="HTZ4:HTZ5"/>
    <mergeCell ref="HUA4:HUA5"/>
    <mergeCell ref="HTR4:HTR5"/>
    <mergeCell ref="HTS4:HTS5"/>
    <mergeCell ref="HTT4:HTT5"/>
    <mergeCell ref="HTU4:HTU5"/>
    <mergeCell ref="HTV4:HTV5"/>
    <mergeCell ref="HTM4:HTM5"/>
    <mergeCell ref="HTN4:HTN5"/>
    <mergeCell ref="HTO4:HTO5"/>
    <mergeCell ref="HTP4:HTP5"/>
    <mergeCell ref="HTQ4:HTQ5"/>
    <mergeCell ref="HTH4:HTH5"/>
    <mergeCell ref="HTI4:HTI5"/>
    <mergeCell ref="HTJ4:HTJ5"/>
    <mergeCell ref="HTK4:HTK5"/>
    <mergeCell ref="HTL4:HTL5"/>
    <mergeCell ref="HTC4:HTC5"/>
    <mergeCell ref="HTD4:HTD5"/>
    <mergeCell ref="HTE4:HTE5"/>
    <mergeCell ref="HTF4:HTF5"/>
    <mergeCell ref="HTG4:HTG5"/>
    <mergeCell ref="HSX4:HSX5"/>
    <mergeCell ref="HSY4:HSY5"/>
    <mergeCell ref="HSZ4:HSZ5"/>
    <mergeCell ref="HTA4:HTA5"/>
    <mergeCell ref="HTB4:HTB5"/>
    <mergeCell ref="HVK4:HVK5"/>
    <mergeCell ref="HVL4:HVL5"/>
    <mergeCell ref="HVM4:HVM5"/>
    <mergeCell ref="HVN4:HVN5"/>
    <mergeCell ref="HVO4:HVO5"/>
    <mergeCell ref="HVF4:HVF5"/>
    <mergeCell ref="HVG4:HVG5"/>
    <mergeCell ref="HVH4:HVH5"/>
    <mergeCell ref="HVI4:HVI5"/>
    <mergeCell ref="HVJ4:HVJ5"/>
    <mergeCell ref="HVA4:HVA5"/>
    <mergeCell ref="HVB4:HVB5"/>
    <mergeCell ref="HVC4:HVC5"/>
    <mergeCell ref="HVD4:HVD5"/>
    <mergeCell ref="HVE4:HVE5"/>
    <mergeCell ref="HUV4:HUV5"/>
    <mergeCell ref="HUW4:HUW5"/>
    <mergeCell ref="HUX4:HUX5"/>
    <mergeCell ref="HUY4:HUY5"/>
    <mergeCell ref="HUZ4:HUZ5"/>
    <mergeCell ref="HUQ4:HUQ5"/>
    <mergeCell ref="HUR4:HUR5"/>
    <mergeCell ref="HUS4:HUS5"/>
    <mergeCell ref="HUT4:HUT5"/>
    <mergeCell ref="HUU4:HUU5"/>
    <mergeCell ref="HUL4:HUL5"/>
    <mergeCell ref="HUM4:HUM5"/>
    <mergeCell ref="HUN4:HUN5"/>
    <mergeCell ref="HUO4:HUO5"/>
    <mergeCell ref="HUP4:HUP5"/>
    <mergeCell ref="HUG4:HUG5"/>
    <mergeCell ref="HUH4:HUH5"/>
    <mergeCell ref="HUI4:HUI5"/>
    <mergeCell ref="HUJ4:HUJ5"/>
    <mergeCell ref="HUK4:HUK5"/>
    <mergeCell ref="HWT4:HWT5"/>
    <mergeCell ref="HWU4:HWU5"/>
    <mergeCell ref="HWV4:HWV5"/>
    <mergeCell ref="HWW4:HWW5"/>
    <mergeCell ref="HWX4:HWX5"/>
    <mergeCell ref="HWO4:HWO5"/>
    <mergeCell ref="HWP4:HWP5"/>
    <mergeCell ref="HWQ4:HWQ5"/>
    <mergeCell ref="HWR4:HWR5"/>
    <mergeCell ref="HWS4:HWS5"/>
    <mergeCell ref="HWJ4:HWJ5"/>
    <mergeCell ref="HWK4:HWK5"/>
    <mergeCell ref="HWL4:HWL5"/>
    <mergeCell ref="HWM4:HWM5"/>
    <mergeCell ref="HWN4:HWN5"/>
    <mergeCell ref="HWE4:HWE5"/>
    <mergeCell ref="HWF4:HWF5"/>
    <mergeCell ref="HWG4:HWG5"/>
    <mergeCell ref="HWH4:HWH5"/>
    <mergeCell ref="HWI4:HWI5"/>
    <mergeCell ref="HVZ4:HVZ5"/>
    <mergeCell ref="HWA4:HWA5"/>
    <mergeCell ref="HWB4:HWB5"/>
    <mergeCell ref="HWC4:HWC5"/>
    <mergeCell ref="HWD4:HWD5"/>
    <mergeCell ref="HVU4:HVU5"/>
    <mergeCell ref="HVV4:HVV5"/>
    <mergeCell ref="HVW4:HVW5"/>
    <mergeCell ref="HVX4:HVX5"/>
    <mergeCell ref="HVY4:HVY5"/>
    <mergeCell ref="HVP4:HVP5"/>
    <mergeCell ref="HVQ4:HVQ5"/>
    <mergeCell ref="HVR4:HVR5"/>
    <mergeCell ref="HVS4:HVS5"/>
    <mergeCell ref="HVT4:HVT5"/>
    <mergeCell ref="HYC4:HYC5"/>
    <mergeCell ref="HYD4:HYD5"/>
    <mergeCell ref="HYE4:HYE5"/>
    <mergeCell ref="HYF4:HYF5"/>
    <mergeCell ref="HYG4:HYG5"/>
    <mergeCell ref="HXX4:HXX5"/>
    <mergeCell ref="HXY4:HXY5"/>
    <mergeCell ref="HXZ4:HXZ5"/>
    <mergeCell ref="HYA4:HYA5"/>
    <mergeCell ref="HYB4:HYB5"/>
    <mergeCell ref="HXS4:HXS5"/>
    <mergeCell ref="HXT4:HXT5"/>
    <mergeCell ref="HXU4:HXU5"/>
    <mergeCell ref="HXV4:HXV5"/>
    <mergeCell ref="HXW4:HXW5"/>
    <mergeCell ref="HXN4:HXN5"/>
    <mergeCell ref="HXO4:HXO5"/>
    <mergeCell ref="HXP4:HXP5"/>
    <mergeCell ref="HXQ4:HXQ5"/>
    <mergeCell ref="HXR4:HXR5"/>
    <mergeCell ref="HXI4:HXI5"/>
    <mergeCell ref="HXJ4:HXJ5"/>
    <mergeCell ref="HXK4:HXK5"/>
    <mergeCell ref="HXL4:HXL5"/>
    <mergeCell ref="HXM4:HXM5"/>
    <mergeCell ref="HXD4:HXD5"/>
    <mergeCell ref="HXE4:HXE5"/>
    <mergeCell ref="HXF4:HXF5"/>
    <mergeCell ref="HXG4:HXG5"/>
    <mergeCell ref="HXH4:HXH5"/>
    <mergeCell ref="HWY4:HWY5"/>
    <mergeCell ref="HWZ4:HWZ5"/>
    <mergeCell ref="HXA4:HXA5"/>
    <mergeCell ref="HXB4:HXB5"/>
    <mergeCell ref="HXC4:HXC5"/>
    <mergeCell ref="HZL4:HZL5"/>
    <mergeCell ref="HZM4:HZM5"/>
    <mergeCell ref="HZN4:HZN5"/>
    <mergeCell ref="HZO4:HZO5"/>
    <mergeCell ref="HZP4:HZP5"/>
    <mergeCell ref="HZG4:HZG5"/>
    <mergeCell ref="HZH4:HZH5"/>
    <mergeCell ref="HZI4:HZI5"/>
    <mergeCell ref="HZJ4:HZJ5"/>
    <mergeCell ref="HZK4:HZK5"/>
    <mergeCell ref="HZB4:HZB5"/>
    <mergeCell ref="HZC4:HZC5"/>
    <mergeCell ref="HZD4:HZD5"/>
    <mergeCell ref="HZE4:HZE5"/>
    <mergeCell ref="HZF4:HZF5"/>
    <mergeCell ref="HYW4:HYW5"/>
    <mergeCell ref="HYX4:HYX5"/>
    <mergeCell ref="HYY4:HYY5"/>
    <mergeCell ref="HYZ4:HYZ5"/>
    <mergeCell ref="HZA4:HZA5"/>
    <mergeCell ref="HYR4:HYR5"/>
    <mergeCell ref="HYS4:HYS5"/>
    <mergeCell ref="HYT4:HYT5"/>
    <mergeCell ref="HYU4:HYU5"/>
    <mergeCell ref="HYV4:HYV5"/>
    <mergeCell ref="HYM4:HYM5"/>
    <mergeCell ref="HYN4:HYN5"/>
    <mergeCell ref="HYO4:HYO5"/>
    <mergeCell ref="HYP4:HYP5"/>
    <mergeCell ref="HYQ4:HYQ5"/>
    <mergeCell ref="HYH4:HYH5"/>
    <mergeCell ref="HYI4:HYI5"/>
    <mergeCell ref="HYJ4:HYJ5"/>
    <mergeCell ref="HYK4:HYK5"/>
    <mergeCell ref="HYL4:HYL5"/>
    <mergeCell ref="IAU4:IAU5"/>
    <mergeCell ref="IAV4:IAV5"/>
    <mergeCell ref="IAW4:IAW5"/>
    <mergeCell ref="IAX4:IAX5"/>
    <mergeCell ref="IAY4:IAY5"/>
    <mergeCell ref="IAP4:IAP5"/>
    <mergeCell ref="IAQ4:IAQ5"/>
    <mergeCell ref="IAR4:IAR5"/>
    <mergeCell ref="IAS4:IAS5"/>
    <mergeCell ref="IAT4:IAT5"/>
    <mergeCell ref="IAK4:IAK5"/>
    <mergeCell ref="IAL4:IAL5"/>
    <mergeCell ref="IAM4:IAM5"/>
    <mergeCell ref="IAN4:IAN5"/>
    <mergeCell ref="IAO4:IAO5"/>
    <mergeCell ref="IAF4:IAF5"/>
    <mergeCell ref="IAG4:IAG5"/>
    <mergeCell ref="IAH4:IAH5"/>
    <mergeCell ref="IAI4:IAI5"/>
    <mergeCell ref="IAJ4:IAJ5"/>
    <mergeCell ref="IAA4:IAA5"/>
    <mergeCell ref="IAB4:IAB5"/>
    <mergeCell ref="IAC4:IAC5"/>
    <mergeCell ref="IAD4:IAD5"/>
    <mergeCell ref="IAE4:IAE5"/>
    <mergeCell ref="HZV4:HZV5"/>
    <mergeCell ref="HZW4:HZW5"/>
    <mergeCell ref="HZX4:HZX5"/>
    <mergeCell ref="HZY4:HZY5"/>
    <mergeCell ref="HZZ4:HZZ5"/>
    <mergeCell ref="HZQ4:HZQ5"/>
    <mergeCell ref="HZR4:HZR5"/>
    <mergeCell ref="HZS4:HZS5"/>
    <mergeCell ref="HZT4:HZT5"/>
    <mergeCell ref="HZU4:HZU5"/>
    <mergeCell ref="ICD4:ICD5"/>
    <mergeCell ref="ICE4:ICE5"/>
    <mergeCell ref="ICF4:ICF5"/>
    <mergeCell ref="ICG4:ICG5"/>
    <mergeCell ref="ICH4:ICH5"/>
    <mergeCell ref="IBY4:IBY5"/>
    <mergeCell ref="IBZ4:IBZ5"/>
    <mergeCell ref="ICA4:ICA5"/>
    <mergeCell ref="ICB4:ICB5"/>
    <mergeCell ref="ICC4:ICC5"/>
    <mergeCell ref="IBT4:IBT5"/>
    <mergeCell ref="IBU4:IBU5"/>
    <mergeCell ref="IBV4:IBV5"/>
    <mergeCell ref="IBW4:IBW5"/>
    <mergeCell ref="IBX4:IBX5"/>
    <mergeCell ref="IBO4:IBO5"/>
    <mergeCell ref="IBP4:IBP5"/>
    <mergeCell ref="IBQ4:IBQ5"/>
    <mergeCell ref="IBR4:IBR5"/>
    <mergeCell ref="IBS4:IBS5"/>
    <mergeCell ref="IBJ4:IBJ5"/>
    <mergeCell ref="IBK4:IBK5"/>
    <mergeCell ref="IBL4:IBL5"/>
    <mergeCell ref="IBM4:IBM5"/>
    <mergeCell ref="IBN4:IBN5"/>
    <mergeCell ref="IBE4:IBE5"/>
    <mergeCell ref="IBF4:IBF5"/>
    <mergeCell ref="IBG4:IBG5"/>
    <mergeCell ref="IBH4:IBH5"/>
    <mergeCell ref="IBI4:IBI5"/>
    <mergeCell ref="IAZ4:IAZ5"/>
    <mergeCell ref="IBA4:IBA5"/>
    <mergeCell ref="IBB4:IBB5"/>
    <mergeCell ref="IBC4:IBC5"/>
    <mergeCell ref="IBD4:IBD5"/>
    <mergeCell ref="IDM4:IDM5"/>
    <mergeCell ref="IDN4:IDN5"/>
    <mergeCell ref="IDO4:IDO5"/>
    <mergeCell ref="IDP4:IDP5"/>
    <mergeCell ref="IDQ4:IDQ5"/>
    <mergeCell ref="IDH4:IDH5"/>
    <mergeCell ref="IDI4:IDI5"/>
    <mergeCell ref="IDJ4:IDJ5"/>
    <mergeCell ref="IDK4:IDK5"/>
    <mergeCell ref="IDL4:IDL5"/>
    <mergeCell ref="IDC4:IDC5"/>
    <mergeCell ref="IDD4:IDD5"/>
    <mergeCell ref="IDE4:IDE5"/>
    <mergeCell ref="IDF4:IDF5"/>
    <mergeCell ref="IDG4:IDG5"/>
    <mergeCell ref="ICX4:ICX5"/>
    <mergeCell ref="ICY4:ICY5"/>
    <mergeCell ref="ICZ4:ICZ5"/>
    <mergeCell ref="IDA4:IDA5"/>
    <mergeCell ref="IDB4:IDB5"/>
    <mergeCell ref="ICS4:ICS5"/>
    <mergeCell ref="ICT4:ICT5"/>
    <mergeCell ref="ICU4:ICU5"/>
    <mergeCell ref="ICV4:ICV5"/>
    <mergeCell ref="ICW4:ICW5"/>
    <mergeCell ref="ICN4:ICN5"/>
    <mergeCell ref="ICO4:ICO5"/>
    <mergeCell ref="ICP4:ICP5"/>
    <mergeCell ref="ICQ4:ICQ5"/>
    <mergeCell ref="ICR4:ICR5"/>
    <mergeCell ref="ICI4:ICI5"/>
    <mergeCell ref="ICJ4:ICJ5"/>
    <mergeCell ref="ICK4:ICK5"/>
    <mergeCell ref="ICL4:ICL5"/>
    <mergeCell ref="ICM4:ICM5"/>
    <mergeCell ref="IEV4:IEV5"/>
    <mergeCell ref="IEW4:IEW5"/>
    <mergeCell ref="IEX4:IEX5"/>
    <mergeCell ref="IEY4:IEY5"/>
    <mergeCell ref="IEZ4:IEZ5"/>
    <mergeCell ref="IEQ4:IEQ5"/>
    <mergeCell ref="IER4:IER5"/>
    <mergeCell ref="IES4:IES5"/>
    <mergeCell ref="IET4:IET5"/>
    <mergeCell ref="IEU4:IEU5"/>
    <mergeCell ref="IEL4:IEL5"/>
    <mergeCell ref="IEM4:IEM5"/>
    <mergeCell ref="IEN4:IEN5"/>
    <mergeCell ref="IEO4:IEO5"/>
    <mergeCell ref="IEP4:IEP5"/>
    <mergeCell ref="IEG4:IEG5"/>
    <mergeCell ref="IEH4:IEH5"/>
    <mergeCell ref="IEI4:IEI5"/>
    <mergeCell ref="IEJ4:IEJ5"/>
    <mergeCell ref="IEK4:IEK5"/>
    <mergeCell ref="IEB4:IEB5"/>
    <mergeCell ref="IEC4:IEC5"/>
    <mergeCell ref="IED4:IED5"/>
    <mergeCell ref="IEE4:IEE5"/>
    <mergeCell ref="IEF4:IEF5"/>
    <mergeCell ref="IDW4:IDW5"/>
    <mergeCell ref="IDX4:IDX5"/>
    <mergeCell ref="IDY4:IDY5"/>
    <mergeCell ref="IDZ4:IDZ5"/>
    <mergeCell ref="IEA4:IEA5"/>
    <mergeCell ref="IDR4:IDR5"/>
    <mergeCell ref="IDS4:IDS5"/>
    <mergeCell ref="IDT4:IDT5"/>
    <mergeCell ref="IDU4:IDU5"/>
    <mergeCell ref="IDV4:IDV5"/>
    <mergeCell ref="IGE4:IGE5"/>
    <mergeCell ref="IGF4:IGF5"/>
    <mergeCell ref="IGG4:IGG5"/>
    <mergeCell ref="IGH4:IGH5"/>
    <mergeCell ref="IGI4:IGI5"/>
    <mergeCell ref="IFZ4:IFZ5"/>
    <mergeCell ref="IGA4:IGA5"/>
    <mergeCell ref="IGB4:IGB5"/>
    <mergeCell ref="IGC4:IGC5"/>
    <mergeCell ref="IGD4:IGD5"/>
    <mergeCell ref="IFU4:IFU5"/>
    <mergeCell ref="IFV4:IFV5"/>
    <mergeCell ref="IFW4:IFW5"/>
    <mergeCell ref="IFX4:IFX5"/>
    <mergeCell ref="IFY4:IFY5"/>
    <mergeCell ref="IFP4:IFP5"/>
    <mergeCell ref="IFQ4:IFQ5"/>
    <mergeCell ref="IFR4:IFR5"/>
    <mergeCell ref="IFS4:IFS5"/>
    <mergeCell ref="IFT4:IFT5"/>
    <mergeCell ref="IFK4:IFK5"/>
    <mergeCell ref="IFL4:IFL5"/>
    <mergeCell ref="IFM4:IFM5"/>
    <mergeCell ref="IFN4:IFN5"/>
    <mergeCell ref="IFO4:IFO5"/>
    <mergeCell ref="IFF4:IFF5"/>
    <mergeCell ref="IFG4:IFG5"/>
    <mergeCell ref="IFH4:IFH5"/>
    <mergeCell ref="IFI4:IFI5"/>
    <mergeCell ref="IFJ4:IFJ5"/>
    <mergeCell ref="IFA4:IFA5"/>
    <mergeCell ref="IFB4:IFB5"/>
    <mergeCell ref="IFC4:IFC5"/>
    <mergeCell ref="IFD4:IFD5"/>
    <mergeCell ref="IFE4:IFE5"/>
    <mergeCell ref="IHN4:IHN5"/>
    <mergeCell ref="IHO4:IHO5"/>
    <mergeCell ref="IHP4:IHP5"/>
    <mergeCell ref="IHQ4:IHQ5"/>
    <mergeCell ref="IHR4:IHR5"/>
    <mergeCell ref="IHI4:IHI5"/>
    <mergeCell ref="IHJ4:IHJ5"/>
    <mergeCell ref="IHK4:IHK5"/>
    <mergeCell ref="IHL4:IHL5"/>
    <mergeCell ref="IHM4:IHM5"/>
    <mergeCell ref="IHD4:IHD5"/>
    <mergeCell ref="IHE4:IHE5"/>
    <mergeCell ref="IHF4:IHF5"/>
    <mergeCell ref="IHG4:IHG5"/>
    <mergeCell ref="IHH4:IHH5"/>
    <mergeCell ref="IGY4:IGY5"/>
    <mergeCell ref="IGZ4:IGZ5"/>
    <mergeCell ref="IHA4:IHA5"/>
    <mergeCell ref="IHB4:IHB5"/>
    <mergeCell ref="IHC4:IHC5"/>
    <mergeCell ref="IGT4:IGT5"/>
    <mergeCell ref="IGU4:IGU5"/>
    <mergeCell ref="IGV4:IGV5"/>
    <mergeCell ref="IGW4:IGW5"/>
    <mergeCell ref="IGX4:IGX5"/>
    <mergeCell ref="IGO4:IGO5"/>
    <mergeCell ref="IGP4:IGP5"/>
    <mergeCell ref="IGQ4:IGQ5"/>
    <mergeCell ref="IGR4:IGR5"/>
    <mergeCell ref="IGS4:IGS5"/>
    <mergeCell ref="IGJ4:IGJ5"/>
    <mergeCell ref="IGK4:IGK5"/>
    <mergeCell ref="IGL4:IGL5"/>
    <mergeCell ref="IGM4:IGM5"/>
    <mergeCell ref="IGN4:IGN5"/>
    <mergeCell ref="IIW4:IIW5"/>
    <mergeCell ref="IIX4:IIX5"/>
    <mergeCell ref="IIY4:IIY5"/>
    <mergeCell ref="IIZ4:IIZ5"/>
    <mergeCell ref="IJA4:IJA5"/>
    <mergeCell ref="IIR4:IIR5"/>
    <mergeCell ref="IIS4:IIS5"/>
    <mergeCell ref="IIT4:IIT5"/>
    <mergeCell ref="IIU4:IIU5"/>
    <mergeCell ref="IIV4:IIV5"/>
    <mergeCell ref="IIM4:IIM5"/>
    <mergeCell ref="IIN4:IIN5"/>
    <mergeCell ref="IIO4:IIO5"/>
    <mergeCell ref="IIP4:IIP5"/>
    <mergeCell ref="IIQ4:IIQ5"/>
    <mergeCell ref="IIH4:IIH5"/>
    <mergeCell ref="III4:III5"/>
    <mergeCell ref="IIJ4:IIJ5"/>
    <mergeCell ref="IIK4:IIK5"/>
    <mergeCell ref="IIL4:IIL5"/>
    <mergeCell ref="IIC4:IIC5"/>
    <mergeCell ref="IID4:IID5"/>
    <mergeCell ref="IIE4:IIE5"/>
    <mergeCell ref="IIF4:IIF5"/>
    <mergeCell ref="IIG4:IIG5"/>
    <mergeCell ref="IHX4:IHX5"/>
    <mergeCell ref="IHY4:IHY5"/>
    <mergeCell ref="IHZ4:IHZ5"/>
    <mergeCell ref="IIA4:IIA5"/>
    <mergeCell ref="IIB4:IIB5"/>
    <mergeCell ref="IHS4:IHS5"/>
    <mergeCell ref="IHT4:IHT5"/>
    <mergeCell ref="IHU4:IHU5"/>
    <mergeCell ref="IHV4:IHV5"/>
    <mergeCell ref="IHW4:IHW5"/>
    <mergeCell ref="IKF4:IKF5"/>
    <mergeCell ref="IKG4:IKG5"/>
    <mergeCell ref="IKH4:IKH5"/>
    <mergeCell ref="IKI4:IKI5"/>
    <mergeCell ref="IKJ4:IKJ5"/>
    <mergeCell ref="IKA4:IKA5"/>
    <mergeCell ref="IKB4:IKB5"/>
    <mergeCell ref="IKC4:IKC5"/>
    <mergeCell ref="IKD4:IKD5"/>
    <mergeCell ref="IKE4:IKE5"/>
    <mergeCell ref="IJV4:IJV5"/>
    <mergeCell ref="IJW4:IJW5"/>
    <mergeCell ref="IJX4:IJX5"/>
    <mergeCell ref="IJY4:IJY5"/>
    <mergeCell ref="IJZ4:IJZ5"/>
    <mergeCell ref="IJQ4:IJQ5"/>
    <mergeCell ref="IJR4:IJR5"/>
    <mergeCell ref="IJS4:IJS5"/>
    <mergeCell ref="IJT4:IJT5"/>
    <mergeCell ref="IJU4:IJU5"/>
    <mergeCell ref="IJL4:IJL5"/>
    <mergeCell ref="IJM4:IJM5"/>
    <mergeCell ref="IJN4:IJN5"/>
    <mergeCell ref="IJO4:IJO5"/>
    <mergeCell ref="IJP4:IJP5"/>
    <mergeCell ref="IJG4:IJG5"/>
    <mergeCell ref="IJH4:IJH5"/>
    <mergeCell ref="IJI4:IJI5"/>
    <mergeCell ref="IJJ4:IJJ5"/>
    <mergeCell ref="IJK4:IJK5"/>
    <mergeCell ref="IJB4:IJB5"/>
    <mergeCell ref="IJC4:IJC5"/>
    <mergeCell ref="IJD4:IJD5"/>
    <mergeCell ref="IJE4:IJE5"/>
    <mergeCell ref="IJF4:IJF5"/>
    <mergeCell ref="ILO4:ILO5"/>
    <mergeCell ref="ILP4:ILP5"/>
    <mergeCell ref="ILQ4:ILQ5"/>
    <mergeCell ref="ILR4:ILR5"/>
    <mergeCell ref="ILS4:ILS5"/>
    <mergeCell ref="ILJ4:ILJ5"/>
    <mergeCell ref="ILK4:ILK5"/>
    <mergeCell ref="ILL4:ILL5"/>
    <mergeCell ref="ILM4:ILM5"/>
    <mergeCell ref="ILN4:ILN5"/>
    <mergeCell ref="ILE4:ILE5"/>
    <mergeCell ref="ILF4:ILF5"/>
    <mergeCell ref="ILG4:ILG5"/>
    <mergeCell ref="ILH4:ILH5"/>
    <mergeCell ref="ILI4:ILI5"/>
    <mergeCell ref="IKZ4:IKZ5"/>
    <mergeCell ref="ILA4:ILA5"/>
    <mergeCell ref="ILB4:ILB5"/>
    <mergeCell ref="ILC4:ILC5"/>
    <mergeCell ref="ILD4:ILD5"/>
    <mergeCell ref="IKU4:IKU5"/>
    <mergeCell ref="IKV4:IKV5"/>
    <mergeCell ref="IKW4:IKW5"/>
    <mergeCell ref="IKX4:IKX5"/>
    <mergeCell ref="IKY4:IKY5"/>
    <mergeCell ref="IKP4:IKP5"/>
    <mergeCell ref="IKQ4:IKQ5"/>
    <mergeCell ref="IKR4:IKR5"/>
    <mergeCell ref="IKS4:IKS5"/>
    <mergeCell ref="IKT4:IKT5"/>
    <mergeCell ref="IKK4:IKK5"/>
    <mergeCell ref="IKL4:IKL5"/>
    <mergeCell ref="IKM4:IKM5"/>
    <mergeCell ref="IKN4:IKN5"/>
    <mergeCell ref="IKO4:IKO5"/>
    <mergeCell ref="IMX4:IMX5"/>
    <mergeCell ref="IMY4:IMY5"/>
    <mergeCell ref="IMZ4:IMZ5"/>
    <mergeCell ref="INA4:INA5"/>
    <mergeCell ref="INB4:INB5"/>
    <mergeCell ref="IMS4:IMS5"/>
    <mergeCell ref="IMT4:IMT5"/>
    <mergeCell ref="IMU4:IMU5"/>
    <mergeCell ref="IMV4:IMV5"/>
    <mergeCell ref="IMW4:IMW5"/>
    <mergeCell ref="IMN4:IMN5"/>
    <mergeCell ref="IMO4:IMO5"/>
    <mergeCell ref="IMP4:IMP5"/>
    <mergeCell ref="IMQ4:IMQ5"/>
    <mergeCell ref="IMR4:IMR5"/>
    <mergeCell ref="IMI4:IMI5"/>
    <mergeCell ref="IMJ4:IMJ5"/>
    <mergeCell ref="IMK4:IMK5"/>
    <mergeCell ref="IML4:IML5"/>
    <mergeCell ref="IMM4:IMM5"/>
    <mergeCell ref="IMD4:IMD5"/>
    <mergeCell ref="IME4:IME5"/>
    <mergeCell ref="IMF4:IMF5"/>
    <mergeCell ref="IMG4:IMG5"/>
    <mergeCell ref="IMH4:IMH5"/>
    <mergeCell ref="ILY4:ILY5"/>
    <mergeCell ref="ILZ4:ILZ5"/>
    <mergeCell ref="IMA4:IMA5"/>
    <mergeCell ref="IMB4:IMB5"/>
    <mergeCell ref="IMC4:IMC5"/>
    <mergeCell ref="ILT4:ILT5"/>
    <mergeCell ref="ILU4:ILU5"/>
    <mergeCell ref="ILV4:ILV5"/>
    <mergeCell ref="ILW4:ILW5"/>
    <mergeCell ref="ILX4:ILX5"/>
    <mergeCell ref="IOG4:IOG5"/>
    <mergeCell ref="IOH4:IOH5"/>
    <mergeCell ref="IOI4:IOI5"/>
    <mergeCell ref="IOJ4:IOJ5"/>
    <mergeCell ref="IOK4:IOK5"/>
    <mergeCell ref="IOB4:IOB5"/>
    <mergeCell ref="IOC4:IOC5"/>
    <mergeCell ref="IOD4:IOD5"/>
    <mergeCell ref="IOE4:IOE5"/>
    <mergeCell ref="IOF4:IOF5"/>
    <mergeCell ref="INW4:INW5"/>
    <mergeCell ref="INX4:INX5"/>
    <mergeCell ref="INY4:INY5"/>
    <mergeCell ref="INZ4:INZ5"/>
    <mergeCell ref="IOA4:IOA5"/>
    <mergeCell ref="INR4:INR5"/>
    <mergeCell ref="INS4:INS5"/>
    <mergeCell ref="INT4:INT5"/>
    <mergeCell ref="INU4:INU5"/>
    <mergeCell ref="INV4:INV5"/>
    <mergeCell ref="INM4:INM5"/>
    <mergeCell ref="INN4:INN5"/>
    <mergeCell ref="INO4:INO5"/>
    <mergeCell ref="INP4:INP5"/>
    <mergeCell ref="INQ4:INQ5"/>
    <mergeCell ref="INH4:INH5"/>
    <mergeCell ref="INI4:INI5"/>
    <mergeCell ref="INJ4:INJ5"/>
    <mergeCell ref="INK4:INK5"/>
    <mergeCell ref="INL4:INL5"/>
    <mergeCell ref="INC4:INC5"/>
    <mergeCell ref="IND4:IND5"/>
    <mergeCell ref="INE4:INE5"/>
    <mergeCell ref="INF4:INF5"/>
    <mergeCell ref="ING4:ING5"/>
    <mergeCell ref="IPP4:IPP5"/>
    <mergeCell ref="IPQ4:IPQ5"/>
    <mergeCell ref="IPR4:IPR5"/>
    <mergeCell ref="IPS4:IPS5"/>
    <mergeCell ref="IPT4:IPT5"/>
    <mergeCell ref="IPK4:IPK5"/>
    <mergeCell ref="IPL4:IPL5"/>
    <mergeCell ref="IPM4:IPM5"/>
    <mergeCell ref="IPN4:IPN5"/>
    <mergeCell ref="IPO4:IPO5"/>
    <mergeCell ref="IPF4:IPF5"/>
    <mergeCell ref="IPG4:IPG5"/>
    <mergeCell ref="IPH4:IPH5"/>
    <mergeCell ref="IPI4:IPI5"/>
    <mergeCell ref="IPJ4:IPJ5"/>
    <mergeCell ref="IPA4:IPA5"/>
    <mergeCell ref="IPB4:IPB5"/>
    <mergeCell ref="IPC4:IPC5"/>
    <mergeCell ref="IPD4:IPD5"/>
    <mergeCell ref="IPE4:IPE5"/>
    <mergeCell ref="IOV4:IOV5"/>
    <mergeCell ref="IOW4:IOW5"/>
    <mergeCell ref="IOX4:IOX5"/>
    <mergeCell ref="IOY4:IOY5"/>
    <mergeCell ref="IOZ4:IOZ5"/>
    <mergeCell ref="IOQ4:IOQ5"/>
    <mergeCell ref="IOR4:IOR5"/>
    <mergeCell ref="IOS4:IOS5"/>
    <mergeCell ref="IOT4:IOT5"/>
    <mergeCell ref="IOU4:IOU5"/>
    <mergeCell ref="IOL4:IOL5"/>
    <mergeCell ref="IOM4:IOM5"/>
    <mergeCell ref="ION4:ION5"/>
    <mergeCell ref="IOO4:IOO5"/>
    <mergeCell ref="IOP4:IOP5"/>
    <mergeCell ref="IQY4:IQY5"/>
    <mergeCell ref="IQZ4:IQZ5"/>
    <mergeCell ref="IRA4:IRA5"/>
    <mergeCell ref="IRB4:IRB5"/>
    <mergeCell ref="IRC4:IRC5"/>
    <mergeCell ref="IQT4:IQT5"/>
    <mergeCell ref="IQU4:IQU5"/>
    <mergeCell ref="IQV4:IQV5"/>
    <mergeCell ref="IQW4:IQW5"/>
    <mergeCell ref="IQX4:IQX5"/>
    <mergeCell ref="IQO4:IQO5"/>
    <mergeCell ref="IQP4:IQP5"/>
    <mergeCell ref="IQQ4:IQQ5"/>
    <mergeCell ref="IQR4:IQR5"/>
    <mergeCell ref="IQS4:IQS5"/>
    <mergeCell ref="IQJ4:IQJ5"/>
    <mergeCell ref="IQK4:IQK5"/>
    <mergeCell ref="IQL4:IQL5"/>
    <mergeCell ref="IQM4:IQM5"/>
    <mergeCell ref="IQN4:IQN5"/>
    <mergeCell ref="IQE4:IQE5"/>
    <mergeCell ref="IQF4:IQF5"/>
    <mergeCell ref="IQG4:IQG5"/>
    <mergeCell ref="IQH4:IQH5"/>
    <mergeCell ref="IQI4:IQI5"/>
    <mergeCell ref="IPZ4:IPZ5"/>
    <mergeCell ref="IQA4:IQA5"/>
    <mergeCell ref="IQB4:IQB5"/>
    <mergeCell ref="IQC4:IQC5"/>
    <mergeCell ref="IQD4:IQD5"/>
    <mergeCell ref="IPU4:IPU5"/>
    <mergeCell ref="IPV4:IPV5"/>
    <mergeCell ref="IPW4:IPW5"/>
    <mergeCell ref="IPX4:IPX5"/>
    <mergeCell ref="IPY4:IPY5"/>
    <mergeCell ref="ISH4:ISH5"/>
    <mergeCell ref="ISI4:ISI5"/>
    <mergeCell ref="ISJ4:ISJ5"/>
    <mergeCell ref="ISK4:ISK5"/>
    <mergeCell ref="ISL4:ISL5"/>
    <mergeCell ref="ISC4:ISC5"/>
    <mergeCell ref="ISD4:ISD5"/>
    <mergeCell ref="ISE4:ISE5"/>
    <mergeCell ref="ISF4:ISF5"/>
    <mergeCell ref="ISG4:ISG5"/>
    <mergeCell ref="IRX4:IRX5"/>
    <mergeCell ref="IRY4:IRY5"/>
    <mergeCell ref="IRZ4:IRZ5"/>
    <mergeCell ref="ISA4:ISA5"/>
    <mergeCell ref="ISB4:ISB5"/>
    <mergeCell ref="IRS4:IRS5"/>
    <mergeCell ref="IRT4:IRT5"/>
    <mergeCell ref="IRU4:IRU5"/>
    <mergeCell ref="IRV4:IRV5"/>
    <mergeCell ref="IRW4:IRW5"/>
    <mergeCell ref="IRN4:IRN5"/>
    <mergeCell ref="IRO4:IRO5"/>
    <mergeCell ref="IRP4:IRP5"/>
    <mergeCell ref="IRQ4:IRQ5"/>
    <mergeCell ref="IRR4:IRR5"/>
    <mergeCell ref="IRI4:IRI5"/>
    <mergeCell ref="IRJ4:IRJ5"/>
    <mergeCell ref="IRK4:IRK5"/>
    <mergeCell ref="IRL4:IRL5"/>
    <mergeCell ref="IRM4:IRM5"/>
    <mergeCell ref="IRD4:IRD5"/>
    <mergeCell ref="IRE4:IRE5"/>
    <mergeCell ref="IRF4:IRF5"/>
    <mergeCell ref="IRG4:IRG5"/>
    <mergeCell ref="IRH4:IRH5"/>
    <mergeCell ref="ITQ4:ITQ5"/>
    <mergeCell ref="ITR4:ITR5"/>
    <mergeCell ref="ITS4:ITS5"/>
    <mergeCell ref="ITT4:ITT5"/>
    <mergeCell ref="ITU4:ITU5"/>
    <mergeCell ref="ITL4:ITL5"/>
    <mergeCell ref="ITM4:ITM5"/>
    <mergeCell ref="ITN4:ITN5"/>
    <mergeCell ref="ITO4:ITO5"/>
    <mergeCell ref="ITP4:ITP5"/>
    <mergeCell ref="ITG4:ITG5"/>
    <mergeCell ref="ITH4:ITH5"/>
    <mergeCell ref="ITI4:ITI5"/>
    <mergeCell ref="ITJ4:ITJ5"/>
    <mergeCell ref="ITK4:ITK5"/>
    <mergeCell ref="ITB4:ITB5"/>
    <mergeCell ref="ITC4:ITC5"/>
    <mergeCell ref="ITD4:ITD5"/>
    <mergeCell ref="ITE4:ITE5"/>
    <mergeCell ref="ITF4:ITF5"/>
    <mergeCell ref="ISW4:ISW5"/>
    <mergeCell ref="ISX4:ISX5"/>
    <mergeCell ref="ISY4:ISY5"/>
    <mergeCell ref="ISZ4:ISZ5"/>
    <mergeCell ref="ITA4:ITA5"/>
    <mergeCell ref="ISR4:ISR5"/>
    <mergeCell ref="ISS4:ISS5"/>
    <mergeCell ref="IST4:IST5"/>
    <mergeCell ref="ISU4:ISU5"/>
    <mergeCell ref="ISV4:ISV5"/>
    <mergeCell ref="ISM4:ISM5"/>
    <mergeCell ref="ISN4:ISN5"/>
    <mergeCell ref="ISO4:ISO5"/>
    <mergeCell ref="ISP4:ISP5"/>
    <mergeCell ref="ISQ4:ISQ5"/>
    <mergeCell ref="IUZ4:IUZ5"/>
    <mergeCell ref="IVA4:IVA5"/>
    <mergeCell ref="IVB4:IVB5"/>
    <mergeCell ref="IVC4:IVC5"/>
    <mergeCell ref="IVD4:IVD5"/>
    <mergeCell ref="IUU4:IUU5"/>
    <mergeCell ref="IUV4:IUV5"/>
    <mergeCell ref="IUW4:IUW5"/>
    <mergeCell ref="IUX4:IUX5"/>
    <mergeCell ref="IUY4:IUY5"/>
    <mergeCell ref="IUP4:IUP5"/>
    <mergeCell ref="IUQ4:IUQ5"/>
    <mergeCell ref="IUR4:IUR5"/>
    <mergeCell ref="IUS4:IUS5"/>
    <mergeCell ref="IUT4:IUT5"/>
    <mergeCell ref="IUK4:IUK5"/>
    <mergeCell ref="IUL4:IUL5"/>
    <mergeCell ref="IUM4:IUM5"/>
    <mergeCell ref="IUN4:IUN5"/>
    <mergeCell ref="IUO4:IUO5"/>
    <mergeCell ref="IUF4:IUF5"/>
    <mergeCell ref="IUG4:IUG5"/>
    <mergeCell ref="IUH4:IUH5"/>
    <mergeCell ref="IUI4:IUI5"/>
    <mergeCell ref="IUJ4:IUJ5"/>
    <mergeCell ref="IUA4:IUA5"/>
    <mergeCell ref="IUB4:IUB5"/>
    <mergeCell ref="IUC4:IUC5"/>
    <mergeCell ref="IUD4:IUD5"/>
    <mergeCell ref="IUE4:IUE5"/>
    <mergeCell ref="ITV4:ITV5"/>
    <mergeCell ref="ITW4:ITW5"/>
    <mergeCell ref="ITX4:ITX5"/>
    <mergeCell ref="ITY4:ITY5"/>
    <mergeCell ref="ITZ4:ITZ5"/>
    <mergeCell ref="IWI4:IWI5"/>
    <mergeCell ref="IWJ4:IWJ5"/>
    <mergeCell ref="IWK4:IWK5"/>
    <mergeCell ref="IWL4:IWL5"/>
    <mergeCell ref="IWM4:IWM5"/>
    <mergeCell ref="IWD4:IWD5"/>
    <mergeCell ref="IWE4:IWE5"/>
    <mergeCell ref="IWF4:IWF5"/>
    <mergeCell ref="IWG4:IWG5"/>
    <mergeCell ref="IWH4:IWH5"/>
    <mergeCell ref="IVY4:IVY5"/>
    <mergeCell ref="IVZ4:IVZ5"/>
    <mergeCell ref="IWA4:IWA5"/>
    <mergeCell ref="IWB4:IWB5"/>
    <mergeCell ref="IWC4:IWC5"/>
    <mergeCell ref="IVT4:IVT5"/>
    <mergeCell ref="IVU4:IVU5"/>
    <mergeCell ref="IVV4:IVV5"/>
    <mergeCell ref="IVW4:IVW5"/>
    <mergeCell ref="IVX4:IVX5"/>
    <mergeCell ref="IVO4:IVO5"/>
    <mergeCell ref="IVP4:IVP5"/>
    <mergeCell ref="IVQ4:IVQ5"/>
    <mergeCell ref="IVR4:IVR5"/>
    <mergeCell ref="IVS4:IVS5"/>
    <mergeCell ref="IVJ4:IVJ5"/>
    <mergeCell ref="IVK4:IVK5"/>
    <mergeCell ref="IVL4:IVL5"/>
    <mergeCell ref="IVM4:IVM5"/>
    <mergeCell ref="IVN4:IVN5"/>
    <mergeCell ref="IVE4:IVE5"/>
    <mergeCell ref="IVF4:IVF5"/>
    <mergeCell ref="IVG4:IVG5"/>
    <mergeCell ref="IVH4:IVH5"/>
    <mergeCell ref="IVI4:IVI5"/>
    <mergeCell ref="IXR4:IXR5"/>
    <mergeCell ref="IXS4:IXS5"/>
    <mergeCell ref="IXT4:IXT5"/>
    <mergeCell ref="IXU4:IXU5"/>
    <mergeCell ref="IXV4:IXV5"/>
    <mergeCell ref="IXM4:IXM5"/>
    <mergeCell ref="IXN4:IXN5"/>
    <mergeCell ref="IXO4:IXO5"/>
    <mergeCell ref="IXP4:IXP5"/>
    <mergeCell ref="IXQ4:IXQ5"/>
    <mergeCell ref="IXH4:IXH5"/>
    <mergeCell ref="IXI4:IXI5"/>
    <mergeCell ref="IXJ4:IXJ5"/>
    <mergeCell ref="IXK4:IXK5"/>
    <mergeCell ref="IXL4:IXL5"/>
    <mergeCell ref="IXC4:IXC5"/>
    <mergeCell ref="IXD4:IXD5"/>
    <mergeCell ref="IXE4:IXE5"/>
    <mergeCell ref="IXF4:IXF5"/>
    <mergeCell ref="IXG4:IXG5"/>
    <mergeCell ref="IWX4:IWX5"/>
    <mergeCell ref="IWY4:IWY5"/>
    <mergeCell ref="IWZ4:IWZ5"/>
    <mergeCell ref="IXA4:IXA5"/>
    <mergeCell ref="IXB4:IXB5"/>
    <mergeCell ref="IWS4:IWS5"/>
    <mergeCell ref="IWT4:IWT5"/>
    <mergeCell ref="IWU4:IWU5"/>
    <mergeCell ref="IWV4:IWV5"/>
    <mergeCell ref="IWW4:IWW5"/>
    <mergeCell ref="IWN4:IWN5"/>
    <mergeCell ref="IWO4:IWO5"/>
    <mergeCell ref="IWP4:IWP5"/>
    <mergeCell ref="IWQ4:IWQ5"/>
    <mergeCell ref="IWR4:IWR5"/>
    <mergeCell ref="IZA4:IZA5"/>
    <mergeCell ref="IZB4:IZB5"/>
    <mergeCell ref="IZC4:IZC5"/>
    <mergeCell ref="IZD4:IZD5"/>
    <mergeCell ref="IZE4:IZE5"/>
    <mergeCell ref="IYV4:IYV5"/>
    <mergeCell ref="IYW4:IYW5"/>
    <mergeCell ref="IYX4:IYX5"/>
    <mergeCell ref="IYY4:IYY5"/>
    <mergeCell ref="IYZ4:IYZ5"/>
    <mergeCell ref="IYQ4:IYQ5"/>
    <mergeCell ref="IYR4:IYR5"/>
    <mergeCell ref="IYS4:IYS5"/>
    <mergeCell ref="IYT4:IYT5"/>
    <mergeCell ref="IYU4:IYU5"/>
    <mergeCell ref="IYL4:IYL5"/>
    <mergeCell ref="IYM4:IYM5"/>
    <mergeCell ref="IYN4:IYN5"/>
    <mergeCell ref="IYO4:IYO5"/>
    <mergeCell ref="IYP4:IYP5"/>
    <mergeCell ref="IYG4:IYG5"/>
    <mergeCell ref="IYH4:IYH5"/>
    <mergeCell ref="IYI4:IYI5"/>
    <mergeCell ref="IYJ4:IYJ5"/>
    <mergeCell ref="IYK4:IYK5"/>
    <mergeCell ref="IYB4:IYB5"/>
    <mergeCell ref="IYC4:IYC5"/>
    <mergeCell ref="IYD4:IYD5"/>
    <mergeCell ref="IYE4:IYE5"/>
    <mergeCell ref="IYF4:IYF5"/>
    <mergeCell ref="IXW4:IXW5"/>
    <mergeCell ref="IXX4:IXX5"/>
    <mergeCell ref="IXY4:IXY5"/>
    <mergeCell ref="IXZ4:IXZ5"/>
    <mergeCell ref="IYA4:IYA5"/>
    <mergeCell ref="JAJ4:JAJ5"/>
    <mergeCell ref="JAK4:JAK5"/>
    <mergeCell ref="JAL4:JAL5"/>
    <mergeCell ref="JAM4:JAM5"/>
    <mergeCell ref="JAN4:JAN5"/>
    <mergeCell ref="JAE4:JAE5"/>
    <mergeCell ref="JAF4:JAF5"/>
    <mergeCell ref="JAG4:JAG5"/>
    <mergeCell ref="JAH4:JAH5"/>
    <mergeCell ref="JAI4:JAI5"/>
    <mergeCell ref="IZZ4:IZZ5"/>
    <mergeCell ref="JAA4:JAA5"/>
    <mergeCell ref="JAB4:JAB5"/>
    <mergeCell ref="JAC4:JAC5"/>
    <mergeCell ref="JAD4:JAD5"/>
    <mergeCell ref="IZU4:IZU5"/>
    <mergeCell ref="IZV4:IZV5"/>
    <mergeCell ref="IZW4:IZW5"/>
    <mergeCell ref="IZX4:IZX5"/>
    <mergeCell ref="IZY4:IZY5"/>
    <mergeCell ref="IZP4:IZP5"/>
    <mergeCell ref="IZQ4:IZQ5"/>
    <mergeCell ref="IZR4:IZR5"/>
    <mergeCell ref="IZS4:IZS5"/>
    <mergeCell ref="IZT4:IZT5"/>
    <mergeCell ref="IZK4:IZK5"/>
    <mergeCell ref="IZL4:IZL5"/>
    <mergeCell ref="IZM4:IZM5"/>
    <mergeCell ref="IZN4:IZN5"/>
    <mergeCell ref="IZO4:IZO5"/>
    <mergeCell ref="IZF4:IZF5"/>
    <mergeCell ref="IZG4:IZG5"/>
    <mergeCell ref="IZH4:IZH5"/>
    <mergeCell ref="IZI4:IZI5"/>
    <mergeCell ref="IZJ4:IZJ5"/>
    <mergeCell ref="JBS4:JBS5"/>
    <mergeCell ref="JBT4:JBT5"/>
    <mergeCell ref="JBU4:JBU5"/>
    <mergeCell ref="JBV4:JBV5"/>
    <mergeCell ref="JBW4:JBW5"/>
    <mergeCell ref="JBN4:JBN5"/>
    <mergeCell ref="JBO4:JBO5"/>
    <mergeCell ref="JBP4:JBP5"/>
    <mergeCell ref="JBQ4:JBQ5"/>
    <mergeCell ref="JBR4:JBR5"/>
    <mergeCell ref="JBI4:JBI5"/>
    <mergeCell ref="JBJ4:JBJ5"/>
    <mergeCell ref="JBK4:JBK5"/>
    <mergeCell ref="JBL4:JBL5"/>
    <mergeCell ref="JBM4:JBM5"/>
    <mergeCell ref="JBD4:JBD5"/>
    <mergeCell ref="JBE4:JBE5"/>
    <mergeCell ref="JBF4:JBF5"/>
    <mergeCell ref="JBG4:JBG5"/>
    <mergeCell ref="JBH4:JBH5"/>
    <mergeCell ref="JAY4:JAY5"/>
    <mergeCell ref="JAZ4:JAZ5"/>
    <mergeCell ref="JBA4:JBA5"/>
    <mergeCell ref="JBB4:JBB5"/>
    <mergeCell ref="JBC4:JBC5"/>
    <mergeCell ref="JAT4:JAT5"/>
    <mergeCell ref="JAU4:JAU5"/>
    <mergeCell ref="JAV4:JAV5"/>
    <mergeCell ref="JAW4:JAW5"/>
    <mergeCell ref="JAX4:JAX5"/>
    <mergeCell ref="JAO4:JAO5"/>
    <mergeCell ref="JAP4:JAP5"/>
    <mergeCell ref="JAQ4:JAQ5"/>
    <mergeCell ref="JAR4:JAR5"/>
    <mergeCell ref="JAS4:JAS5"/>
    <mergeCell ref="JDB4:JDB5"/>
    <mergeCell ref="JDC4:JDC5"/>
    <mergeCell ref="JDD4:JDD5"/>
    <mergeCell ref="JDE4:JDE5"/>
    <mergeCell ref="JDF4:JDF5"/>
    <mergeCell ref="JCW4:JCW5"/>
    <mergeCell ref="JCX4:JCX5"/>
    <mergeCell ref="JCY4:JCY5"/>
    <mergeCell ref="JCZ4:JCZ5"/>
    <mergeCell ref="JDA4:JDA5"/>
    <mergeCell ref="JCR4:JCR5"/>
    <mergeCell ref="JCS4:JCS5"/>
    <mergeCell ref="JCT4:JCT5"/>
    <mergeCell ref="JCU4:JCU5"/>
    <mergeCell ref="JCV4:JCV5"/>
    <mergeCell ref="JCM4:JCM5"/>
    <mergeCell ref="JCN4:JCN5"/>
    <mergeCell ref="JCO4:JCO5"/>
    <mergeCell ref="JCP4:JCP5"/>
    <mergeCell ref="JCQ4:JCQ5"/>
    <mergeCell ref="JCH4:JCH5"/>
    <mergeCell ref="JCI4:JCI5"/>
    <mergeCell ref="JCJ4:JCJ5"/>
    <mergeCell ref="JCK4:JCK5"/>
    <mergeCell ref="JCL4:JCL5"/>
    <mergeCell ref="JCC4:JCC5"/>
    <mergeCell ref="JCD4:JCD5"/>
    <mergeCell ref="JCE4:JCE5"/>
    <mergeCell ref="JCF4:JCF5"/>
    <mergeCell ref="JCG4:JCG5"/>
    <mergeCell ref="JBX4:JBX5"/>
    <mergeCell ref="JBY4:JBY5"/>
    <mergeCell ref="JBZ4:JBZ5"/>
    <mergeCell ref="JCA4:JCA5"/>
    <mergeCell ref="JCB4:JCB5"/>
    <mergeCell ref="JEK4:JEK5"/>
    <mergeCell ref="JEL4:JEL5"/>
    <mergeCell ref="JEM4:JEM5"/>
    <mergeCell ref="JEN4:JEN5"/>
    <mergeCell ref="JEO4:JEO5"/>
    <mergeCell ref="JEF4:JEF5"/>
    <mergeCell ref="JEG4:JEG5"/>
    <mergeCell ref="JEH4:JEH5"/>
    <mergeCell ref="JEI4:JEI5"/>
    <mergeCell ref="JEJ4:JEJ5"/>
    <mergeCell ref="JEA4:JEA5"/>
    <mergeCell ref="JEB4:JEB5"/>
    <mergeCell ref="JEC4:JEC5"/>
    <mergeCell ref="JED4:JED5"/>
    <mergeCell ref="JEE4:JEE5"/>
    <mergeCell ref="JDV4:JDV5"/>
    <mergeCell ref="JDW4:JDW5"/>
    <mergeCell ref="JDX4:JDX5"/>
    <mergeCell ref="JDY4:JDY5"/>
    <mergeCell ref="JDZ4:JDZ5"/>
    <mergeCell ref="JDQ4:JDQ5"/>
    <mergeCell ref="JDR4:JDR5"/>
    <mergeCell ref="JDS4:JDS5"/>
    <mergeCell ref="JDT4:JDT5"/>
    <mergeCell ref="JDU4:JDU5"/>
    <mergeCell ref="JDL4:JDL5"/>
    <mergeCell ref="JDM4:JDM5"/>
    <mergeCell ref="JDN4:JDN5"/>
    <mergeCell ref="JDO4:JDO5"/>
    <mergeCell ref="JDP4:JDP5"/>
    <mergeCell ref="JDG4:JDG5"/>
    <mergeCell ref="JDH4:JDH5"/>
    <mergeCell ref="JDI4:JDI5"/>
    <mergeCell ref="JDJ4:JDJ5"/>
    <mergeCell ref="JDK4:JDK5"/>
    <mergeCell ref="JFT4:JFT5"/>
    <mergeCell ref="JFU4:JFU5"/>
    <mergeCell ref="JFV4:JFV5"/>
    <mergeCell ref="JFW4:JFW5"/>
    <mergeCell ref="JFX4:JFX5"/>
    <mergeCell ref="JFO4:JFO5"/>
    <mergeCell ref="JFP4:JFP5"/>
    <mergeCell ref="JFQ4:JFQ5"/>
    <mergeCell ref="JFR4:JFR5"/>
    <mergeCell ref="JFS4:JFS5"/>
    <mergeCell ref="JFJ4:JFJ5"/>
    <mergeCell ref="JFK4:JFK5"/>
    <mergeCell ref="JFL4:JFL5"/>
    <mergeCell ref="JFM4:JFM5"/>
    <mergeCell ref="JFN4:JFN5"/>
    <mergeCell ref="JFE4:JFE5"/>
    <mergeCell ref="JFF4:JFF5"/>
    <mergeCell ref="JFG4:JFG5"/>
    <mergeCell ref="JFH4:JFH5"/>
    <mergeCell ref="JFI4:JFI5"/>
    <mergeCell ref="JEZ4:JEZ5"/>
    <mergeCell ref="JFA4:JFA5"/>
    <mergeCell ref="JFB4:JFB5"/>
    <mergeCell ref="JFC4:JFC5"/>
    <mergeCell ref="JFD4:JFD5"/>
    <mergeCell ref="JEU4:JEU5"/>
    <mergeCell ref="JEV4:JEV5"/>
    <mergeCell ref="JEW4:JEW5"/>
    <mergeCell ref="JEX4:JEX5"/>
    <mergeCell ref="JEY4:JEY5"/>
    <mergeCell ref="JEP4:JEP5"/>
    <mergeCell ref="JEQ4:JEQ5"/>
    <mergeCell ref="JER4:JER5"/>
    <mergeCell ref="JES4:JES5"/>
    <mergeCell ref="JET4:JET5"/>
    <mergeCell ref="JHC4:JHC5"/>
    <mergeCell ref="JHD4:JHD5"/>
    <mergeCell ref="JHE4:JHE5"/>
    <mergeCell ref="JHF4:JHF5"/>
    <mergeCell ref="JHG4:JHG5"/>
    <mergeCell ref="JGX4:JGX5"/>
    <mergeCell ref="JGY4:JGY5"/>
    <mergeCell ref="JGZ4:JGZ5"/>
    <mergeCell ref="JHA4:JHA5"/>
    <mergeCell ref="JHB4:JHB5"/>
    <mergeCell ref="JGS4:JGS5"/>
    <mergeCell ref="JGT4:JGT5"/>
    <mergeCell ref="JGU4:JGU5"/>
    <mergeCell ref="JGV4:JGV5"/>
    <mergeCell ref="JGW4:JGW5"/>
    <mergeCell ref="JGN4:JGN5"/>
    <mergeCell ref="JGO4:JGO5"/>
    <mergeCell ref="JGP4:JGP5"/>
    <mergeCell ref="JGQ4:JGQ5"/>
    <mergeCell ref="JGR4:JGR5"/>
    <mergeCell ref="JGI4:JGI5"/>
    <mergeCell ref="JGJ4:JGJ5"/>
    <mergeCell ref="JGK4:JGK5"/>
    <mergeCell ref="JGL4:JGL5"/>
    <mergeCell ref="JGM4:JGM5"/>
    <mergeCell ref="JGD4:JGD5"/>
    <mergeCell ref="JGE4:JGE5"/>
    <mergeCell ref="JGF4:JGF5"/>
    <mergeCell ref="JGG4:JGG5"/>
    <mergeCell ref="JGH4:JGH5"/>
    <mergeCell ref="JFY4:JFY5"/>
    <mergeCell ref="JFZ4:JFZ5"/>
    <mergeCell ref="JGA4:JGA5"/>
    <mergeCell ref="JGB4:JGB5"/>
    <mergeCell ref="JGC4:JGC5"/>
    <mergeCell ref="JIL4:JIL5"/>
    <mergeCell ref="JIM4:JIM5"/>
    <mergeCell ref="JIN4:JIN5"/>
    <mergeCell ref="JIO4:JIO5"/>
    <mergeCell ref="JIP4:JIP5"/>
    <mergeCell ref="JIG4:JIG5"/>
    <mergeCell ref="JIH4:JIH5"/>
    <mergeCell ref="JII4:JII5"/>
    <mergeCell ref="JIJ4:JIJ5"/>
    <mergeCell ref="JIK4:JIK5"/>
    <mergeCell ref="JIB4:JIB5"/>
    <mergeCell ref="JIC4:JIC5"/>
    <mergeCell ref="JID4:JID5"/>
    <mergeCell ref="JIE4:JIE5"/>
    <mergeCell ref="JIF4:JIF5"/>
    <mergeCell ref="JHW4:JHW5"/>
    <mergeCell ref="JHX4:JHX5"/>
    <mergeCell ref="JHY4:JHY5"/>
    <mergeCell ref="JHZ4:JHZ5"/>
    <mergeCell ref="JIA4:JIA5"/>
    <mergeCell ref="JHR4:JHR5"/>
    <mergeCell ref="JHS4:JHS5"/>
    <mergeCell ref="JHT4:JHT5"/>
    <mergeCell ref="JHU4:JHU5"/>
    <mergeCell ref="JHV4:JHV5"/>
    <mergeCell ref="JHM4:JHM5"/>
    <mergeCell ref="JHN4:JHN5"/>
    <mergeCell ref="JHO4:JHO5"/>
    <mergeCell ref="JHP4:JHP5"/>
    <mergeCell ref="JHQ4:JHQ5"/>
    <mergeCell ref="JHH4:JHH5"/>
    <mergeCell ref="JHI4:JHI5"/>
    <mergeCell ref="JHJ4:JHJ5"/>
    <mergeCell ref="JHK4:JHK5"/>
    <mergeCell ref="JHL4:JHL5"/>
    <mergeCell ref="JJU4:JJU5"/>
    <mergeCell ref="JJV4:JJV5"/>
    <mergeCell ref="JJW4:JJW5"/>
    <mergeCell ref="JJX4:JJX5"/>
    <mergeCell ref="JJY4:JJY5"/>
    <mergeCell ref="JJP4:JJP5"/>
    <mergeCell ref="JJQ4:JJQ5"/>
    <mergeCell ref="JJR4:JJR5"/>
    <mergeCell ref="JJS4:JJS5"/>
    <mergeCell ref="JJT4:JJT5"/>
    <mergeCell ref="JJK4:JJK5"/>
    <mergeCell ref="JJL4:JJL5"/>
    <mergeCell ref="JJM4:JJM5"/>
    <mergeCell ref="JJN4:JJN5"/>
    <mergeCell ref="JJO4:JJO5"/>
    <mergeCell ref="JJF4:JJF5"/>
    <mergeCell ref="JJG4:JJG5"/>
    <mergeCell ref="JJH4:JJH5"/>
    <mergeCell ref="JJI4:JJI5"/>
    <mergeCell ref="JJJ4:JJJ5"/>
    <mergeCell ref="JJA4:JJA5"/>
    <mergeCell ref="JJB4:JJB5"/>
    <mergeCell ref="JJC4:JJC5"/>
    <mergeCell ref="JJD4:JJD5"/>
    <mergeCell ref="JJE4:JJE5"/>
    <mergeCell ref="JIV4:JIV5"/>
    <mergeCell ref="JIW4:JIW5"/>
    <mergeCell ref="JIX4:JIX5"/>
    <mergeCell ref="JIY4:JIY5"/>
    <mergeCell ref="JIZ4:JIZ5"/>
    <mergeCell ref="JIQ4:JIQ5"/>
    <mergeCell ref="JIR4:JIR5"/>
    <mergeCell ref="JIS4:JIS5"/>
    <mergeCell ref="JIT4:JIT5"/>
    <mergeCell ref="JIU4:JIU5"/>
    <mergeCell ref="JLD4:JLD5"/>
    <mergeCell ref="JLE4:JLE5"/>
    <mergeCell ref="JLF4:JLF5"/>
    <mergeCell ref="JLG4:JLG5"/>
    <mergeCell ref="JLH4:JLH5"/>
    <mergeCell ref="JKY4:JKY5"/>
    <mergeCell ref="JKZ4:JKZ5"/>
    <mergeCell ref="JLA4:JLA5"/>
    <mergeCell ref="JLB4:JLB5"/>
    <mergeCell ref="JLC4:JLC5"/>
    <mergeCell ref="JKT4:JKT5"/>
    <mergeCell ref="JKU4:JKU5"/>
    <mergeCell ref="JKV4:JKV5"/>
    <mergeCell ref="JKW4:JKW5"/>
    <mergeCell ref="JKX4:JKX5"/>
    <mergeCell ref="JKO4:JKO5"/>
    <mergeCell ref="JKP4:JKP5"/>
    <mergeCell ref="JKQ4:JKQ5"/>
    <mergeCell ref="JKR4:JKR5"/>
    <mergeCell ref="JKS4:JKS5"/>
    <mergeCell ref="JKJ4:JKJ5"/>
    <mergeCell ref="JKK4:JKK5"/>
    <mergeCell ref="JKL4:JKL5"/>
    <mergeCell ref="JKM4:JKM5"/>
    <mergeCell ref="JKN4:JKN5"/>
    <mergeCell ref="JKE4:JKE5"/>
    <mergeCell ref="JKF4:JKF5"/>
    <mergeCell ref="JKG4:JKG5"/>
    <mergeCell ref="JKH4:JKH5"/>
    <mergeCell ref="JKI4:JKI5"/>
    <mergeCell ref="JJZ4:JJZ5"/>
    <mergeCell ref="JKA4:JKA5"/>
    <mergeCell ref="JKB4:JKB5"/>
    <mergeCell ref="JKC4:JKC5"/>
    <mergeCell ref="JKD4:JKD5"/>
    <mergeCell ref="JMM4:JMM5"/>
    <mergeCell ref="JMN4:JMN5"/>
    <mergeCell ref="JMO4:JMO5"/>
    <mergeCell ref="JMP4:JMP5"/>
    <mergeCell ref="JMQ4:JMQ5"/>
    <mergeCell ref="JMH4:JMH5"/>
    <mergeCell ref="JMI4:JMI5"/>
    <mergeCell ref="JMJ4:JMJ5"/>
    <mergeCell ref="JMK4:JMK5"/>
    <mergeCell ref="JML4:JML5"/>
    <mergeCell ref="JMC4:JMC5"/>
    <mergeCell ref="JMD4:JMD5"/>
    <mergeCell ref="JME4:JME5"/>
    <mergeCell ref="JMF4:JMF5"/>
    <mergeCell ref="JMG4:JMG5"/>
    <mergeCell ref="JLX4:JLX5"/>
    <mergeCell ref="JLY4:JLY5"/>
    <mergeCell ref="JLZ4:JLZ5"/>
    <mergeCell ref="JMA4:JMA5"/>
    <mergeCell ref="JMB4:JMB5"/>
    <mergeCell ref="JLS4:JLS5"/>
    <mergeCell ref="JLT4:JLT5"/>
    <mergeCell ref="JLU4:JLU5"/>
    <mergeCell ref="JLV4:JLV5"/>
    <mergeCell ref="JLW4:JLW5"/>
    <mergeCell ref="JLN4:JLN5"/>
    <mergeCell ref="JLO4:JLO5"/>
    <mergeCell ref="JLP4:JLP5"/>
    <mergeCell ref="JLQ4:JLQ5"/>
    <mergeCell ref="JLR4:JLR5"/>
    <mergeCell ref="JLI4:JLI5"/>
    <mergeCell ref="JLJ4:JLJ5"/>
    <mergeCell ref="JLK4:JLK5"/>
    <mergeCell ref="JLL4:JLL5"/>
    <mergeCell ref="JLM4:JLM5"/>
    <mergeCell ref="JNV4:JNV5"/>
    <mergeCell ref="JNW4:JNW5"/>
    <mergeCell ref="JNX4:JNX5"/>
    <mergeCell ref="JNY4:JNY5"/>
    <mergeCell ref="JNZ4:JNZ5"/>
    <mergeCell ref="JNQ4:JNQ5"/>
    <mergeCell ref="JNR4:JNR5"/>
    <mergeCell ref="JNS4:JNS5"/>
    <mergeCell ref="JNT4:JNT5"/>
    <mergeCell ref="JNU4:JNU5"/>
    <mergeCell ref="JNL4:JNL5"/>
    <mergeCell ref="JNM4:JNM5"/>
    <mergeCell ref="JNN4:JNN5"/>
    <mergeCell ref="JNO4:JNO5"/>
    <mergeCell ref="JNP4:JNP5"/>
    <mergeCell ref="JNG4:JNG5"/>
    <mergeCell ref="JNH4:JNH5"/>
    <mergeCell ref="JNI4:JNI5"/>
    <mergeCell ref="JNJ4:JNJ5"/>
    <mergeCell ref="JNK4:JNK5"/>
    <mergeCell ref="JNB4:JNB5"/>
    <mergeCell ref="JNC4:JNC5"/>
    <mergeCell ref="JND4:JND5"/>
    <mergeCell ref="JNE4:JNE5"/>
    <mergeCell ref="JNF4:JNF5"/>
    <mergeCell ref="JMW4:JMW5"/>
    <mergeCell ref="JMX4:JMX5"/>
    <mergeCell ref="JMY4:JMY5"/>
    <mergeCell ref="JMZ4:JMZ5"/>
    <mergeCell ref="JNA4:JNA5"/>
    <mergeCell ref="JMR4:JMR5"/>
    <mergeCell ref="JMS4:JMS5"/>
    <mergeCell ref="JMT4:JMT5"/>
    <mergeCell ref="JMU4:JMU5"/>
    <mergeCell ref="JMV4:JMV5"/>
    <mergeCell ref="JPE4:JPE5"/>
    <mergeCell ref="JPF4:JPF5"/>
    <mergeCell ref="JPG4:JPG5"/>
    <mergeCell ref="JPH4:JPH5"/>
    <mergeCell ref="JPI4:JPI5"/>
    <mergeCell ref="JOZ4:JOZ5"/>
    <mergeCell ref="JPA4:JPA5"/>
    <mergeCell ref="JPB4:JPB5"/>
    <mergeCell ref="JPC4:JPC5"/>
    <mergeCell ref="JPD4:JPD5"/>
    <mergeCell ref="JOU4:JOU5"/>
    <mergeCell ref="JOV4:JOV5"/>
    <mergeCell ref="JOW4:JOW5"/>
    <mergeCell ref="JOX4:JOX5"/>
    <mergeCell ref="JOY4:JOY5"/>
    <mergeCell ref="JOP4:JOP5"/>
    <mergeCell ref="JOQ4:JOQ5"/>
    <mergeCell ref="JOR4:JOR5"/>
    <mergeCell ref="JOS4:JOS5"/>
    <mergeCell ref="JOT4:JOT5"/>
    <mergeCell ref="JOK4:JOK5"/>
    <mergeCell ref="JOL4:JOL5"/>
    <mergeCell ref="JOM4:JOM5"/>
    <mergeCell ref="JON4:JON5"/>
    <mergeCell ref="JOO4:JOO5"/>
    <mergeCell ref="JOF4:JOF5"/>
    <mergeCell ref="JOG4:JOG5"/>
    <mergeCell ref="JOH4:JOH5"/>
    <mergeCell ref="JOI4:JOI5"/>
    <mergeCell ref="JOJ4:JOJ5"/>
    <mergeCell ref="JOA4:JOA5"/>
    <mergeCell ref="JOB4:JOB5"/>
    <mergeCell ref="JOC4:JOC5"/>
    <mergeCell ref="JOD4:JOD5"/>
    <mergeCell ref="JOE4:JOE5"/>
    <mergeCell ref="JQN4:JQN5"/>
    <mergeCell ref="JQO4:JQO5"/>
    <mergeCell ref="JQP4:JQP5"/>
    <mergeCell ref="JQQ4:JQQ5"/>
    <mergeCell ref="JQR4:JQR5"/>
    <mergeCell ref="JQI4:JQI5"/>
    <mergeCell ref="JQJ4:JQJ5"/>
    <mergeCell ref="JQK4:JQK5"/>
    <mergeCell ref="JQL4:JQL5"/>
    <mergeCell ref="JQM4:JQM5"/>
    <mergeCell ref="JQD4:JQD5"/>
    <mergeCell ref="JQE4:JQE5"/>
    <mergeCell ref="JQF4:JQF5"/>
    <mergeCell ref="JQG4:JQG5"/>
    <mergeCell ref="JQH4:JQH5"/>
    <mergeCell ref="JPY4:JPY5"/>
    <mergeCell ref="JPZ4:JPZ5"/>
    <mergeCell ref="JQA4:JQA5"/>
    <mergeCell ref="JQB4:JQB5"/>
    <mergeCell ref="JQC4:JQC5"/>
    <mergeCell ref="JPT4:JPT5"/>
    <mergeCell ref="JPU4:JPU5"/>
    <mergeCell ref="JPV4:JPV5"/>
    <mergeCell ref="JPW4:JPW5"/>
    <mergeCell ref="JPX4:JPX5"/>
    <mergeCell ref="JPO4:JPO5"/>
    <mergeCell ref="JPP4:JPP5"/>
    <mergeCell ref="JPQ4:JPQ5"/>
    <mergeCell ref="JPR4:JPR5"/>
    <mergeCell ref="JPS4:JPS5"/>
    <mergeCell ref="JPJ4:JPJ5"/>
    <mergeCell ref="JPK4:JPK5"/>
    <mergeCell ref="JPL4:JPL5"/>
    <mergeCell ref="JPM4:JPM5"/>
    <mergeCell ref="JPN4:JPN5"/>
    <mergeCell ref="JRW4:JRW5"/>
    <mergeCell ref="JRX4:JRX5"/>
    <mergeCell ref="JRY4:JRY5"/>
    <mergeCell ref="JRZ4:JRZ5"/>
    <mergeCell ref="JSA4:JSA5"/>
    <mergeCell ref="JRR4:JRR5"/>
    <mergeCell ref="JRS4:JRS5"/>
    <mergeCell ref="JRT4:JRT5"/>
    <mergeCell ref="JRU4:JRU5"/>
    <mergeCell ref="JRV4:JRV5"/>
    <mergeCell ref="JRM4:JRM5"/>
    <mergeCell ref="JRN4:JRN5"/>
    <mergeCell ref="JRO4:JRO5"/>
    <mergeCell ref="JRP4:JRP5"/>
    <mergeCell ref="JRQ4:JRQ5"/>
    <mergeCell ref="JRH4:JRH5"/>
    <mergeCell ref="JRI4:JRI5"/>
    <mergeCell ref="JRJ4:JRJ5"/>
    <mergeCell ref="JRK4:JRK5"/>
    <mergeCell ref="JRL4:JRL5"/>
    <mergeCell ref="JRC4:JRC5"/>
    <mergeCell ref="JRD4:JRD5"/>
    <mergeCell ref="JRE4:JRE5"/>
    <mergeCell ref="JRF4:JRF5"/>
    <mergeCell ref="JRG4:JRG5"/>
    <mergeCell ref="JQX4:JQX5"/>
    <mergeCell ref="JQY4:JQY5"/>
    <mergeCell ref="JQZ4:JQZ5"/>
    <mergeCell ref="JRA4:JRA5"/>
    <mergeCell ref="JRB4:JRB5"/>
    <mergeCell ref="JQS4:JQS5"/>
    <mergeCell ref="JQT4:JQT5"/>
    <mergeCell ref="JQU4:JQU5"/>
    <mergeCell ref="JQV4:JQV5"/>
    <mergeCell ref="JQW4:JQW5"/>
    <mergeCell ref="JTF4:JTF5"/>
    <mergeCell ref="JTG4:JTG5"/>
    <mergeCell ref="JTH4:JTH5"/>
    <mergeCell ref="JTI4:JTI5"/>
    <mergeCell ref="JTJ4:JTJ5"/>
    <mergeCell ref="JTA4:JTA5"/>
    <mergeCell ref="JTB4:JTB5"/>
    <mergeCell ref="JTC4:JTC5"/>
    <mergeCell ref="JTD4:JTD5"/>
    <mergeCell ref="JTE4:JTE5"/>
    <mergeCell ref="JSV4:JSV5"/>
    <mergeCell ref="JSW4:JSW5"/>
    <mergeCell ref="JSX4:JSX5"/>
    <mergeCell ref="JSY4:JSY5"/>
    <mergeCell ref="JSZ4:JSZ5"/>
    <mergeCell ref="JSQ4:JSQ5"/>
    <mergeCell ref="JSR4:JSR5"/>
    <mergeCell ref="JSS4:JSS5"/>
    <mergeCell ref="JST4:JST5"/>
    <mergeCell ref="JSU4:JSU5"/>
    <mergeCell ref="JSL4:JSL5"/>
    <mergeCell ref="JSM4:JSM5"/>
    <mergeCell ref="JSN4:JSN5"/>
    <mergeCell ref="JSO4:JSO5"/>
    <mergeCell ref="JSP4:JSP5"/>
    <mergeCell ref="JSG4:JSG5"/>
    <mergeCell ref="JSH4:JSH5"/>
    <mergeCell ref="JSI4:JSI5"/>
    <mergeCell ref="JSJ4:JSJ5"/>
    <mergeCell ref="JSK4:JSK5"/>
    <mergeCell ref="JSB4:JSB5"/>
    <mergeCell ref="JSC4:JSC5"/>
    <mergeCell ref="JSD4:JSD5"/>
    <mergeCell ref="JSE4:JSE5"/>
    <mergeCell ref="JSF4:JSF5"/>
    <mergeCell ref="JUO4:JUO5"/>
    <mergeCell ref="JUP4:JUP5"/>
    <mergeCell ref="JUQ4:JUQ5"/>
    <mergeCell ref="JUR4:JUR5"/>
    <mergeCell ref="JUS4:JUS5"/>
    <mergeCell ref="JUJ4:JUJ5"/>
    <mergeCell ref="JUK4:JUK5"/>
    <mergeCell ref="JUL4:JUL5"/>
    <mergeCell ref="JUM4:JUM5"/>
    <mergeCell ref="JUN4:JUN5"/>
    <mergeCell ref="JUE4:JUE5"/>
    <mergeCell ref="JUF4:JUF5"/>
    <mergeCell ref="JUG4:JUG5"/>
    <mergeCell ref="JUH4:JUH5"/>
    <mergeCell ref="JUI4:JUI5"/>
    <mergeCell ref="JTZ4:JTZ5"/>
    <mergeCell ref="JUA4:JUA5"/>
    <mergeCell ref="JUB4:JUB5"/>
    <mergeCell ref="JUC4:JUC5"/>
    <mergeCell ref="JUD4:JUD5"/>
    <mergeCell ref="JTU4:JTU5"/>
    <mergeCell ref="JTV4:JTV5"/>
    <mergeCell ref="JTW4:JTW5"/>
    <mergeCell ref="JTX4:JTX5"/>
    <mergeCell ref="JTY4:JTY5"/>
    <mergeCell ref="JTP4:JTP5"/>
    <mergeCell ref="JTQ4:JTQ5"/>
    <mergeCell ref="JTR4:JTR5"/>
    <mergeCell ref="JTS4:JTS5"/>
    <mergeCell ref="JTT4:JTT5"/>
    <mergeCell ref="JTK4:JTK5"/>
    <mergeCell ref="JTL4:JTL5"/>
    <mergeCell ref="JTM4:JTM5"/>
    <mergeCell ref="JTN4:JTN5"/>
    <mergeCell ref="JTO4:JTO5"/>
    <mergeCell ref="JVX4:JVX5"/>
    <mergeCell ref="JVY4:JVY5"/>
    <mergeCell ref="JVZ4:JVZ5"/>
    <mergeCell ref="JWA4:JWA5"/>
    <mergeCell ref="JWB4:JWB5"/>
    <mergeCell ref="JVS4:JVS5"/>
    <mergeCell ref="JVT4:JVT5"/>
    <mergeCell ref="JVU4:JVU5"/>
    <mergeCell ref="JVV4:JVV5"/>
    <mergeCell ref="JVW4:JVW5"/>
    <mergeCell ref="JVN4:JVN5"/>
    <mergeCell ref="JVO4:JVO5"/>
    <mergeCell ref="JVP4:JVP5"/>
    <mergeCell ref="JVQ4:JVQ5"/>
    <mergeCell ref="JVR4:JVR5"/>
    <mergeCell ref="JVI4:JVI5"/>
    <mergeCell ref="JVJ4:JVJ5"/>
    <mergeCell ref="JVK4:JVK5"/>
    <mergeCell ref="JVL4:JVL5"/>
    <mergeCell ref="JVM4:JVM5"/>
    <mergeCell ref="JVD4:JVD5"/>
    <mergeCell ref="JVE4:JVE5"/>
    <mergeCell ref="JVF4:JVF5"/>
    <mergeCell ref="JVG4:JVG5"/>
    <mergeCell ref="JVH4:JVH5"/>
    <mergeCell ref="JUY4:JUY5"/>
    <mergeCell ref="JUZ4:JUZ5"/>
    <mergeCell ref="JVA4:JVA5"/>
    <mergeCell ref="JVB4:JVB5"/>
    <mergeCell ref="JVC4:JVC5"/>
    <mergeCell ref="JUT4:JUT5"/>
    <mergeCell ref="JUU4:JUU5"/>
    <mergeCell ref="JUV4:JUV5"/>
    <mergeCell ref="JUW4:JUW5"/>
    <mergeCell ref="JUX4:JUX5"/>
    <mergeCell ref="JXG4:JXG5"/>
    <mergeCell ref="JXH4:JXH5"/>
    <mergeCell ref="JXI4:JXI5"/>
    <mergeCell ref="JXJ4:JXJ5"/>
    <mergeCell ref="JXK4:JXK5"/>
    <mergeCell ref="JXB4:JXB5"/>
    <mergeCell ref="JXC4:JXC5"/>
    <mergeCell ref="JXD4:JXD5"/>
    <mergeCell ref="JXE4:JXE5"/>
    <mergeCell ref="JXF4:JXF5"/>
    <mergeCell ref="JWW4:JWW5"/>
    <mergeCell ref="JWX4:JWX5"/>
    <mergeCell ref="JWY4:JWY5"/>
    <mergeCell ref="JWZ4:JWZ5"/>
    <mergeCell ref="JXA4:JXA5"/>
    <mergeCell ref="JWR4:JWR5"/>
    <mergeCell ref="JWS4:JWS5"/>
    <mergeCell ref="JWT4:JWT5"/>
    <mergeCell ref="JWU4:JWU5"/>
    <mergeCell ref="JWV4:JWV5"/>
    <mergeCell ref="JWM4:JWM5"/>
    <mergeCell ref="JWN4:JWN5"/>
    <mergeCell ref="JWO4:JWO5"/>
    <mergeCell ref="JWP4:JWP5"/>
    <mergeCell ref="JWQ4:JWQ5"/>
    <mergeCell ref="JWH4:JWH5"/>
    <mergeCell ref="JWI4:JWI5"/>
    <mergeCell ref="JWJ4:JWJ5"/>
    <mergeCell ref="JWK4:JWK5"/>
    <mergeCell ref="JWL4:JWL5"/>
    <mergeCell ref="JWC4:JWC5"/>
    <mergeCell ref="JWD4:JWD5"/>
    <mergeCell ref="JWE4:JWE5"/>
    <mergeCell ref="JWF4:JWF5"/>
    <mergeCell ref="JWG4:JWG5"/>
    <mergeCell ref="JYP4:JYP5"/>
    <mergeCell ref="JYQ4:JYQ5"/>
    <mergeCell ref="JYR4:JYR5"/>
    <mergeCell ref="JYS4:JYS5"/>
    <mergeCell ref="JYT4:JYT5"/>
    <mergeCell ref="JYK4:JYK5"/>
    <mergeCell ref="JYL4:JYL5"/>
    <mergeCell ref="JYM4:JYM5"/>
    <mergeCell ref="JYN4:JYN5"/>
    <mergeCell ref="JYO4:JYO5"/>
    <mergeCell ref="JYF4:JYF5"/>
    <mergeCell ref="JYG4:JYG5"/>
    <mergeCell ref="JYH4:JYH5"/>
    <mergeCell ref="JYI4:JYI5"/>
    <mergeCell ref="JYJ4:JYJ5"/>
    <mergeCell ref="JYA4:JYA5"/>
    <mergeCell ref="JYB4:JYB5"/>
    <mergeCell ref="JYC4:JYC5"/>
    <mergeCell ref="JYD4:JYD5"/>
    <mergeCell ref="JYE4:JYE5"/>
    <mergeCell ref="JXV4:JXV5"/>
    <mergeCell ref="JXW4:JXW5"/>
    <mergeCell ref="JXX4:JXX5"/>
    <mergeCell ref="JXY4:JXY5"/>
    <mergeCell ref="JXZ4:JXZ5"/>
    <mergeCell ref="JXQ4:JXQ5"/>
    <mergeCell ref="JXR4:JXR5"/>
    <mergeCell ref="JXS4:JXS5"/>
    <mergeCell ref="JXT4:JXT5"/>
    <mergeCell ref="JXU4:JXU5"/>
    <mergeCell ref="JXL4:JXL5"/>
    <mergeCell ref="JXM4:JXM5"/>
    <mergeCell ref="JXN4:JXN5"/>
    <mergeCell ref="JXO4:JXO5"/>
    <mergeCell ref="JXP4:JXP5"/>
    <mergeCell ref="JZY4:JZY5"/>
    <mergeCell ref="JZZ4:JZZ5"/>
    <mergeCell ref="KAA4:KAA5"/>
    <mergeCell ref="KAB4:KAB5"/>
    <mergeCell ref="KAC4:KAC5"/>
    <mergeCell ref="JZT4:JZT5"/>
    <mergeCell ref="JZU4:JZU5"/>
    <mergeCell ref="JZV4:JZV5"/>
    <mergeCell ref="JZW4:JZW5"/>
    <mergeCell ref="JZX4:JZX5"/>
    <mergeCell ref="JZO4:JZO5"/>
    <mergeCell ref="JZP4:JZP5"/>
    <mergeCell ref="JZQ4:JZQ5"/>
    <mergeCell ref="JZR4:JZR5"/>
    <mergeCell ref="JZS4:JZS5"/>
    <mergeCell ref="JZJ4:JZJ5"/>
    <mergeCell ref="JZK4:JZK5"/>
    <mergeCell ref="JZL4:JZL5"/>
    <mergeCell ref="JZM4:JZM5"/>
    <mergeCell ref="JZN4:JZN5"/>
    <mergeCell ref="JZE4:JZE5"/>
    <mergeCell ref="JZF4:JZF5"/>
    <mergeCell ref="JZG4:JZG5"/>
    <mergeCell ref="JZH4:JZH5"/>
    <mergeCell ref="JZI4:JZI5"/>
    <mergeCell ref="JYZ4:JYZ5"/>
    <mergeCell ref="JZA4:JZA5"/>
    <mergeCell ref="JZB4:JZB5"/>
    <mergeCell ref="JZC4:JZC5"/>
    <mergeCell ref="JZD4:JZD5"/>
    <mergeCell ref="JYU4:JYU5"/>
    <mergeCell ref="JYV4:JYV5"/>
    <mergeCell ref="JYW4:JYW5"/>
    <mergeCell ref="JYX4:JYX5"/>
    <mergeCell ref="JYY4:JYY5"/>
    <mergeCell ref="KBH4:KBH5"/>
    <mergeCell ref="KBI4:KBI5"/>
    <mergeCell ref="KBJ4:KBJ5"/>
    <mergeCell ref="KBK4:KBK5"/>
    <mergeCell ref="KBL4:KBL5"/>
    <mergeCell ref="KBC4:KBC5"/>
    <mergeCell ref="KBD4:KBD5"/>
    <mergeCell ref="KBE4:KBE5"/>
    <mergeCell ref="KBF4:KBF5"/>
    <mergeCell ref="KBG4:KBG5"/>
    <mergeCell ref="KAX4:KAX5"/>
    <mergeCell ref="KAY4:KAY5"/>
    <mergeCell ref="KAZ4:KAZ5"/>
    <mergeCell ref="KBA4:KBA5"/>
    <mergeCell ref="KBB4:KBB5"/>
    <mergeCell ref="KAS4:KAS5"/>
    <mergeCell ref="KAT4:KAT5"/>
    <mergeCell ref="KAU4:KAU5"/>
    <mergeCell ref="KAV4:KAV5"/>
    <mergeCell ref="KAW4:KAW5"/>
    <mergeCell ref="KAN4:KAN5"/>
    <mergeCell ref="KAO4:KAO5"/>
    <mergeCell ref="KAP4:KAP5"/>
    <mergeCell ref="KAQ4:KAQ5"/>
    <mergeCell ref="KAR4:KAR5"/>
    <mergeCell ref="KAI4:KAI5"/>
    <mergeCell ref="KAJ4:KAJ5"/>
    <mergeCell ref="KAK4:KAK5"/>
    <mergeCell ref="KAL4:KAL5"/>
    <mergeCell ref="KAM4:KAM5"/>
    <mergeCell ref="KAD4:KAD5"/>
    <mergeCell ref="KAE4:KAE5"/>
    <mergeCell ref="KAF4:KAF5"/>
    <mergeCell ref="KAG4:KAG5"/>
    <mergeCell ref="KAH4:KAH5"/>
    <mergeCell ref="KCQ4:KCQ5"/>
    <mergeCell ref="KCR4:KCR5"/>
    <mergeCell ref="KCS4:KCS5"/>
    <mergeCell ref="KCT4:KCT5"/>
    <mergeCell ref="KCU4:KCU5"/>
    <mergeCell ref="KCL4:KCL5"/>
    <mergeCell ref="KCM4:KCM5"/>
    <mergeCell ref="KCN4:KCN5"/>
    <mergeCell ref="KCO4:KCO5"/>
    <mergeCell ref="KCP4:KCP5"/>
    <mergeCell ref="KCG4:KCG5"/>
    <mergeCell ref="KCH4:KCH5"/>
    <mergeCell ref="KCI4:KCI5"/>
    <mergeCell ref="KCJ4:KCJ5"/>
    <mergeCell ref="KCK4:KCK5"/>
    <mergeCell ref="KCB4:KCB5"/>
    <mergeCell ref="KCC4:KCC5"/>
    <mergeCell ref="KCD4:KCD5"/>
    <mergeCell ref="KCE4:KCE5"/>
    <mergeCell ref="KCF4:KCF5"/>
    <mergeCell ref="KBW4:KBW5"/>
    <mergeCell ref="KBX4:KBX5"/>
    <mergeCell ref="KBY4:KBY5"/>
    <mergeCell ref="KBZ4:KBZ5"/>
    <mergeCell ref="KCA4:KCA5"/>
    <mergeCell ref="KBR4:KBR5"/>
    <mergeCell ref="KBS4:KBS5"/>
    <mergeCell ref="KBT4:KBT5"/>
    <mergeCell ref="KBU4:KBU5"/>
    <mergeCell ref="KBV4:KBV5"/>
    <mergeCell ref="KBM4:KBM5"/>
    <mergeCell ref="KBN4:KBN5"/>
    <mergeCell ref="KBO4:KBO5"/>
    <mergeCell ref="KBP4:KBP5"/>
    <mergeCell ref="KBQ4:KBQ5"/>
    <mergeCell ref="KDZ4:KDZ5"/>
    <mergeCell ref="KEA4:KEA5"/>
    <mergeCell ref="KEB4:KEB5"/>
    <mergeCell ref="KEC4:KEC5"/>
    <mergeCell ref="KED4:KED5"/>
    <mergeCell ref="KDU4:KDU5"/>
    <mergeCell ref="KDV4:KDV5"/>
    <mergeCell ref="KDW4:KDW5"/>
    <mergeCell ref="KDX4:KDX5"/>
    <mergeCell ref="KDY4:KDY5"/>
    <mergeCell ref="KDP4:KDP5"/>
    <mergeCell ref="KDQ4:KDQ5"/>
    <mergeCell ref="KDR4:KDR5"/>
    <mergeCell ref="KDS4:KDS5"/>
    <mergeCell ref="KDT4:KDT5"/>
    <mergeCell ref="KDK4:KDK5"/>
    <mergeCell ref="KDL4:KDL5"/>
    <mergeCell ref="KDM4:KDM5"/>
    <mergeCell ref="KDN4:KDN5"/>
    <mergeCell ref="KDO4:KDO5"/>
    <mergeCell ref="KDF4:KDF5"/>
    <mergeCell ref="KDG4:KDG5"/>
    <mergeCell ref="KDH4:KDH5"/>
    <mergeCell ref="KDI4:KDI5"/>
    <mergeCell ref="KDJ4:KDJ5"/>
    <mergeCell ref="KDA4:KDA5"/>
    <mergeCell ref="KDB4:KDB5"/>
    <mergeCell ref="KDC4:KDC5"/>
    <mergeCell ref="KDD4:KDD5"/>
    <mergeCell ref="KDE4:KDE5"/>
    <mergeCell ref="KCV4:KCV5"/>
    <mergeCell ref="KCW4:KCW5"/>
    <mergeCell ref="KCX4:KCX5"/>
    <mergeCell ref="KCY4:KCY5"/>
    <mergeCell ref="KCZ4:KCZ5"/>
    <mergeCell ref="KFI4:KFI5"/>
    <mergeCell ref="KFJ4:KFJ5"/>
    <mergeCell ref="KFK4:KFK5"/>
    <mergeCell ref="KFL4:KFL5"/>
    <mergeCell ref="KFM4:KFM5"/>
    <mergeCell ref="KFD4:KFD5"/>
    <mergeCell ref="KFE4:KFE5"/>
    <mergeCell ref="KFF4:KFF5"/>
    <mergeCell ref="KFG4:KFG5"/>
    <mergeCell ref="KFH4:KFH5"/>
    <mergeCell ref="KEY4:KEY5"/>
    <mergeCell ref="KEZ4:KEZ5"/>
    <mergeCell ref="KFA4:KFA5"/>
    <mergeCell ref="KFB4:KFB5"/>
    <mergeCell ref="KFC4:KFC5"/>
    <mergeCell ref="KET4:KET5"/>
    <mergeCell ref="KEU4:KEU5"/>
    <mergeCell ref="KEV4:KEV5"/>
    <mergeCell ref="KEW4:KEW5"/>
    <mergeCell ref="KEX4:KEX5"/>
    <mergeCell ref="KEO4:KEO5"/>
    <mergeCell ref="KEP4:KEP5"/>
    <mergeCell ref="KEQ4:KEQ5"/>
    <mergeCell ref="KER4:KER5"/>
    <mergeCell ref="KES4:KES5"/>
    <mergeCell ref="KEJ4:KEJ5"/>
    <mergeCell ref="KEK4:KEK5"/>
    <mergeCell ref="KEL4:KEL5"/>
    <mergeCell ref="KEM4:KEM5"/>
    <mergeCell ref="KEN4:KEN5"/>
    <mergeCell ref="KEE4:KEE5"/>
    <mergeCell ref="KEF4:KEF5"/>
    <mergeCell ref="KEG4:KEG5"/>
    <mergeCell ref="KEH4:KEH5"/>
    <mergeCell ref="KEI4:KEI5"/>
    <mergeCell ref="KGR4:KGR5"/>
    <mergeCell ref="KGS4:KGS5"/>
    <mergeCell ref="KGT4:KGT5"/>
    <mergeCell ref="KGU4:KGU5"/>
    <mergeCell ref="KGV4:KGV5"/>
    <mergeCell ref="KGM4:KGM5"/>
    <mergeCell ref="KGN4:KGN5"/>
    <mergeCell ref="KGO4:KGO5"/>
    <mergeCell ref="KGP4:KGP5"/>
    <mergeCell ref="KGQ4:KGQ5"/>
    <mergeCell ref="KGH4:KGH5"/>
    <mergeCell ref="KGI4:KGI5"/>
    <mergeCell ref="KGJ4:KGJ5"/>
    <mergeCell ref="KGK4:KGK5"/>
    <mergeCell ref="KGL4:KGL5"/>
    <mergeCell ref="KGC4:KGC5"/>
    <mergeCell ref="KGD4:KGD5"/>
    <mergeCell ref="KGE4:KGE5"/>
    <mergeCell ref="KGF4:KGF5"/>
    <mergeCell ref="KGG4:KGG5"/>
    <mergeCell ref="KFX4:KFX5"/>
    <mergeCell ref="KFY4:KFY5"/>
    <mergeCell ref="KFZ4:KFZ5"/>
    <mergeCell ref="KGA4:KGA5"/>
    <mergeCell ref="KGB4:KGB5"/>
    <mergeCell ref="KFS4:KFS5"/>
    <mergeCell ref="KFT4:KFT5"/>
    <mergeCell ref="KFU4:KFU5"/>
    <mergeCell ref="KFV4:KFV5"/>
    <mergeCell ref="KFW4:KFW5"/>
    <mergeCell ref="KFN4:KFN5"/>
    <mergeCell ref="KFO4:KFO5"/>
    <mergeCell ref="KFP4:KFP5"/>
    <mergeCell ref="KFQ4:KFQ5"/>
    <mergeCell ref="KFR4:KFR5"/>
    <mergeCell ref="KIA4:KIA5"/>
    <mergeCell ref="KIB4:KIB5"/>
    <mergeCell ref="KIC4:KIC5"/>
    <mergeCell ref="KID4:KID5"/>
    <mergeCell ref="KIE4:KIE5"/>
    <mergeCell ref="KHV4:KHV5"/>
    <mergeCell ref="KHW4:KHW5"/>
    <mergeCell ref="KHX4:KHX5"/>
    <mergeCell ref="KHY4:KHY5"/>
    <mergeCell ref="KHZ4:KHZ5"/>
    <mergeCell ref="KHQ4:KHQ5"/>
    <mergeCell ref="KHR4:KHR5"/>
    <mergeCell ref="KHS4:KHS5"/>
    <mergeCell ref="KHT4:KHT5"/>
    <mergeCell ref="KHU4:KHU5"/>
    <mergeCell ref="KHL4:KHL5"/>
    <mergeCell ref="KHM4:KHM5"/>
    <mergeCell ref="KHN4:KHN5"/>
    <mergeCell ref="KHO4:KHO5"/>
    <mergeCell ref="KHP4:KHP5"/>
    <mergeCell ref="KHG4:KHG5"/>
    <mergeCell ref="KHH4:KHH5"/>
    <mergeCell ref="KHI4:KHI5"/>
    <mergeCell ref="KHJ4:KHJ5"/>
    <mergeCell ref="KHK4:KHK5"/>
    <mergeCell ref="KHB4:KHB5"/>
    <mergeCell ref="KHC4:KHC5"/>
    <mergeCell ref="KHD4:KHD5"/>
    <mergeCell ref="KHE4:KHE5"/>
    <mergeCell ref="KHF4:KHF5"/>
    <mergeCell ref="KGW4:KGW5"/>
    <mergeCell ref="KGX4:KGX5"/>
    <mergeCell ref="KGY4:KGY5"/>
    <mergeCell ref="KGZ4:KGZ5"/>
    <mergeCell ref="KHA4:KHA5"/>
    <mergeCell ref="KJJ4:KJJ5"/>
    <mergeCell ref="KJK4:KJK5"/>
    <mergeCell ref="KJL4:KJL5"/>
    <mergeCell ref="KJM4:KJM5"/>
    <mergeCell ref="KJN4:KJN5"/>
    <mergeCell ref="KJE4:KJE5"/>
    <mergeCell ref="KJF4:KJF5"/>
    <mergeCell ref="KJG4:KJG5"/>
    <mergeCell ref="KJH4:KJH5"/>
    <mergeCell ref="KJI4:KJI5"/>
    <mergeCell ref="KIZ4:KIZ5"/>
    <mergeCell ref="KJA4:KJA5"/>
    <mergeCell ref="KJB4:KJB5"/>
    <mergeCell ref="KJC4:KJC5"/>
    <mergeCell ref="KJD4:KJD5"/>
    <mergeCell ref="KIU4:KIU5"/>
    <mergeCell ref="KIV4:KIV5"/>
    <mergeCell ref="KIW4:KIW5"/>
    <mergeCell ref="KIX4:KIX5"/>
    <mergeCell ref="KIY4:KIY5"/>
    <mergeCell ref="KIP4:KIP5"/>
    <mergeCell ref="KIQ4:KIQ5"/>
    <mergeCell ref="KIR4:KIR5"/>
    <mergeCell ref="KIS4:KIS5"/>
    <mergeCell ref="KIT4:KIT5"/>
    <mergeCell ref="KIK4:KIK5"/>
    <mergeCell ref="KIL4:KIL5"/>
    <mergeCell ref="KIM4:KIM5"/>
    <mergeCell ref="KIN4:KIN5"/>
    <mergeCell ref="KIO4:KIO5"/>
    <mergeCell ref="KIF4:KIF5"/>
    <mergeCell ref="KIG4:KIG5"/>
    <mergeCell ref="KIH4:KIH5"/>
    <mergeCell ref="KII4:KII5"/>
    <mergeCell ref="KIJ4:KIJ5"/>
    <mergeCell ref="KKS4:KKS5"/>
    <mergeCell ref="KKT4:KKT5"/>
    <mergeCell ref="KKU4:KKU5"/>
    <mergeCell ref="KKV4:KKV5"/>
    <mergeCell ref="KKW4:KKW5"/>
    <mergeCell ref="KKN4:KKN5"/>
    <mergeCell ref="KKO4:KKO5"/>
    <mergeCell ref="KKP4:KKP5"/>
    <mergeCell ref="KKQ4:KKQ5"/>
    <mergeCell ref="KKR4:KKR5"/>
    <mergeCell ref="KKI4:KKI5"/>
    <mergeCell ref="KKJ4:KKJ5"/>
    <mergeCell ref="KKK4:KKK5"/>
    <mergeCell ref="KKL4:KKL5"/>
    <mergeCell ref="KKM4:KKM5"/>
    <mergeCell ref="KKD4:KKD5"/>
    <mergeCell ref="KKE4:KKE5"/>
    <mergeCell ref="KKF4:KKF5"/>
    <mergeCell ref="KKG4:KKG5"/>
    <mergeCell ref="KKH4:KKH5"/>
    <mergeCell ref="KJY4:KJY5"/>
    <mergeCell ref="KJZ4:KJZ5"/>
    <mergeCell ref="KKA4:KKA5"/>
    <mergeCell ref="KKB4:KKB5"/>
    <mergeCell ref="KKC4:KKC5"/>
    <mergeCell ref="KJT4:KJT5"/>
    <mergeCell ref="KJU4:KJU5"/>
    <mergeCell ref="KJV4:KJV5"/>
    <mergeCell ref="KJW4:KJW5"/>
    <mergeCell ref="KJX4:KJX5"/>
    <mergeCell ref="KJO4:KJO5"/>
    <mergeCell ref="KJP4:KJP5"/>
    <mergeCell ref="KJQ4:KJQ5"/>
    <mergeCell ref="KJR4:KJR5"/>
    <mergeCell ref="KJS4:KJS5"/>
    <mergeCell ref="KMB4:KMB5"/>
    <mergeCell ref="KMC4:KMC5"/>
    <mergeCell ref="KMD4:KMD5"/>
    <mergeCell ref="KME4:KME5"/>
    <mergeCell ref="KMF4:KMF5"/>
    <mergeCell ref="KLW4:KLW5"/>
    <mergeCell ref="KLX4:KLX5"/>
    <mergeCell ref="KLY4:KLY5"/>
    <mergeCell ref="KLZ4:KLZ5"/>
    <mergeCell ref="KMA4:KMA5"/>
    <mergeCell ref="KLR4:KLR5"/>
    <mergeCell ref="KLS4:KLS5"/>
    <mergeCell ref="KLT4:KLT5"/>
    <mergeCell ref="KLU4:KLU5"/>
    <mergeCell ref="KLV4:KLV5"/>
    <mergeCell ref="KLM4:KLM5"/>
    <mergeCell ref="KLN4:KLN5"/>
    <mergeCell ref="KLO4:KLO5"/>
    <mergeCell ref="KLP4:KLP5"/>
    <mergeCell ref="KLQ4:KLQ5"/>
    <mergeCell ref="KLH4:KLH5"/>
    <mergeCell ref="KLI4:KLI5"/>
    <mergeCell ref="KLJ4:KLJ5"/>
    <mergeCell ref="KLK4:KLK5"/>
    <mergeCell ref="KLL4:KLL5"/>
    <mergeCell ref="KLC4:KLC5"/>
    <mergeCell ref="KLD4:KLD5"/>
    <mergeCell ref="KLE4:KLE5"/>
    <mergeCell ref="KLF4:KLF5"/>
    <mergeCell ref="KLG4:KLG5"/>
    <mergeCell ref="KKX4:KKX5"/>
    <mergeCell ref="KKY4:KKY5"/>
    <mergeCell ref="KKZ4:KKZ5"/>
    <mergeCell ref="KLA4:KLA5"/>
    <mergeCell ref="KLB4:KLB5"/>
    <mergeCell ref="KNK4:KNK5"/>
    <mergeCell ref="KNL4:KNL5"/>
    <mergeCell ref="KNM4:KNM5"/>
    <mergeCell ref="KNN4:KNN5"/>
    <mergeCell ref="KNO4:KNO5"/>
    <mergeCell ref="KNF4:KNF5"/>
    <mergeCell ref="KNG4:KNG5"/>
    <mergeCell ref="KNH4:KNH5"/>
    <mergeCell ref="KNI4:KNI5"/>
    <mergeCell ref="KNJ4:KNJ5"/>
    <mergeCell ref="KNA4:KNA5"/>
    <mergeCell ref="KNB4:KNB5"/>
    <mergeCell ref="KNC4:KNC5"/>
    <mergeCell ref="KND4:KND5"/>
    <mergeCell ref="KNE4:KNE5"/>
    <mergeCell ref="KMV4:KMV5"/>
    <mergeCell ref="KMW4:KMW5"/>
    <mergeCell ref="KMX4:KMX5"/>
    <mergeCell ref="KMY4:KMY5"/>
    <mergeCell ref="KMZ4:KMZ5"/>
    <mergeCell ref="KMQ4:KMQ5"/>
    <mergeCell ref="KMR4:KMR5"/>
    <mergeCell ref="KMS4:KMS5"/>
    <mergeCell ref="KMT4:KMT5"/>
    <mergeCell ref="KMU4:KMU5"/>
    <mergeCell ref="KML4:KML5"/>
    <mergeCell ref="KMM4:KMM5"/>
    <mergeCell ref="KMN4:KMN5"/>
    <mergeCell ref="KMO4:KMO5"/>
    <mergeCell ref="KMP4:KMP5"/>
    <mergeCell ref="KMG4:KMG5"/>
    <mergeCell ref="KMH4:KMH5"/>
    <mergeCell ref="KMI4:KMI5"/>
    <mergeCell ref="KMJ4:KMJ5"/>
    <mergeCell ref="KMK4:KMK5"/>
    <mergeCell ref="KOT4:KOT5"/>
    <mergeCell ref="KOU4:KOU5"/>
    <mergeCell ref="KOV4:KOV5"/>
    <mergeCell ref="KOW4:KOW5"/>
    <mergeCell ref="KOX4:KOX5"/>
    <mergeCell ref="KOO4:KOO5"/>
    <mergeCell ref="KOP4:KOP5"/>
    <mergeCell ref="KOQ4:KOQ5"/>
    <mergeCell ref="KOR4:KOR5"/>
    <mergeCell ref="KOS4:KOS5"/>
    <mergeCell ref="KOJ4:KOJ5"/>
    <mergeCell ref="KOK4:KOK5"/>
    <mergeCell ref="KOL4:KOL5"/>
    <mergeCell ref="KOM4:KOM5"/>
    <mergeCell ref="KON4:KON5"/>
    <mergeCell ref="KOE4:KOE5"/>
    <mergeCell ref="KOF4:KOF5"/>
    <mergeCell ref="KOG4:KOG5"/>
    <mergeCell ref="KOH4:KOH5"/>
    <mergeCell ref="KOI4:KOI5"/>
    <mergeCell ref="KNZ4:KNZ5"/>
    <mergeCell ref="KOA4:KOA5"/>
    <mergeCell ref="KOB4:KOB5"/>
    <mergeCell ref="KOC4:KOC5"/>
    <mergeCell ref="KOD4:KOD5"/>
    <mergeCell ref="KNU4:KNU5"/>
    <mergeCell ref="KNV4:KNV5"/>
    <mergeCell ref="KNW4:KNW5"/>
    <mergeCell ref="KNX4:KNX5"/>
    <mergeCell ref="KNY4:KNY5"/>
    <mergeCell ref="KNP4:KNP5"/>
    <mergeCell ref="KNQ4:KNQ5"/>
    <mergeCell ref="KNR4:KNR5"/>
    <mergeCell ref="KNS4:KNS5"/>
    <mergeCell ref="KNT4:KNT5"/>
    <mergeCell ref="KQC4:KQC5"/>
    <mergeCell ref="KQD4:KQD5"/>
    <mergeCell ref="KQE4:KQE5"/>
    <mergeCell ref="KQF4:KQF5"/>
    <mergeCell ref="KQG4:KQG5"/>
    <mergeCell ref="KPX4:KPX5"/>
    <mergeCell ref="KPY4:KPY5"/>
    <mergeCell ref="KPZ4:KPZ5"/>
    <mergeCell ref="KQA4:KQA5"/>
    <mergeCell ref="KQB4:KQB5"/>
    <mergeCell ref="KPS4:KPS5"/>
    <mergeCell ref="KPT4:KPT5"/>
    <mergeCell ref="KPU4:KPU5"/>
    <mergeCell ref="KPV4:KPV5"/>
    <mergeCell ref="KPW4:KPW5"/>
    <mergeCell ref="KPN4:KPN5"/>
    <mergeCell ref="KPO4:KPO5"/>
    <mergeCell ref="KPP4:KPP5"/>
    <mergeCell ref="KPQ4:KPQ5"/>
    <mergeCell ref="KPR4:KPR5"/>
    <mergeCell ref="KPI4:KPI5"/>
    <mergeCell ref="KPJ4:KPJ5"/>
    <mergeCell ref="KPK4:KPK5"/>
    <mergeCell ref="KPL4:KPL5"/>
    <mergeCell ref="KPM4:KPM5"/>
    <mergeCell ref="KPD4:KPD5"/>
    <mergeCell ref="KPE4:KPE5"/>
    <mergeCell ref="KPF4:KPF5"/>
    <mergeCell ref="KPG4:KPG5"/>
    <mergeCell ref="KPH4:KPH5"/>
    <mergeCell ref="KOY4:KOY5"/>
    <mergeCell ref="KOZ4:KOZ5"/>
    <mergeCell ref="KPA4:KPA5"/>
    <mergeCell ref="KPB4:KPB5"/>
    <mergeCell ref="KPC4:KPC5"/>
    <mergeCell ref="KRL4:KRL5"/>
    <mergeCell ref="KRM4:KRM5"/>
    <mergeCell ref="KRN4:KRN5"/>
    <mergeCell ref="KRO4:KRO5"/>
    <mergeCell ref="KRP4:KRP5"/>
    <mergeCell ref="KRG4:KRG5"/>
    <mergeCell ref="KRH4:KRH5"/>
    <mergeCell ref="KRI4:KRI5"/>
    <mergeCell ref="KRJ4:KRJ5"/>
    <mergeCell ref="KRK4:KRK5"/>
    <mergeCell ref="KRB4:KRB5"/>
    <mergeCell ref="KRC4:KRC5"/>
    <mergeCell ref="KRD4:KRD5"/>
    <mergeCell ref="KRE4:KRE5"/>
    <mergeCell ref="KRF4:KRF5"/>
    <mergeCell ref="KQW4:KQW5"/>
    <mergeCell ref="KQX4:KQX5"/>
    <mergeCell ref="KQY4:KQY5"/>
    <mergeCell ref="KQZ4:KQZ5"/>
    <mergeCell ref="KRA4:KRA5"/>
    <mergeCell ref="KQR4:KQR5"/>
    <mergeCell ref="KQS4:KQS5"/>
    <mergeCell ref="KQT4:KQT5"/>
    <mergeCell ref="KQU4:KQU5"/>
    <mergeCell ref="KQV4:KQV5"/>
    <mergeCell ref="KQM4:KQM5"/>
    <mergeCell ref="KQN4:KQN5"/>
    <mergeCell ref="KQO4:KQO5"/>
    <mergeCell ref="KQP4:KQP5"/>
    <mergeCell ref="KQQ4:KQQ5"/>
    <mergeCell ref="KQH4:KQH5"/>
    <mergeCell ref="KQI4:KQI5"/>
    <mergeCell ref="KQJ4:KQJ5"/>
    <mergeCell ref="KQK4:KQK5"/>
    <mergeCell ref="KQL4:KQL5"/>
    <mergeCell ref="KSU4:KSU5"/>
    <mergeCell ref="KSV4:KSV5"/>
    <mergeCell ref="KSW4:KSW5"/>
    <mergeCell ref="KSX4:KSX5"/>
    <mergeCell ref="KSY4:KSY5"/>
    <mergeCell ref="KSP4:KSP5"/>
    <mergeCell ref="KSQ4:KSQ5"/>
    <mergeCell ref="KSR4:KSR5"/>
    <mergeCell ref="KSS4:KSS5"/>
    <mergeCell ref="KST4:KST5"/>
    <mergeCell ref="KSK4:KSK5"/>
    <mergeCell ref="KSL4:KSL5"/>
    <mergeCell ref="KSM4:KSM5"/>
    <mergeCell ref="KSN4:KSN5"/>
    <mergeCell ref="KSO4:KSO5"/>
    <mergeCell ref="KSF4:KSF5"/>
    <mergeCell ref="KSG4:KSG5"/>
    <mergeCell ref="KSH4:KSH5"/>
    <mergeCell ref="KSI4:KSI5"/>
    <mergeCell ref="KSJ4:KSJ5"/>
    <mergeCell ref="KSA4:KSA5"/>
    <mergeCell ref="KSB4:KSB5"/>
    <mergeCell ref="KSC4:KSC5"/>
    <mergeCell ref="KSD4:KSD5"/>
    <mergeCell ref="KSE4:KSE5"/>
    <mergeCell ref="KRV4:KRV5"/>
    <mergeCell ref="KRW4:KRW5"/>
    <mergeCell ref="KRX4:KRX5"/>
    <mergeCell ref="KRY4:KRY5"/>
    <mergeCell ref="KRZ4:KRZ5"/>
    <mergeCell ref="KRQ4:KRQ5"/>
    <mergeCell ref="KRR4:KRR5"/>
    <mergeCell ref="KRS4:KRS5"/>
    <mergeCell ref="KRT4:KRT5"/>
    <mergeCell ref="KRU4:KRU5"/>
    <mergeCell ref="KUD4:KUD5"/>
    <mergeCell ref="KUE4:KUE5"/>
    <mergeCell ref="KUF4:KUF5"/>
    <mergeCell ref="KUG4:KUG5"/>
    <mergeCell ref="KUH4:KUH5"/>
    <mergeCell ref="KTY4:KTY5"/>
    <mergeCell ref="KTZ4:KTZ5"/>
    <mergeCell ref="KUA4:KUA5"/>
    <mergeCell ref="KUB4:KUB5"/>
    <mergeCell ref="KUC4:KUC5"/>
    <mergeCell ref="KTT4:KTT5"/>
    <mergeCell ref="KTU4:KTU5"/>
    <mergeCell ref="KTV4:KTV5"/>
    <mergeCell ref="KTW4:KTW5"/>
    <mergeCell ref="KTX4:KTX5"/>
    <mergeCell ref="KTO4:KTO5"/>
    <mergeCell ref="KTP4:KTP5"/>
    <mergeCell ref="KTQ4:KTQ5"/>
    <mergeCell ref="KTR4:KTR5"/>
    <mergeCell ref="KTS4:KTS5"/>
    <mergeCell ref="KTJ4:KTJ5"/>
    <mergeCell ref="KTK4:KTK5"/>
    <mergeCell ref="KTL4:KTL5"/>
    <mergeCell ref="KTM4:KTM5"/>
    <mergeCell ref="KTN4:KTN5"/>
    <mergeCell ref="KTE4:KTE5"/>
    <mergeCell ref="KTF4:KTF5"/>
    <mergeCell ref="KTG4:KTG5"/>
    <mergeCell ref="KTH4:KTH5"/>
    <mergeCell ref="KTI4:KTI5"/>
    <mergeCell ref="KSZ4:KSZ5"/>
    <mergeCell ref="KTA4:KTA5"/>
    <mergeCell ref="KTB4:KTB5"/>
    <mergeCell ref="KTC4:KTC5"/>
    <mergeCell ref="KTD4:KTD5"/>
    <mergeCell ref="KVM4:KVM5"/>
    <mergeCell ref="KVN4:KVN5"/>
    <mergeCell ref="KVO4:KVO5"/>
    <mergeCell ref="KVP4:KVP5"/>
    <mergeCell ref="KVQ4:KVQ5"/>
    <mergeCell ref="KVH4:KVH5"/>
    <mergeCell ref="KVI4:KVI5"/>
    <mergeCell ref="KVJ4:KVJ5"/>
    <mergeCell ref="KVK4:KVK5"/>
    <mergeCell ref="KVL4:KVL5"/>
    <mergeCell ref="KVC4:KVC5"/>
    <mergeCell ref="KVD4:KVD5"/>
    <mergeCell ref="KVE4:KVE5"/>
    <mergeCell ref="KVF4:KVF5"/>
    <mergeCell ref="KVG4:KVG5"/>
    <mergeCell ref="KUX4:KUX5"/>
    <mergeCell ref="KUY4:KUY5"/>
    <mergeCell ref="KUZ4:KUZ5"/>
    <mergeCell ref="KVA4:KVA5"/>
    <mergeCell ref="KVB4:KVB5"/>
    <mergeCell ref="KUS4:KUS5"/>
    <mergeCell ref="KUT4:KUT5"/>
    <mergeCell ref="KUU4:KUU5"/>
    <mergeCell ref="KUV4:KUV5"/>
    <mergeCell ref="KUW4:KUW5"/>
    <mergeCell ref="KUN4:KUN5"/>
    <mergeCell ref="KUO4:KUO5"/>
    <mergeCell ref="KUP4:KUP5"/>
    <mergeCell ref="KUQ4:KUQ5"/>
    <mergeCell ref="KUR4:KUR5"/>
    <mergeCell ref="KUI4:KUI5"/>
    <mergeCell ref="KUJ4:KUJ5"/>
    <mergeCell ref="KUK4:KUK5"/>
    <mergeCell ref="KUL4:KUL5"/>
    <mergeCell ref="KUM4:KUM5"/>
    <mergeCell ref="KWV4:KWV5"/>
    <mergeCell ref="KWW4:KWW5"/>
    <mergeCell ref="KWX4:KWX5"/>
    <mergeCell ref="KWY4:KWY5"/>
    <mergeCell ref="KWZ4:KWZ5"/>
    <mergeCell ref="KWQ4:KWQ5"/>
    <mergeCell ref="KWR4:KWR5"/>
    <mergeCell ref="KWS4:KWS5"/>
    <mergeCell ref="KWT4:KWT5"/>
    <mergeCell ref="KWU4:KWU5"/>
    <mergeCell ref="KWL4:KWL5"/>
    <mergeCell ref="KWM4:KWM5"/>
    <mergeCell ref="KWN4:KWN5"/>
    <mergeCell ref="KWO4:KWO5"/>
    <mergeCell ref="KWP4:KWP5"/>
    <mergeCell ref="KWG4:KWG5"/>
    <mergeCell ref="KWH4:KWH5"/>
    <mergeCell ref="KWI4:KWI5"/>
    <mergeCell ref="KWJ4:KWJ5"/>
    <mergeCell ref="KWK4:KWK5"/>
    <mergeCell ref="KWB4:KWB5"/>
    <mergeCell ref="KWC4:KWC5"/>
    <mergeCell ref="KWD4:KWD5"/>
    <mergeCell ref="KWE4:KWE5"/>
    <mergeCell ref="KWF4:KWF5"/>
    <mergeCell ref="KVW4:KVW5"/>
    <mergeCell ref="KVX4:KVX5"/>
    <mergeCell ref="KVY4:KVY5"/>
    <mergeCell ref="KVZ4:KVZ5"/>
    <mergeCell ref="KWA4:KWA5"/>
    <mergeCell ref="KVR4:KVR5"/>
    <mergeCell ref="KVS4:KVS5"/>
    <mergeCell ref="KVT4:KVT5"/>
    <mergeCell ref="KVU4:KVU5"/>
    <mergeCell ref="KVV4:KVV5"/>
    <mergeCell ref="KYE4:KYE5"/>
    <mergeCell ref="KYF4:KYF5"/>
    <mergeCell ref="KYG4:KYG5"/>
    <mergeCell ref="KYH4:KYH5"/>
    <mergeCell ref="KYI4:KYI5"/>
    <mergeCell ref="KXZ4:KXZ5"/>
    <mergeCell ref="KYA4:KYA5"/>
    <mergeCell ref="KYB4:KYB5"/>
    <mergeCell ref="KYC4:KYC5"/>
    <mergeCell ref="KYD4:KYD5"/>
    <mergeCell ref="KXU4:KXU5"/>
    <mergeCell ref="KXV4:KXV5"/>
    <mergeCell ref="KXW4:KXW5"/>
    <mergeCell ref="KXX4:KXX5"/>
    <mergeCell ref="KXY4:KXY5"/>
    <mergeCell ref="KXP4:KXP5"/>
    <mergeCell ref="KXQ4:KXQ5"/>
    <mergeCell ref="KXR4:KXR5"/>
    <mergeCell ref="KXS4:KXS5"/>
    <mergeCell ref="KXT4:KXT5"/>
    <mergeCell ref="KXK4:KXK5"/>
    <mergeCell ref="KXL4:KXL5"/>
    <mergeCell ref="KXM4:KXM5"/>
    <mergeCell ref="KXN4:KXN5"/>
    <mergeCell ref="KXO4:KXO5"/>
    <mergeCell ref="KXF4:KXF5"/>
    <mergeCell ref="KXG4:KXG5"/>
    <mergeCell ref="KXH4:KXH5"/>
    <mergeCell ref="KXI4:KXI5"/>
    <mergeCell ref="KXJ4:KXJ5"/>
    <mergeCell ref="KXA4:KXA5"/>
    <mergeCell ref="KXB4:KXB5"/>
    <mergeCell ref="KXC4:KXC5"/>
    <mergeCell ref="KXD4:KXD5"/>
    <mergeCell ref="KXE4:KXE5"/>
    <mergeCell ref="KZN4:KZN5"/>
    <mergeCell ref="KZO4:KZO5"/>
    <mergeCell ref="KZP4:KZP5"/>
    <mergeCell ref="KZQ4:KZQ5"/>
    <mergeCell ref="KZR4:KZR5"/>
    <mergeCell ref="KZI4:KZI5"/>
    <mergeCell ref="KZJ4:KZJ5"/>
    <mergeCell ref="KZK4:KZK5"/>
    <mergeCell ref="KZL4:KZL5"/>
    <mergeCell ref="KZM4:KZM5"/>
    <mergeCell ref="KZD4:KZD5"/>
    <mergeCell ref="KZE4:KZE5"/>
    <mergeCell ref="KZF4:KZF5"/>
    <mergeCell ref="KZG4:KZG5"/>
    <mergeCell ref="KZH4:KZH5"/>
    <mergeCell ref="KYY4:KYY5"/>
    <mergeCell ref="KYZ4:KYZ5"/>
    <mergeCell ref="KZA4:KZA5"/>
    <mergeCell ref="KZB4:KZB5"/>
    <mergeCell ref="KZC4:KZC5"/>
    <mergeCell ref="KYT4:KYT5"/>
    <mergeCell ref="KYU4:KYU5"/>
    <mergeCell ref="KYV4:KYV5"/>
    <mergeCell ref="KYW4:KYW5"/>
    <mergeCell ref="KYX4:KYX5"/>
    <mergeCell ref="KYO4:KYO5"/>
    <mergeCell ref="KYP4:KYP5"/>
    <mergeCell ref="KYQ4:KYQ5"/>
    <mergeCell ref="KYR4:KYR5"/>
    <mergeCell ref="KYS4:KYS5"/>
    <mergeCell ref="KYJ4:KYJ5"/>
    <mergeCell ref="KYK4:KYK5"/>
    <mergeCell ref="KYL4:KYL5"/>
    <mergeCell ref="KYM4:KYM5"/>
    <mergeCell ref="KYN4:KYN5"/>
    <mergeCell ref="LAW4:LAW5"/>
    <mergeCell ref="LAX4:LAX5"/>
    <mergeCell ref="LAY4:LAY5"/>
    <mergeCell ref="LAZ4:LAZ5"/>
    <mergeCell ref="LBA4:LBA5"/>
    <mergeCell ref="LAR4:LAR5"/>
    <mergeCell ref="LAS4:LAS5"/>
    <mergeCell ref="LAT4:LAT5"/>
    <mergeCell ref="LAU4:LAU5"/>
    <mergeCell ref="LAV4:LAV5"/>
    <mergeCell ref="LAM4:LAM5"/>
    <mergeCell ref="LAN4:LAN5"/>
    <mergeCell ref="LAO4:LAO5"/>
    <mergeCell ref="LAP4:LAP5"/>
    <mergeCell ref="LAQ4:LAQ5"/>
    <mergeCell ref="LAH4:LAH5"/>
    <mergeCell ref="LAI4:LAI5"/>
    <mergeCell ref="LAJ4:LAJ5"/>
    <mergeCell ref="LAK4:LAK5"/>
    <mergeCell ref="LAL4:LAL5"/>
    <mergeCell ref="LAC4:LAC5"/>
    <mergeCell ref="LAD4:LAD5"/>
    <mergeCell ref="LAE4:LAE5"/>
    <mergeCell ref="LAF4:LAF5"/>
    <mergeCell ref="LAG4:LAG5"/>
    <mergeCell ref="KZX4:KZX5"/>
    <mergeCell ref="KZY4:KZY5"/>
    <mergeCell ref="KZZ4:KZZ5"/>
    <mergeCell ref="LAA4:LAA5"/>
    <mergeCell ref="LAB4:LAB5"/>
    <mergeCell ref="KZS4:KZS5"/>
    <mergeCell ref="KZT4:KZT5"/>
    <mergeCell ref="KZU4:KZU5"/>
    <mergeCell ref="KZV4:KZV5"/>
    <mergeCell ref="KZW4:KZW5"/>
    <mergeCell ref="LCF4:LCF5"/>
    <mergeCell ref="LCG4:LCG5"/>
    <mergeCell ref="LCH4:LCH5"/>
    <mergeCell ref="LCI4:LCI5"/>
    <mergeCell ref="LCJ4:LCJ5"/>
    <mergeCell ref="LCA4:LCA5"/>
    <mergeCell ref="LCB4:LCB5"/>
    <mergeCell ref="LCC4:LCC5"/>
    <mergeCell ref="LCD4:LCD5"/>
    <mergeCell ref="LCE4:LCE5"/>
    <mergeCell ref="LBV4:LBV5"/>
    <mergeCell ref="LBW4:LBW5"/>
    <mergeCell ref="LBX4:LBX5"/>
    <mergeCell ref="LBY4:LBY5"/>
    <mergeCell ref="LBZ4:LBZ5"/>
    <mergeCell ref="LBQ4:LBQ5"/>
    <mergeCell ref="LBR4:LBR5"/>
    <mergeCell ref="LBS4:LBS5"/>
    <mergeCell ref="LBT4:LBT5"/>
    <mergeCell ref="LBU4:LBU5"/>
    <mergeCell ref="LBL4:LBL5"/>
    <mergeCell ref="LBM4:LBM5"/>
    <mergeCell ref="LBN4:LBN5"/>
    <mergeCell ref="LBO4:LBO5"/>
    <mergeCell ref="LBP4:LBP5"/>
    <mergeCell ref="LBG4:LBG5"/>
    <mergeCell ref="LBH4:LBH5"/>
    <mergeCell ref="LBI4:LBI5"/>
    <mergeCell ref="LBJ4:LBJ5"/>
    <mergeCell ref="LBK4:LBK5"/>
    <mergeCell ref="LBB4:LBB5"/>
    <mergeCell ref="LBC4:LBC5"/>
    <mergeCell ref="LBD4:LBD5"/>
    <mergeCell ref="LBE4:LBE5"/>
    <mergeCell ref="LBF4:LBF5"/>
    <mergeCell ref="LDO4:LDO5"/>
    <mergeCell ref="LDP4:LDP5"/>
    <mergeCell ref="LDQ4:LDQ5"/>
    <mergeCell ref="LDR4:LDR5"/>
    <mergeCell ref="LDS4:LDS5"/>
    <mergeCell ref="LDJ4:LDJ5"/>
    <mergeCell ref="LDK4:LDK5"/>
    <mergeCell ref="LDL4:LDL5"/>
    <mergeCell ref="LDM4:LDM5"/>
    <mergeCell ref="LDN4:LDN5"/>
    <mergeCell ref="LDE4:LDE5"/>
    <mergeCell ref="LDF4:LDF5"/>
    <mergeCell ref="LDG4:LDG5"/>
    <mergeCell ref="LDH4:LDH5"/>
    <mergeCell ref="LDI4:LDI5"/>
    <mergeCell ref="LCZ4:LCZ5"/>
    <mergeCell ref="LDA4:LDA5"/>
    <mergeCell ref="LDB4:LDB5"/>
    <mergeCell ref="LDC4:LDC5"/>
    <mergeCell ref="LDD4:LDD5"/>
    <mergeCell ref="LCU4:LCU5"/>
    <mergeCell ref="LCV4:LCV5"/>
    <mergeCell ref="LCW4:LCW5"/>
    <mergeCell ref="LCX4:LCX5"/>
    <mergeCell ref="LCY4:LCY5"/>
    <mergeCell ref="LCP4:LCP5"/>
    <mergeCell ref="LCQ4:LCQ5"/>
    <mergeCell ref="LCR4:LCR5"/>
    <mergeCell ref="LCS4:LCS5"/>
    <mergeCell ref="LCT4:LCT5"/>
    <mergeCell ref="LCK4:LCK5"/>
    <mergeCell ref="LCL4:LCL5"/>
    <mergeCell ref="LCM4:LCM5"/>
    <mergeCell ref="LCN4:LCN5"/>
    <mergeCell ref="LCO4:LCO5"/>
    <mergeCell ref="LEX4:LEX5"/>
    <mergeCell ref="LEY4:LEY5"/>
    <mergeCell ref="LEZ4:LEZ5"/>
    <mergeCell ref="LFA4:LFA5"/>
    <mergeCell ref="LFB4:LFB5"/>
    <mergeCell ref="LES4:LES5"/>
    <mergeCell ref="LET4:LET5"/>
    <mergeCell ref="LEU4:LEU5"/>
    <mergeCell ref="LEV4:LEV5"/>
    <mergeCell ref="LEW4:LEW5"/>
    <mergeCell ref="LEN4:LEN5"/>
    <mergeCell ref="LEO4:LEO5"/>
    <mergeCell ref="LEP4:LEP5"/>
    <mergeCell ref="LEQ4:LEQ5"/>
    <mergeCell ref="LER4:LER5"/>
    <mergeCell ref="LEI4:LEI5"/>
    <mergeCell ref="LEJ4:LEJ5"/>
    <mergeCell ref="LEK4:LEK5"/>
    <mergeCell ref="LEL4:LEL5"/>
    <mergeCell ref="LEM4:LEM5"/>
    <mergeCell ref="LED4:LED5"/>
    <mergeCell ref="LEE4:LEE5"/>
    <mergeCell ref="LEF4:LEF5"/>
    <mergeCell ref="LEG4:LEG5"/>
    <mergeCell ref="LEH4:LEH5"/>
    <mergeCell ref="LDY4:LDY5"/>
    <mergeCell ref="LDZ4:LDZ5"/>
    <mergeCell ref="LEA4:LEA5"/>
    <mergeCell ref="LEB4:LEB5"/>
    <mergeCell ref="LEC4:LEC5"/>
    <mergeCell ref="LDT4:LDT5"/>
    <mergeCell ref="LDU4:LDU5"/>
    <mergeCell ref="LDV4:LDV5"/>
    <mergeCell ref="LDW4:LDW5"/>
    <mergeCell ref="LDX4:LDX5"/>
    <mergeCell ref="LGG4:LGG5"/>
    <mergeCell ref="LGH4:LGH5"/>
    <mergeCell ref="LGI4:LGI5"/>
    <mergeCell ref="LGJ4:LGJ5"/>
    <mergeCell ref="LGK4:LGK5"/>
    <mergeCell ref="LGB4:LGB5"/>
    <mergeCell ref="LGC4:LGC5"/>
    <mergeCell ref="LGD4:LGD5"/>
    <mergeCell ref="LGE4:LGE5"/>
    <mergeCell ref="LGF4:LGF5"/>
    <mergeCell ref="LFW4:LFW5"/>
    <mergeCell ref="LFX4:LFX5"/>
    <mergeCell ref="LFY4:LFY5"/>
    <mergeCell ref="LFZ4:LFZ5"/>
    <mergeCell ref="LGA4:LGA5"/>
    <mergeCell ref="LFR4:LFR5"/>
    <mergeCell ref="LFS4:LFS5"/>
    <mergeCell ref="LFT4:LFT5"/>
    <mergeCell ref="LFU4:LFU5"/>
    <mergeCell ref="LFV4:LFV5"/>
    <mergeCell ref="LFM4:LFM5"/>
    <mergeCell ref="LFN4:LFN5"/>
    <mergeCell ref="LFO4:LFO5"/>
    <mergeCell ref="LFP4:LFP5"/>
    <mergeCell ref="LFQ4:LFQ5"/>
    <mergeCell ref="LFH4:LFH5"/>
    <mergeCell ref="LFI4:LFI5"/>
    <mergeCell ref="LFJ4:LFJ5"/>
    <mergeCell ref="LFK4:LFK5"/>
    <mergeCell ref="LFL4:LFL5"/>
    <mergeCell ref="LFC4:LFC5"/>
    <mergeCell ref="LFD4:LFD5"/>
    <mergeCell ref="LFE4:LFE5"/>
    <mergeCell ref="LFF4:LFF5"/>
    <mergeCell ref="LFG4:LFG5"/>
    <mergeCell ref="LHP4:LHP5"/>
    <mergeCell ref="LHQ4:LHQ5"/>
    <mergeCell ref="LHR4:LHR5"/>
    <mergeCell ref="LHS4:LHS5"/>
    <mergeCell ref="LHT4:LHT5"/>
    <mergeCell ref="LHK4:LHK5"/>
    <mergeCell ref="LHL4:LHL5"/>
    <mergeCell ref="LHM4:LHM5"/>
    <mergeCell ref="LHN4:LHN5"/>
    <mergeCell ref="LHO4:LHO5"/>
    <mergeCell ref="LHF4:LHF5"/>
    <mergeCell ref="LHG4:LHG5"/>
    <mergeCell ref="LHH4:LHH5"/>
    <mergeCell ref="LHI4:LHI5"/>
    <mergeCell ref="LHJ4:LHJ5"/>
    <mergeCell ref="LHA4:LHA5"/>
    <mergeCell ref="LHB4:LHB5"/>
    <mergeCell ref="LHC4:LHC5"/>
    <mergeCell ref="LHD4:LHD5"/>
    <mergeCell ref="LHE4:LHE5"/>
    <mergeCell ref="LGV4:LGV5"/>
    <mergeCell ref="LGW4:LGW5"/>
    <mergeCell ref="LGX4:LGX5"/>
    <mergeCell ref="LGY4:LGY5"/>
    <mergeCell ref="LGZ4:LGZ5"/>
    <mergeCell ref="LGQ4:LGQ5"/>
    <mergeCell ref="LGR4:LGR5"/>
    <mergeCell ref="LGS4:LGS5"/>
    <mergeCell ref="LGT4:LGT5"/>
    <mergeCell ref="LGU4:LGU5"/>
    <mergeCell ref="LGL4:LGL5"/>
    <mergeCell ref="LGM4:LGM5"/>
    <mergeCell ref="LGN4:LGN5"/>
    <mergeCell ref="LGO4:LGO5"/>
    <mergeCell ref="LGP4:LGP5"/>
    <mergeCell ref="LIY4:LIY5"/>
    <mergeCell ref="LIZ4:LIZ5"/>
    <mergeCell ref="LJA4:LJA5"/>
    <mergeCell ref="LJB4:LJB5"/>
    <mergeCell ref="LJC4:LJC5"/>
    <mergeCell ref="LIT4:LIT5"/>
    <mergeCell ref="LIU4:LIU5"/>
    <mergeCell ref="LIV4:LIV5"/>
    <mergeCell ref="LIW4:LIW5"/>
    <mergeCell ref="LIX4:LIX5"/>
    <mergeCell ref="LIO4:LIO5"/>
    <mergeCell ref="LIP4:LIP5"/>
    <mergeCell ref="LIQ4:LIQ5"/>
    <mergeCell ref="LIR4:LIR5"/>
    <mergeCell ref="LIS4:LIS5"/>
    <mergeCell ref="LIJ4:LIJ5"/>
    <mergeCell ref="LIK4:LIK5"/>
    <mergeCell ref="LIL4:LIL5"/>
    <mergeCell ref="LIM4:LIM5"/>
    <mergeCell ref="LIN4:LIN5"/>
    <mergeCell ref="LIE4:LIE5"/>
    <mergeCell ref="LIF4:LIF5"/>
    <mergeCell ref="LIG4:LIG5"/>
    <mergeCell ref="LIH4:LIH5"/>
    <mergeCell ref="LII4:LII5"/>
    <mergeCell ref="LHZ4:LHZ5"/>
    <mergeCell ref="LIA4:LIA5"/>
    <mergeCell ref="LIB4:LIB5"/>
    <mergeCell ref="LIC4:LIC5"/>
    <mergeCell ref="LID4:LID5"/>
    <mergeCell ref="LHU4:LHU5"/>
    <mergeCell ref="LHV4:LHV5"/>
    <mergeCell ref="LHW4:LHW5"/>
    <mergeCell ref="LHX4:LHX5"/>
    <mergeCell ref="LHY4:LHY5"/>
    <mergeCell ref="LKH4:LKH5"/>
    <mergeCell ref="LKI4:LKI5"/>
    <mergeCell ref="LKJ4:LKJ5"/>
    <mergeCell ref="LKK4:LKK5"/>
    <mergeCell ref="LKL4:LKL5"/>
    <mergeCell ref="LKC4:LKC5"/>
    <mergeCell ref="LKD4:LKD5"/>
    <mergeCell ref="LKE4:LKE5"/>
    <mergeCell ref="LKF4:LKF5"/>
    <mergeCell ref="LKG4:LKG5"/>
    <mergeCell ref="LJX4:LJX5"/>
    <mergeCell ref="LJY4:LJY5"/>
    <mergeCell ref="LJZ4:LJZ5"/>
    <mergeCell ref="LKA4:LKA5"/>
    <mergeCell ref="LKB4:LKB5"/>
    <mergeCell ref="LJS4:LJS5"/>
    <mergeCell ref="LJT4:LJT5"/>
    <mergeCell ref="LJU4:LJU5"/>
    <mergeCell ref="LJV4:LJV5"/>
    <mergeCell ref="LJW4:LJW5"/>
    <mergeCell ref="LJN4:LJN5"/>
    <mergeCell ref="LJO4:LJO5"/>
    <mergeCell ref="LJP4:LJP5"/>
    <mergeCell ref="LJQ4:LJQ5"/>
    <mergeCell ref="LJR4:LJR5"/>
    <mergeCell ref="LJI4:LJI5"/>
    <mergeCell ref="LJJ4:LJJ5"/>
    <mergeCell ref="LJK4:LJK5"/>
    <mergeCell ref="LJL4:LJL5"/>
    <mergeCell ref="LJM4:LJM5"/>
    <mergeCell ref="LJD4:LJD5"/>
    <mergeCell ref="LJE4:LJE5"/>
    <mergeCell ref="LJF4:LJF5"/>
    <mergeCell ref="LJG4:LJG5"/>
    <mergeCell ref="LJH4:LJH5"/>
    <mergeCell ref="LLQ4:LLQ5"/>
    <mergeCell ref="LLR4:LLR5"/>
    <mergeCell ref="LLS4:LLS5"/>
    <mergeCell ref="LLT4:LLT5"/>
    <mergeCell ref="LLU4:LLU5"/>
    <mergeCell ref="LLL4:LLL5"/>
    <mergeCell ref="LLM4:LLM5"/>
    <mergeCell ref="LLN4:LLN5"/>
    <mergeCell ref="LLO4:LLO5"/>
    <mergeCell ref="LLP4:LLP5"/>
    <mergeCell ref="LLG4:LLG5"/>
    <mergeCell ref="LLH4:LLH5"/>
    <mergeCell ref="LLI4:LLI5"/>
    <mergeCell ref="LLJ4:LLJ5"/>
    <mergeCell ref="LLK4:LLK5"/>
    <mergeCell ref="LLB4:LLB5"/>
    <mergeCell ref="LLC4:LLC5"/>
    <mergeCell ref="LLD4:LLD5"/>
    <mergeCell ref="LLE4:LLE5"/>
    <mergeCell ref="LLF4:LLF5"/>
    <mergeCell ref="LKW4:LKW5"/>
    <mergeCell ref="LKX4:LKX5"/>
    <mergeCell ref="LKY4:LKY5"/>
    <mergeCell ref="LKZ4:LKZ5"/>
    <mergeCell ref="LLA4:LLA5"/>
    <mergeCell ref="LKR4:LKR5"/>
    <mergeCell ref="LKS4:LKS5"/>
    <mergeCell ref="LKT4:LKT5"/>
    <mergeCell ref="LKU4:LKU5"/>
    <mergeCell ref="LKV4:LKV5"/>
    <mergeCell ref="LKM4:LKM5"/>
    <mergeCell ref="LKN4:LKN5"/>
    <mergeCell ref="LKO4:LKO5"/>
    <mergeCell ref="LKP4:LKP5"/>
    <mergeCell ref="LKQ4:LKQ5"/>
    <mergeCell ref="LMZ4:LMZ5"/>
    <mergeCell ref="LNA4:LNA5"/>
    <mergeCell ref="LNB4:LNB5"/>
    <mergeCell ref="LNC4:LNC5"/>
    <mergeCell ref="LND4:LND5"/>
    <mergeCell ref="LMU4:LMU5"/>
    <mergeCell ref="LMV4:LMV5"/>
    <mergeCell ref="LMW4:LMW5"/>
    <mergeCell ref="LMX4:LMX5"/>
    <mergeCell ref="LMY4:LMY5"/>
    <mergeCell ref="LMP4:LMP5"/>
    <mergeCell ref="LMQ4:LMQ5"/>
    <mergeCell ref="LMR4:LMR5"/>
    <mergeCell ref="LMS4:LMS5"/>
    <mergeCell ref="LMT4:LMT5"/>
    <mergeCell ref="LMK4:LMK5"/>
    <mergeCell ref="LML4:LML5"/>
    <mergeCell ref="LMM4:LMM5"/>
    <mergeCell ref="LMN4:LMN5"/>
    <mergeCell ref="LMO4:LMO5"/>
    <mergeCell ref="LMF4:LMF5"/>
    <mergeCell ref="LMG4:LMG5"/>
    <mergeCell ref="LMH4:LMH5"/>
    <mergeCell ref="LMI4:LMI5"/>
    <mergeCell ref="LMJ4:LMJ5"/>
    <mergeCell ref="LMA4:LMA5"/>
    <mergeCell ref="LMB4:LMB5"/>
    <mergeCell ref="LMC4:LMC5"/>
    <mergeCell ref="LMD4:LMD5"/>
    <mergeCell ref="LME4:LME5"/>
    <mergeCell ref="LLV4:LLV5"/>
    <mergeCell ref="LLW4:LLW5"/>
    <mergeCell ref="LLX4:LLX5"/>
    <mergeCell ref="LLY4:LLY5"/>
    <mergeCell ref="LLZ4:LLZ5"/>
    <mergeCell ref="LOI4:LOI5"/>
    <mergeCell ref="LOJ4:LOJ5"/>
    <mergeCell ref="LOK4:LOK5"/>
    <mergeCell ref="LOL4:LOL5"/>
    <mergeCell ref="LOM4:LOM5"/>
    <mergeCell ref="LOD4:LOD5"/>
    <mergeCell ref="LOE4:LOE5"/>
    <mergeCell ref="LOF4:LOF5"/>
    <mergeCell ref="LOG4:LOG5"/>
    <mergeCell ref="LOH4:LOH5"/>
    <mergeCell ref="LNY4:LNY5"/>
    <mergeCell ref="LNZ4:LNZ5"/>
    <mergeCell ref="LOA4:LOA5"/>
    <mergeCell ref="LOB4:LOB5"/>
    <mergeCell ref="LOC4:LOC5"/>
    <mergeCell ref="LNT4:LNT5"/>
    <mergeCell ref="LNU4:LNU5"/>
    <mergeCell ref="LNV4:LNV5"/>
    <mergeCell ref="LNW4:LNW5"/>
    <mergeCell ref="LNX4:LNX5"/>
    <mergeCell ref="LNO4:LNO5"/>
    <mergeCell ref="LNP4:LNP5"/>
    <mergeCell ref="LNQ4:LNQ5"/>
    <mergeCell ref="LNR4:LNR5"/>
    <mergeCell ref="LNS4:LNS5"/>
    <mergeCell ref="LNJ4:LNJ5"/>
    <mergeCell ref="LNK4:LNK5"/>
    <mergeCell ref="LNL4:LNL5"/>
    <mergeCell ref="LNM4:LNM5"/>
    <mergeCell ref="LNN4:LNN5"/>
    <mergeCell ref="LNE4:LNE5"/>
    <mergeCell ref="LNF4:LNF5"/>
    <mergeCell ref="LNG4:LNG5"/>
    <mergeCell ref="LNH4:LNH5"/>
    <mergeCell ref="LNI4:LNI5"/>
    <mergeCell ref="LPR4:LPR5"/>
    <mergeCell ref="LPS4:LPS5"/>
    <mergeCell ref="LPT4:LPT5"/>
    <mergeCell ref="LPU4:LPU5"/>
    <mergeCell ref="LPV4:LPV5"/>
    <mergeCell ref="LPM4:LPM5"/>
    <mergeCell ref="LPN4:LPN5"/>
    <mergeCell ref="LPO4:LPO5"/>
    <mergeCell ref="LPP4:LPP5"/>
    <mergeCell ref="LPQ4:LPQ5"/>
    <mergeCell ref="LPH4:LPH5"/>
    <mergeCell ref="LPI4:LPI5"/>
    <mergeCell ref="LPJ4:LPJ5"/>
    <mergeCell ref="LPK4:LPK5"/>
    <mergeCell ref="LPL4:LPL5"/>
    <mergeCell ref="LPC4:LPC5"/>
    <mergeCell ref="LPD4:LPD5"/>
    <mergeCell ref="LPE4:LPE5"/>
    <mergeCell ref="LPF4:LPF5"/>
    <mergeCell ref="LPG4:LPG5"/>
    <mergeCell ref="LOX4:LOX5"/>
    <mergeCell ref="LOY4:LOY5"/>
    <mergeCell ref="LOZ4:LOZ5"/>
    <mergeCell ref="LPA4:LPA5"/>
    <mergeCell ref="LPB4:LPB5"/>
    <mergeCell ref="LOS4:LOS5"/>
    <mergeCell ref="LOT4:LOT5"/>
    <mergeCell ref="LOU4:LOU5"/>
    <mergeCell ref="LOV4:LOV5"/>
    <mergeCell ref="LOW4:LOW5"/>
    <mergeCell ref="LON4:LON5"/>
    <mergeCell ref="LOO4:LOO5"/>
    <mergeCell ref="LOP4:LOP5"/>
    <mergeCell ref="LOQ4:LOQ5"/>
    <mergeCell ref="LOR4:LOR5"/>
    <mergeCell ref="LRA4:LRA5"/>
    <mergeCell ref="LRB4:LRB5"/>
    <mergeCell ref="LRC4:LRC5"/>
    <mergeCell ref="LRD4:LRD5"/>
    <mergeCell ref="LRE4:LRE5"/>
    <mergeCell ref="LQV4:LQV5"/>
    <mergeCell ref="LQW4:LQW5"/>
    <mergeCell ref="LQX4:LQX5"/>
    <mergeCell ref="LQY4:LQY5"/>
    <mergeCell ref="LQZ4:LQZ5"/>
    <mergeCell ref="LQQ4:LQQ5"/>
    <mergeCell ref="LQR4:LQR5"/>
    <mergeCell ref="LQS4:LQS5"/>
    <mergeCell ref="LQT4:LQT5"/>
    <mergeCell ref="LQU4:LQU5"/>
    <mergeCell ref="LQL4:LQL5"/>
    <mergeCell ref="LQM4:LQM5"/>
    <mergeCell ref="LQN4:LQN5"/>
    <mergeCell ref="LQO4:LQO5"/>
    <mergeCell ref="LQP4:LQP5"/>
    <mergeCell ref="LQG4:LQG5"/>
    <mergeCell ref="LQH4:LQH5"/>
    <mergeCell ref="LQI4:LQI5"/>
    <mergeCell ref="LQJ4:LQJ5"/>
    <mergeCell ref="LQK4:LQK5"/>
    <mergeCell ref="LQB4:LQB5"/>
    <mergeCell ref="LQC4:LQC5"/>
    <mergeCell ref="LQD4:LQD5"/>
    <mergeCell ref="LQE4:LQE5"/>
    <mergeCell ref="LQF4:LQF5"/>
    <mergeCell ref="LPW4:LPW5"/>
    <mergeCell ref="LPX4:LPX5"/>
    <mergeCell ref="LPY4:LPY5"/>
    <mergeCell ref="LPZ4:LPZ5"/>
    <mergeCell ref="LQA4:LQA5"/>
    <mergeCell ref="LSJ4:LSJ5"/>
    <mergeCell ref="LSK4:LSK5"/>
    <mergeCell ref="LSL4:LSL5"/>
    <mergeCell ref="LSM4:LSM5"/>
    <mergeCell ref="LSN4:LSN5"/>
    <mergeCell ref="LSE4:LSE5"/>
    <mergeCell ref="LSF4:LSF5"/>
    <mergeCell ref="LSG4:LSG5"/>
    <mergeCell ref="LSH4:LSH5"/>
    <mergeCell ref="LSI4:LSI5"/>
    <mergeCell ref="LRZ4:LRZ5"/>
    <mergeCell ref="LSA4:LSA5"/>
    <mergeCell ref="LSB4:LSB5"/>
    <mergeCell ref="LSC4:LSC5"/>
    <mergeCell ref="LSD4:LSD5"/>
    <mergeCell ref="LRU4:LRU5"/>
    <mergeCell ref="LRV4:LRV5"/>
    <mergeCell ref="LRW4:LRW5"/>
    <mergeCell ref="LRX4:LRX5"/>
    <mergeCell ref="LRY4:LRY5"/>
    <mergeCell ref="LRP4:LRP5"/>
    <mergeCell ref="LRQ4:LRQ5"/>
    <mergeCell ref="LRR4:LRR5"/>
    <mergeCell ref="LRS4:LRS5"/>
    <mergeCell ref="LRT4:LRT5"/>
    <mergeCell ref="LRK4:LRK5"/>
    <mergeCell ref="LRL4:LRL5"/>
    <mergeCell ref="LRM4:LRM5"/>
    <mergeCell ref="LRN4:LRN5"/>
    <mergeCell ref="LRO4:LRO5"/>
    <mergeCell ref="LRF4:LRF5"/>
    <mergeCell ref="LRG4:LRG5"/>
    <mergeCell ref="LRH4:LRH5"/>
    <mergeCell ref="LRI4:LRI5"/>
    <mergeCell ref="LRJ4:LRJ5"/>
    <mergeCell ref="LTS4:LTS5"/>
    <mergeCell ref="LTT4:LTT5"/>
    <mergeCell ref="LTU4:LTU5"/>
    <mergeCell ref="LTV4:LTV5"/>
    <mergeCell ref="LTW4:LTW5"/>
    <mergeCell ref="LTN4:LTN5"/>
    <mergeCell ref="LTO4:LTO5"/>
    <mergeCell ref="LTP4:LTP5"/>
    <mergeCell ref="LTQ4:LTQ5"/>
    <mergeCell ref="LTR4:LTR5"/>
    <mergeCell ref="LTI4:LTI5"/>
    <mergeCell ref="LTJ4:LTJ5"/>
    <mergeCell ref="LTK4:LTK5"/>
    <mergeCell ref="LTL4:LTL5"/>
    <mergeCell ref="LTM4:LTM5"/>
    <mergeCell ref="LTD4:LTD5"/>
    <mergeCell ref="LTE4:LTE5"/>
    <mergeCell ref="LTF4:LTF5"/>
    <mergeCell ref="LTG4:LTG5"/>
    <mergeCell ref="LTH4:LTH5"/>
    <mergeCell ref="LSY4:LSY5"/>
    <mergeCell ref="LSZ4:LSZ5"/>
    <mergeCell ref="LTA4:LTA5"/>
    <mergeCell ref="LTB4:LTB5"/>
    <mergeCell ref="LTC4:LTC5"/>
    <mergeCell ref="LST4:LST5"/>
    <mergeCell ref="LSU4:LSU5"/>
    <mergeCell ref="LSV4:LSV5"/>
    <mergeCell ref="LSW4:LSW5"/>
    <mergeCell ref="LSX4:LSX5"/>
    <mergeCell ref="LSO4:LSO5"/>
    <mergeCell ref="LSP4:LSP5"/>
    <mergeCell ref="LSQ4:LSQ5"/>
    <mergeCell ref="LSR4:LSR5"/>
    <mergeCell ref="LSS4:LSS5"/>
    <mergeCell ref="LVB4:LVB5"/>
    <mergeCell ref="LVC4:LVC5"/>
    <mergeCell ref="LVD4:LVD5"/>
    <mergeCell ref="LVE4:LVE5"/>
    <mergeCell ref="LVF4:LVF5"/>
    <mergeCell ref="LUW4:LUW5"/>
    <mergeCell ref="LUX4:LUX5"/>
    <mergeCell ref="LUY4:LUY5"/>
    <mergeCell ref="LUZ4:LUZ5"/>
    <mergeCell ref="LVA4:LVA5"/>
    <mergeCell ref="LUR4:LUR5"/>
    <mergeCell ref="LUS4:LUS5"/>
    <mergeCell ref="LUT4:LUT5"/>
    <mergeCell ref="LUU4:LUU5"/>
    <mergeCell ref="LUV4:LUV5"/>
    <mergeCell ref="LUM4:LUM5"/>
    <mergeCell ref="LUN4:LUN5"/>
    <mergeCell ref="LUO4:LUO5"/>
    <mergeCell ref="LUP4:LUP5"/>
    <mergeCell ref="LUQ4:LUQ5"/>
    <mergeCell ref="LUH4:LUH5"/>
    <mergeCell ref="LUI4:LUI5"/>
    <mergeCell ref="LUJ4:LUJ5"/>
    <mergeCell ref="LUK4:LUK5"/>
    <mergeCell ref="LUL4:LUL5"/>
    <mergeCell ref="LUC4:LUC5"/>
    <mergeCell ref="LUD4:LUD5"/>
    <mergeCell ref="LUE4:LUE5"/>
    <mergeCell ref="LUF4:LUF5"/>
    <mergeCell ref="LUG4:LUG5"/>
    <mergeCell ref="LTX4:LTX5"/>
    <mergeCell ref="LTY4:LTY5"/>
    <mergeCell ref="LTZ4:LTZ5"/>
    <mergeCell ref="LUA4:LUA5"/>
    <mergeCell ref="LUB4:LUB5"/>
    <mergeCell ref="LWK4:LWK5"/>
    <mergeCell ref="LWL4:LWL5"/>
    <mergeCell ref="LWM4:LWM5"/>
    <mergeCell ref="LWN4:LWN5"/>
    <mergeCell ref="LWO4:LWO5"/>
    <mergeCell ref="LWF4:LWF5"/>
    <mergeCell ref="LWG4:LWG5"/>
    <mergeCell ref="LWH4:LWH5"/>
    <mergeCell ref="LWI4:LWI5"/>
    <mergeCell ref="LWJ4:LWJ5"/>
    <mergeCell ref="LWA4:LWA5"/>
    <mergeCell ref="LWB4:LWB5"/>
    <mergeCell ref="LWC4:LWC5"/>
    <mergeCell ref="LWD4:LWD5"/>
    <mergeCell ref="LWE4:LWE5"/>
    <mergeCell ref="LVV4:LVV5"/>
    <mergeCell ref="LVW4:LVW5"/>
    <mergeCell ref="LVX4:LVX5"/>
    <mergeCell ref="LVY4:LVY5"/>
    <mergeCell ref="LVZ4:LVZ5"/>
    <mergeCell ref="LVQ4:LVQ5"/>
    <mergeCell ref="LVR4:LVR5"/>
    <mergeCell ref="LVS4:LVS5"/>
    <mergeCell ref="LVT4:LVT5"/>
    <mergeCell ref="LVU4:LVU5"/>
    <mergeCell ref="LVL4:LVL5"/>
    <mergeCell ref="LVM4:LVM5"/>
    <mergeCell ref="LVN4:LVN5"/>
    <mergeCell ref="LVO4:LVO5"/>
    <mergeCell ref="LVP4:LVP5"/>
    <mergeCell ref="LVG4:LVG5"/>
    <mergeCell ref="LVH4:LVH5"/>
    <mergeCell ref="LVI4:LVI5"/>
    <mergeCell ref="LVJ4:LVJ5"/>
    <mergeCell ref="LVK4:LVK5"/>
    <mergeCell ref="LXT4:LXT5"/>
    <mergeCell ref="LXU4:LXU5"/>
    <mergeCell ref="LXV4:LXV5"/>
    <mergeCell ref="LXW4:LXW5"/>
    <mergeCell ref="LXX4:LXX5"/>
    <mergeCell ref="LXO4:LXO5"/>
    <mergeCell ref="LXP4:LXP5"/>
    <mergeCell ref="LXQ4:LXQ5"/>
    <mergeCell ref="LXR4:LXR5"/>
    <mergeCell ref="LXS4:LXS5"/>
    <mergeCell ref="LXJ4:LXJ5"/>
    <mergeCell ref="LXK4:LXK5"/>
    <mergeCell ref="LXL4:LXL5"/>
    <mergeCell ref="LXM4:LXM5"/>
    <mergeCell ref="LXN4:LXN5"/>
    <mergeCell ref="LXE4:LXE5"/>
    <mergeCell ref="LXF4:LXF5"/>
    <mergeCell ref="LXG4:LXG5"/>
    <mergeCell ref="LXH4:LXH5"/>
    <mergeCell ref="LXI4:LXI5"/>
    <mergeCell ref="LWZ4:LWZ5"/>
    <mergeCell ref="LXA4:LXA5"/>
    <mergeCell ref="LXB4:LXB5"/>
    <mergeCell ref="LXC4:LXC5"/>
    <mergeCell ref="LXD4:LXD5"/>
    <mergeCell ref="LWU4:LWU5"/>
    <mergeCell ref="LWV4:LWV5"/>
    <mergeCell ref="LWW4:LWW5"/>
    <mergeCell ref="LWX4:LWX5"/>
    <mergeCell ref="LWY4:LWY5"/>
    <mergeCell ref="LWP4:LWP5"/>
    <mergeCell ref="LWQ4:LWQ5"/>
    <mergeCell ref="LWR4:LWR5"/>
    <mergeCell ref="LWS4:LWS5"/>
    <mergeCell ref="LWT4:LWT5"/>
    <mergeCell ref="LZC4:LZC5"/>
    <mergeCell ref="LZD4:LZD5"/>
    <mergeCell ref="LZE4:LZE5"/>
    <mergeCell ref="LZF4:LZF5"/>
    <mergeCell ref="LZG4:LZG5"/>
    <mergeCell ref="LYX4:LYX5"/>
    <mergeCell ref="LYY4:LYY5"/>
    <mergeCell ref="LYZ4:LYZ5"/>
    <mergeCell ref="LZA4:LZA5"/>
    <mergeCell ref="LZB4:LZB5"/>
    <mergeCell ref="LYS4:LYS5"/>
    <mergeCell ref="LYT4:LYT5"/>
    <mergeCell ref="LYU4:LYU5"/>
    <mergeCell ref="LYV4:LYV5"/>
    <mergeCell ref="LYW4:LYW5"/>
    <mergeCell ref="LYN4:LYN5"/>
    <mergeCell ref="LYO4:LYO5"/>
    <mergeCell ref="LYP4:LYP5"/>
    <mergeCell ref="LYQ4:LYQ5"/>
    <mergeCell ref="LYR4:LYR5"/>
    <mergeCell ref="LYI4:LYI5"/>
    <mergeCell ref="LYJ4:LYJ5"/>
    <mergeCell ref="LYK4:LYK5"/>
    <mergeCell ref="LYL4:LYL5"/>
    <mergeCell ref="LYM4:LYM5"/>
    <mergeCell ref="LYD4:LYD5"/>
    <mergeCell ref="LYE4:LYE5"/>
    <mergeCell ref="LYF4:LYF5"/>
    <mergeCell ref="LYG4:LYG5"/>
    <mergeCell ref="LYH4:LYH5"/>
    <mergeCell ref="LXY4:LXY5"/>
    <mergeCell ref="LXZ4:LXZ5"/>
    <mergeCell ref="LYA4:LYA5"/>
    <mergeCell ref="LYB4:LYB5"/>
    <mergeCell ref="LYC4:LYC5"/>
    <mergeCell ref="MAL4:MAL5"/>
    <mergeCell ref="MAM4:MAM5"/>
    <mergeCell ref="MAN4:MAN5"/>
    <mergeCell ref="MAO4:MAO5"/>
    <mergeCell ref="MAP4:MAP5"/>
    <mergeCell ref="MAG4:MAG5"/>
    <mergeCell ref="MAH4:MAH5"/>
    <mergeCell ref="MAI4:MAI5"/>
    <mergeCell ref="MAJ4:MAJ5"/>
    <mergeCell ref="MAK4:MAK5"/>
    <mergeCell ref="MAB4:MAB5"/>
    <mergeCell ref="MAC4:MAC5"/>
    <mergeCell ref="MAD4:MAD5"/>
    <mergeCell ref="MAE4:MAE5"/>
    <mergeCell ref="MAF4:MAF5"/>
    <mergeCell ref="LZW4:LZW5"/>
    <mergeCell ref="LZX4:LZX5"/>
    <mergeCell ref="LZY4:LZY5"/>
    <mergeCell ref="LZZ4:LZZ5"/>
    <mergeCell ref="MAA4:MAA5"/>
    <mergeCell ref="LZR4:LZR5"/>
    <mergeCell ref="LZS4:LZS5"/>
    <mergeCell ref="LZT4:LZT5"/>
    <mergeCell ref="LZU4:LZU5"/>
    <mergeCell ref="LZV4:LZV5"/>
    <mergeCell ref="LZM4:LZM5"/>
    <mergeCell ref="LZN4:LZN5"/>
    <mergeCell ref="LZO4:LZO5"/>
    <mergeCell ref="LZP4:LZP5"/>
    <mergeCell ref="LZQ4:LZQ5"/>
    <mergeCell ref="LZH4:LZH5"/>
    <mergeCell ref="LZI4:LZI5"/>
    <mergeCell ref="LZJ4:LZJ5"/>
    <mergeCell ref="LZK4:LZK5"/>
    <mergeCell ref="LZL4:LZL5"/>
    <mergeCell ref="MBU4:MBU5"/>
    <mergeCell ref="MBV4:MBV5"/>
    <mergeCell ref="MBW4:MBW5"/>
    <mergeCell ref="MBX4:MBX5"/>
    <mergeCell ref="MBY4:MBY5"/>
    <mergeCell ref="MBP4:MBP5"/>
    <mergeCell ref="MBQ4:MBQ5"/>
    <mergeCell ref="MBR4:MBR5"/>
    <mergeCell ref="MBS4:MBS5"/>
    <mergeCell ref="MBT4:MBT5"/>
    <mergeCell ref="MBK4:MBK5"/>
    <mergeCell ref="MBL4:MBL5"/>
    <mergeCell ref="MBM4:MBM5"/>
    <mergeCell ref="MBN4:MBN5"/>
    <mergeCell ref="MBO4:MBO5"/>
    <mergeCell ref="MBF4:MBF5"/>
    <mergeCell ref="MBG4:MBG5"/>
    <mergeCell ref="MBH4:MBH5"/>
    <mergeCell ref="MBI4:MBI5"/>
    <mergeCell ref="MBJ4:MBJ5"/>
    <mergeCell ref="MBA4:MBA5"/>
    <mergeCell ref="MBB4:MBB5"/>
    <mergeCell ref="MBC4:MBC5"/>
    <mergeCell ref="MBD4:MBD5"/>
    <mergeCell ref="MBE4:MBE5"/>
    <mergeCell ref="MAV4:MAV5"/>
    <mergeCell ref="MAW4:MAW5"/>
    <mergeCell ref="MAX4:MAX5"/>
    <mergeCell ref="MAY4:MAY5"/>
    <mergeCell ref="MAZ4:MAZ5"/>
    <mergeCell ref="MAQ4:MAQ5"/>
    <mergeCell ref="MAR4:MAR5"/>
    <mergeCell ref="MAS4:MAS5"/>
    <mergeCell ref="MAT4:MAT5"/>
    <mergeCell ref="MAU4:MAU5"/>
    <mergeCell ref="MDD4:MDD5"/>
    <mergeCell ref="MDE4:MDE5"/>
    <mergeCell ref="MDF4:MDF5"/>
    <mergeCell ref="MDG4:MDG5"/>
    <mergeCell ref="MDH4:MDH5"/>
    <mergeCell ref="MCY4:MCY5"/>
    <mergeCell ref="MCZ4:MCZ5"/>
    <mergeCell ref="MDA4:MDA5"/>
    <mergeCell ref="MDB4:MDB5"/>
    <mergeCell ref="MDC4:MDC5"/>
    <mergeCell ref="MCT4:MCT5"/>
    <mergeCell ref="MCU4:MCU5"/>
    <mergeCell ref="MCV4:MCV5"/>
    <mergeCell ref="MCW4:MCW5"/>
    <mergeCell ref="MCX4:MCX5"/>
    <mergeCell ref="MCO4:MCO5"/>
    <mergeCell ref="MCP4:MCP5"/>
    <mergeCell ref="MCQ4:MCQ5"/>
    <mergeCell ref="MCR4:MCR5"/>
    <mergeCell ref="MCS4:MCS5"/>
    <mergeCell ref="MCJ4:MCJ5"/>
    <mergeCell ref="MCK4:MCK5"/>
    <mergeCell ref="MCL4:MCL5"/>
    <mergeCell ref="MCM4:MCM5"/>
    <mergeCell ref="MCN4:MCN5"/>
    <mergeCell ref="MCE4:MCE5"/>
    <mergeCell ref="MCF4:MCF5"/>
    <mergeCell ref="MCG4:MCG5"/>
    <mergeCell ref="MCH4:MCH5"/>
    <mergeCell ref="MCI4:MCI5"/>
    <mergeCell ref="MBZ4:MBZ5"/>
    <mergeCell ref="MCA4:MCA5"/>
    <mergeCell ref="MCB4:MCB5"/>
    <mergeCell ref="MCC4:MCC5"/>
    <mergeCell ref="MCD4:MCD5"/>
    <mergeCell ref="MEM4:MEM5"/>
    <mergeCell ref="MEN4:MEN5"/>
    <mergeCell ref="MEO4:MEO5"/>
    <mergeCell ref="MEP4:MEP5"/>
    <mergeCell ref="MEQ4:MEQ5"/>
    <mergeCell ref="MEH4:MEH5"/>
    <mergeCell ref="MEI4:MEI5"/>
    <mergeCell ref="MEJ4:MEJ5"/>
    <mergeCell ref="MEK4:MEK5"/>
    <mergeCell ref="MEL4:MEL5"/>
    <mergeCell ref="MEC4:MEC5"/>
    <mergeCell ref="MED4:MED5"/>
    <mergeCell ref="MEE4:MEE5"/>
    <mergeCell ref="MEF4:MEF5"/>
    <mergeCell ref="MEG4:MEG5"/>
    <mergeCell ref="MDX4:MDX5"/>
    <mergeCell ref="MDY4:MDY5"/>
    <mergeCell ref="MDZ4:MDZ5"/>
    <mergeCell ref="MEA4:MEA5"/>
    <mergeCell ref="MEB4:MEB5"/>
    <mergeCell ref="MDS4:MDS5"/>
    <mergeCell ref="MDT4:MDT5"/>
    <mergeCell ref="MDU4:MDU5"/>
    <mergeCell ref="MDV4:MDV5"/>
    <mergeCell ref="MDW4:MDW5"/>
    <mergeCell ref="MDN4:MDN5"/>
    <mergeCell ref="MDO4:MDO5"/>
    <mergeCell ref="MDP4:MDP5"/>
    <mergeCell ref="MDQ4:MDQ5"/>
    <mergeCell ref="MDR4:MDR5"/>
    <mergeCell ref="MDI4:MDI5"/>
    <mergeCell ref="MDJ4:MDJ5"/>
    <mergeCell ref="MDK4:MDK5"/>
    <mergeCell ref="MDL4:MDL5"/>
    <mergeCell ref="MDM4:MDM5"/>
    <mergeCell ref="MFV4:MFV5"/>
    <mergeCell ref="MFW4:MFW5"/>
    <mergeCell ref="MFX4:MFX5"/>
    <mergeCell ref="MFY4:MFY5"/>
    <mergeCell ref="MFZ4:MFZ5"/>
    <mergeCell ref="MFQ4:MFQ5"/>
    <mergeCell ref="MFR4:MFR5"/>
    <mergeCell ref="MFS4:MFS5"/>
    <mergeCell ref="MFT4:MFT5"/>
    <mergeCell ref="MFU4:MFU5"/>
    <mergeCell ref="MFL4:MFL5"/>
    <mergeCell ref="MFM4:MFM5"/>
    <mergeCell ref="MFN4:MFN5"/>
    <mergeCell ref="MFO4:MFO5"/>
    <mergeCell ref="MFP4:MFP5"/>
    <mergeCell ref="MFG4:MFG5"/>
    <mergeCell ref="MFH4:MFH5"/>
    <mergeCell ref="MFI4:MFI5"/>
    <mergeCell ref="MFJ4:MFJ5"/>
    <mergeCell ref="MFK4:MFK5"/>
    <mergeCell ref="MFB4:MFB5"/>
    <mergeCell ref="MFC4:MFC5"/>
    <mergeCell ref="MFD4:MFD5"/>
    <mergeCell ref="MFE4:MFE5"/>
    <mergeCell ref="MFF4:MFF5"/>
    <mergeCell ref="MEW4:MEW5"/>
    <mergeCell ref="MEX4:MEX5"/>
    <mergeCell ref="MEY4:MEY5"/>
    <mergeCell ref="MEZ4:MEZ5"/>
    <mergeCell ref="MFA4:MFA5"/>
    <mergeCell ref="MER4:MER5"/>
    <mergeCell ref="MES4:MES5"/>
    <mergeCell ref="MET4:MET5"/>
    <mergeCell ref="MEU4:MEU5"/>
    <mergeCell ref="MEV4:MEV5"/>
    <mergeCell ref="MHE4:MHE5"/>
    <mergeCell ref="MHF4:MHF5"/>
    <mergeCell ref="MHG4:MHG5"/>
    <mergeCell ref="MHH4:MHH5"/>
    <mergeCell ref="MHI4:MHI5"/>
    <mergeCell ref="MGZ4:MGZ5"/>
    <mergeCell ref="MHA4:MHA5"/>
    <mergeCell ref="MHB4:MHB5"/>
    <mergeCell ref="MHC4:MHC5"/>
    <mergeCell ref="MHD4:MHD5"/>
    <mergeCell ref="MGU4:MGU5"/>
    <mergeCell ref="MGV4:MGV5"/>
    <mergeCell ref="MGW4:MGW5"/>
    <mergeCell ref="MGX4:MGX5"/>
    <mergeCell ref="MGY4:MGY5"/>
    <mergeCell ref="MGP4:MGP5"/>
    <mergeCell ref="MGQ4:MGQ5"/>
    <mergeCell ref="MGR4:MGR5"/>
    <mergeCell ref="MGS4:MGS5"/>
    <mergeCell ref="MGT4:MGT5"/>
    <mergeCell ref="MGK4:MGK5"/>
    <mergeCell ref="MGL4:MGL5"/>
    <mergeCell ref="MGM4:MGM5"/>
    <mergeCell ref="MGN4:MGN5"/>
    <mergeCell ref="MGO4:MGO5"/>
    <mergeCell ref="MGF4:MGF5"/>
    <mergeCell ref="MGG4:MGG5"/>
    <mergeCell ref="MGH4:MGH5"/>
    <mergeCell ref="MGI4:MGI5"/>
    <mergeCell ref="MGJ4:MGJ5"/>
    <mergeCell ref="MGA4:MGA5"/>
    <mergeCell ref="MGB4:MGB5"/>
    <mergeCell ref="MGC4:MGC5"/>
    <mergeCell ref="MGD4:MGD5"/>
    <mergeCell ref="MGE4:MGE5"/>
    <mergeCell ref="MIN4:MIN5"/>
    <mergeCell ref="MIO4:MIO5"/>
    <mergeCell ref="MIP4:MIP5"/>
    <mergeCell ref="MIQ4:MIQ5"/>
    <mergeCell ref="MIR4:MIR5"/>
    <mergeCell ref="MII4:MII5"/>
    <mergeCell ref="MIJ4:MIJ5"/>
    <mergeCell ref="MIK4:MIK5"/>
    <mergeCell ref="MIL4:MIL5"/>
    <mergeCell ref="MIM4:MIM5"/>
    <mergeCell ref="MID4:MID5"/>
    <mergeCell ref="MIE4:MIE5"/>
    <mergeCell ref="MIF4:MIF5"/>
    <mergeCell ref="MIG4:MIG5"/>
    <mergeCell ref="MIH4:MIH5"/>
    <mergeCell ref="MHY4:MHY5"/>
    <mergeCell ref="MHZ4:MHZ5"/>
    <mergeCell ref="MIA4:MIA5"/>
    <mergeCell ref="MIB4:MIB5"/>
    <mergeCell ref="MIC4:MIC5"/>
    <mergeCell ref="MHT4:MHT5"/>
    <mergeCell ref="MHU4:MHU5"/>
    <mergeCell ref="MHV4:MHV5"/>
    <mergeCell ref="MHW4:MHW5"/>
    <mergeCell ref="MHX4:MHX5"/>
    <mergeCell ref="MHO4:MHO5"/>
    <mergeCell ref="MHP4:MHP5"/>
    <mergeCell ref="MHQ4:MHQ5"/>
    <mergeCell ref="MHR4:MHR5"/>
    <mergeCell ref="MHS4:MHS5"/>
    <mergeCell ref="MHJ4:MHJ5"/>
    <mergeCell ref="MHK4:MHK5"/>
    <mergeCell ref="MHL4:MHL5"/>
    <mergeCell ref="MHM4:MHM5"/>
    <mergeCell ref="MHN4:MHN5"/>
    <mergeCell ref="MJW4:MJW5"/>
    <mergeCell ref="MJX4:MJX5"/>
    <mergeCell ref="MJY4:MJY5"/>
    <mergeCell ref="MJZ4:MJZ5"/>
    <mergeCell ref="MKA4:MKA5"/>
    <mergeCell ref="MJR4:MJR5"/>
    <mergeCell ref="MJS4:MJS5"/>
    <mergeCell ref="MJT4:MJT5"/>
    <mergeCell ref="MJU4:MJU5"/>
    <mergeCell ref="MJV4:MJV5"/>
    <mergeCell ref="MJM4:MJM5"/>
    <mergeCell ref="MJN4:MJN5"/>
    <mergeCell ref="MJO4:MJO5"/>
    <mergeCell ref="MJP4:MJP5"/>
    <mergeCell ref="MJQ4:MJQ5"/>
    <mergeCell ref="MJH4:MJH5"/>
    <mergeCell ref="MJI4:MJI5"/>
    <mergeCell ref="MJJ4:MJJ5"/>
    <mergeCell ref="MJK4:MJK5"/>
    <mergeCell ref="MJL4:MJL5"/>
    <mergeCell ref="MJC4:MJC5"/>
    <mergeCell ref="MJD4:MJD5"/>
    <mergeCell ref="MJE4:MJE5"/>
    <mergeCell ref="MJF4:MJF5"/>
    <mergeCell ref="MJG4:MJG5"/>
    <mergeCell ref="MIX4:MIX5"/>
    <mergeCell ref="MIY4:MIY5"/>
    <mergeCell ref="MIZ4:MIZ5"/>
    <mergeCell ref="MJA4:MJA5"/>
    <mergeCell ref="MJB4:MJB5"/>
    <mergeCell ref="MIS4:MIS5"/>
    <mergeCell ref="MIT4:MIT5"/>
    <mergeCell ref="MIU4:MIU5"/>
    <mergeCell ref="MIV4:MIV5"/>
    <mergeCell ref="MIW4:MIW5"/>
    <mergeCell ref="MLF4:MLF5"/>
    <mergeCell ref="MLG4:MLG5"/>
    <mergeCell ref="MLH4:MLH5"/>
    <mergeCell ref="MLI4:MLI5"/>
    <mergeCell ref="MLJ4:MLJ5"/>
    <mergeCell ref="MLA4:MLA5"/>
    <mergeCell ref="MLB4:MLB5"/>
    <mergeCell ref="MLC4:MLC5"/>
    <mergeCell ref="MLD4:MLD5"/>
    <mergeCell ref="MLE4:MLE5"/>
    <mergeCell ref="MKV4:MKV5"/>
    <mergeCell ref="MKW4:MKW5"/>
    <mergeCell ref="MKX4:MKX5"/>
    <mergeCell ref="MKY4:MKY5"/>
    <mergeCell ref="MKZ4:MKZ5"/>
    <mergeCell ref="MKQ4:MKQ5"/>
    <mergeCell ref="MKR4:MKR5"/>
    <mergeCell ref="MKS4:MKS5"/>
    <mergeCell ref="MKT4:MKT5"/>
    <mergeCell ref="MKU4:MKU5"/>
    <mergeCell ref="MKL4:MKL5"/>
    <mergeCell ref="MKM4:MKM5"/>
    <mergeCell ref="MKN4:MKN5"/>
    <mergeCell ref="MKO4:MKO5"/>
    <mergeCell ref="MKP4:MKP5"/>
    <mergeCell ref="MKG4:MKG5"/>
    <mergeCell ref="MKH4:MKH5"/>
    <mergeCell ref="MKI4:MKI5"/>
    <mergeCell ref="MKJ4:MKJ5"/>
    <mergeCell ref="MKK4:MKK5"/>
    <mergeCell ref="MKB4:MKB5"/>
    <mergeCell ref="MKC4:MKC5"/>
    <mergeCell ref="MKD4:MKD5"/>
    <mergeCell ref="MKE4:MKE5"/>
    <mergeCell ref="MKF4:MKF5"/>
    <mergeCell ref="MMO4:MMO5"/>
    <mergeCell ref="MMP4:MMP5"/>
    <mergeCell ref="MMQ4:MMQ5"/>
    <mergeCell ref="MMR4:MMR5"/>
    <mergeCell ref="MMS4:MMS5"/>
    <mergeCell ref="MMJ4:MMJ5"/>
    <mergeCell ref="MMK4:MMK5"/>
    <mergeCell ref="MML4:MML5"/>
    <mergeCell ref="MMM4:MMM5"/>
    <mergeCell ref="MMN4:MMN5"/>
    <mergeCell ref="MME4:MME5"/>
    <mergeCell ref="MMF4:MMF5"/>
    <mergeCell ref="MMG4:MMG5"/>
    <mergeCell ref="MMH4:MMH5"/>
    <mergeCell ref="MMI4:MMI5"/>
    <mergeCell ref="MLZ4:MLZ5"/>
    <mergeCell ref="MMA4:MMA5"/>
    <mergeCell ref="MMB4:MMB5"/>
    <mergeCell ref="MMC4:MMC5"/>
    <mergeCell ref="MMD4:MMD5"/>
    <mergeCell ref="MLU4:MLU5"/>
    <mergeCell ref="MLV4:MLV5"/>
    <mergeCell ref="MLW4:MLW5"/>
    <mergeCell ref="MLX4:MLX5"/>
    <mergeCell ref="MLY4:MLY5"/>
    <mergeCell ref="MLP4:MLP5"/>
    <mergeCell ref="MLQ4:MLQ5"/>
    <mergeCell ref="MLR4:MLR5"/>
    <mergeCell ref="MLS4:MLS5"/>
    <mergeCell ref="MLT4:MLT5"/>
    <mergeCell ref="MLK4:MLK5"/>
    <mergeCell ref="MLL4:MLL5"/>
    <mergeCell ref="MLM4:MLM5"/>
    <mergeCell ref="MLN4:MLN5"/>
    <mergeCell ref="MLO4:MLO5"/>
    <mergeCell ref="MNX4:MNX5"/>
    <mergeCell ref="MNY4:MNY5"/>
    <mergeCell ref="MNZ4:MNZ5"/>
    <mergeCell ref="MOA4:MOA5"/>
    <mergeCell ref="MOB4:MOB5"/>
    <mergeCell ref="MNS4:MNS5"/>
    <mergeCell ref="MNT4:MNT5"/>
    <mergeCell ref="MNU4:MNU5"/>
    <mergeCell ref="MNV4:MNV5"/>
    <mergeCell ref="MNW4:MNW5"/>
    <mergeCell ref="MNN4:MNN5"/>
    <mergeCell ref="MNO4:MNO5"/>
    <mergeCell ref="MNP4:MNP5"/>
    <mergeCell ref="MNQ4:MNQ5"/>
    <mergeCell ref="MNR4:MNR5"/>
    <mergeCell ref="MNI4:MNI5"/>
    <mergeCell ref="MNJ4:MNJ5"/>
    <mergeCell ref="MNK4:MNK5"/>
    <mergeCell ref="MNL4:MNL5"/>
    <mergeCell ref="MNM4:MNM5"/>
    <mergeCell ref="MND4:MND5"/>
    <mergeCell ref="MNE4:MNE5"/>
    <mergeCell ref="MNF4:MNF5"/>
    <mergeCell ref="MNG4:MNG5"/>
    <mergeCell ref="MNH4:MNH5"/>
    <mergeCell ref="MMY4:MMY5"/>
    <mergeCell ref="MMZ4:MMZ5"/>
    <mergeCell ref="MNA4:MNA5"/>
    <mergeCell ref="MNB4:MNB5"/>
    <mergeCell ref="MNC4:MNC5"/>
    <mergeCell ref="MMT4:MMT5"/>
    <mergeCell ref="MMU4:MMU5"/>
    <mergeCell ref="MMV4:MMV5"/>
    <mergeCell ref="MMW4:MMW5"/>
    <mergeCell ref="MMX4:MMX5"/>
    <mergeCell ref="MPG4:MPG5"/>
    <mergeCell ref="MPH4:MPH5"/>
    <mergeCell ref="MPI4:MPI5"/>
    <mergeCell ref="MPJ4:MPJ5"/>
    <mergeCell ref="MPK4:MPK5"/>
    <mergeCell ref="MPB4:MPB5"/>
    <mergeCell ref="MPC4:MPC5"/>
    <mergeCell ref="MPD4:MPD5"/>
    <mergeCell ref="MPE4:MPE5"/>
    <mergeCell ref="MPF4:MPF5"/>
    <mergeCell ref="MOW4:MOW5"/>
    <mergeCell ref="MOX4:MOX5"/>
    <mergeCell ref="MOY4:MOY5"/>
    <mergeCell ref="MOZ4:MOZ5"/>
    <mergeCell ref="MPA4:MPA5"/>
    <mergeCell ref="MOR4:MOR5"/>
    <mergeCell ref="MOS4:MOS5"/>
    <mergeCell ref="MOT4:MOT5"/>
    <mergeCell ref="MOU4:MOU5"/>
    <mergeCell ref="MOV4:MOV5"/>
    <mergeCell ref="MOM4:MOM5"/>
    <mergeCell ref="MON4:MON5"/>
    <mergeCell ref="MOO4:MOO5"/>
    <mergeCell ref="MOP4:MOP5"/>
    <mergeCell ref="MOQ4:MOQ5"/>
    <mergeCell ref="MOH4:MOH5"/>
    <mergeCell ref="MOI4:MOI5"/>
    <mergeCell ref="MOJ4:MOJ5"/>
    <mergeCell ref="MOK4:MOK5"/>
    <mergeCell ref="MOL4:MOL5"/>
    <mergeCell ref="MOC4:MOC5"/>
    <mergeCell ref="MOD4:MOD5"/>
    <mergeCell ref="MOE4:MOE5"/>
    <mergeCell ref="MOF4:MOF5"/>
    <mergeCell ref="MOG4:MOG5"/>
    <mergeCell ref="MQP4:MQP5"/>
    <mergeCell ref="MQQ4:MQQ5"/>
    <mergeCell ref="MQR4:MQR5"/>
    <mergeCell ref="MQS4:MQS5"/>
    <mergeCell ref="MQT4:MQT5"/>
    <mergeCell ref="MQK4:MQK5"/>
    <mergeCell ref="MQL4:MQL5"/>
    <mergeCell ref="MQM4:MQM5"/>
    <mergeCell ref="MQN4:MQN5"/>
    <mergeCell ref="MQO4:MQO5"/>
    <mergeCell ref="MQF4:MQF5"/>
    <mergeCell ref="MQG4:MQG5"/>
    <mergeCell ref="MQH4:MQH5"/>
    <mergeCell ref="MQI4:MQI5"/>
    <mergeCell ref="MQJ4:MQJ5"/>
    <mergeCell ref="MQA4:MQA5"/>
    <mergeCell ref="MQB4:MQB5"/>
    <mergeCell ref="MQC4:MQC5"/>
    <mergeCell ref="MQD4:MQD5"/>
    <mergeCell ref="MQE4:MQE5"/>
    <mergeCell ref="MPV4:MPV5"/>
    <mergeCell ref="MPW4:MPW5"/>
    <mergeCell ref="MPX4:MPX5"/>
    <mergeCell ref="MPY4:MPY5"/>
    <mergeCell ref="MPZ4:MPZ5"/>
    <mergeCell ref="MPQ4:MPQ5"/>
    <mergeCell ref="MPR4:MPR5"/>
    <mergeCell ref="MPS4:MPS5"/>
    <mergeCell ref="MPT4:MPT5"/>
    <mergeCell ref="MPU4:MPU5"/>
    <mergeCell ref="MPL4:MPL5"/>
    <mergeCell ref="MPM4:MPM5"/>
    <mergeCell ref="MPN4:MPN5"/>
    <mergeCell ref="MPO4:MPO5"/>
    <mergeCell ref="MPP4:MPP5"/>
    <mergeCell ref="MRY4:MRY5"/>
    <mergeCell ref="MRZ4:MRZ5"/>
    <mergeCell ref="MSA4:MSA5"/>
    <mergeCell ref="MSB4:MSB5"/>
    <mergeCell ref="MSC4:MSC5"/>
    <mergeCell ref="MRT4:MRT5"/>
    <mergeCell ref="MRU4:MRU5"/>
    <mergeCell ref="MRV4:MRV5"/>
    <mergeCell ref="MRW4:MRW5"/>
    <mergeCell ref="MRX4:MRX5"/>
    <mergeCell ref="MRO4:MRO5"/>
    <mergeCell ref="MRP4:MRP5"/>
    <mergeCell ref="MRQ4:MRQ5"/>
    <mergeCell ref="MRR4:MRR5"/>
    <mergeCell ref="MRS4:MRS5"/>
    <mergeCell ref="MRJ4:MRJ5"/>
    <mergeCell ref="MRK4:MRK5"/>
    <mergeCell ref="MRL4:MRL5"/>
    <mergeCell ref="MRM4:MRM5"/>
    <mergeCell ref="MRN4:MRN5"/>
    <mergeCell ref="MRE4:MRE5"/>
    <mergeCell ref="MRF4:MRF5"/>
    <mergeCell ref="MRG4:MRG5"/>
    <mergeCell ref="MRH4:MRH5"/>
    <mergeCell ref="MRI4:MRI5"/>
    <mergeCell ref="MQZ4:MQZ5"/>
    <mergeCell ref="MRA4:MRA5"/>
    <mergeCell ref="MRB4:MRB5"/>
    <mergeCell ref="MRC4:MRC5"/>
    <mergeCell ref="MRD4:MRD5"/>
    <mergeCell ref="MQU4:MQU5"/>
    <mergeCell ref="MQV4:MQV5"/>
    <mergeCell ref="MQW4:MQW5"/>
    <mergeCell ref="MQX4:MQX5"/>
    <mergeCell ref="MQY4:MQY5"/>
    <mergeCell ref="MTH4:MTH5"/>
    <mergeCell ref="MTI4:MTI5"/>
    <mergeCell ref="MTJ4:MTJ5"/>
    <mergeCell ref="MTK4:MTK5"/>
    <mergeCell ref="MTL4:MTL5"/>
    <mergeCell ref="MTC4:MTC5"/>
    <mergeCell ref="MTD4:MTD5"/>
    <mergeCell ref="MTE4:MTE5"/>
    <mergeCell ref="MTF4:MTF5"/>
    <mergeCell ref="MTG4:MTG5"/>
    <mergeCell ref="MSX4:MSX5"/>
    <mergeCell ref="MSY4:MSY5"/>
    <mergeCell ref="MSZ4:MSZ5"/>
    <mergeCell ref="MTA4:MTA5"/>
    <mergeCell ref="MTB4:MTB5"/>
    <mergeCell ref="MSS4:MSS5"/>
    <mergeCell ref="MST4:MST5"/>
    <mergeCell ref="MSU4:MSU5"/>
    <mergeCell ref="MSV4:MSV5"/>
    <mergeCell ref="MSW4:MSW5"/>
    <mergeCell ref="MSN4:MSN5"/>
    <mergeCell ref="MSO4:MSO5"/>
    <mergeCell ref="MSP4:MSP5"/>
    <mergeCell ref="MSQ4:MSQ5"/>
    <mergeCell ref="MSR4:MSR5"/>
    <mergeCell ref="MSI4:MSI5"/>
    <mergeCell ref="MSJ4:MSJ5"/>
    <mergeCell ref="MSK4:MSK5"/>
    <mergeCell ref="MSL4:MSL5"/>
    <mergeCell ref="MSM4:MSM5"/>
    <mergeCell ref="MSD4:MSD5"/>
    <mergeCell ref="MSE4:MSE5"/>
    <mergeCell ref="MSF4:MSF5"/>
    <mergeCell ref="MSG4:MSG5"/>
    <mergeCell ref="MSH4:MSH5"/>
    <mergeCell ref="MUQ4:MUQ5"/>
    <mergeCell ref="MUR4:MUR5"/>
    <mergeCell ref="MUS4:MUS5"/>
    <mergeCell ref="MUT4:MUT5"/>
    <mergeCell ref="MUU4:MUU5"/>
    <mergeCell ref="MUL4:MUL5"/>
    <mergeCell ref="MUM4:MUM5"/>
    <mergeCell ref="MUN4:MUN5"/>
    <mergeCell ref="MUO4:MUO5"/>
    <mergeCell ref="MUP4:MUP5"/>
    <mergeCell ref="MUG4:MUG5"/>
    <mergeCell ref="MUH4:MUH5"/>
    <mergeCell ref="MUI4:MUI5"/>
    <mergeCell ref="MUJ4:MUJ5"/>
    <mergeCell ref="MUK4:MUK5"/>
    <mergeCell ref="MUB4:MUB5"/>
    <mergeCell ref="MUC4:MUC5"/>
    <mergeCell ref="MUD4:MUD5"/>
    <mergeCell ref="MUE4:MUE5"/>
    <mergeCell ref="MUF4:MUF5"/>
    <mergeCell ref="MTW4:MTW5"/>
    <mergeCell ref="MTX4:MTX5"/>
    <mergeCell ref="MTY4:MTY5"/>
    <mergeCell ref="MTZ4:MTZ5"/>
    <mergeCell ref="MUA4:MUA5"/>
    <mergeCell ref="MTR4:MTR5"/>
    <mergeCell ref="MTS4:MTS5"/>
    <mergeCell ref="MTT4:MTT5"/>
    <mergeCell ref="MTU4:MTU5"/>
    <mergeCell ref="MTV4:MTV5"/>
    <mergeCell ref="MTM4:MTM5"/>
    <mergeCell ref="MTN4:MTN5"/>
    <mergeCell ref="MTO4:MTO5"/>
    <mergeCell ref="MTP4:MTP5"/>
    <mergeCell ref="MTQ4:MTQ5"/>
    <mergeCell ref="MVZ4:MVZ5"/>
    <mergeCell ref="MWA4:MWA5"/>
    <mergeCell ref="MWB4:MWB5"/>
    <mergeCell ref="MWC4:MWC5"/>
    <mergeCell ref="MWD4:MWD5"/>
    <mergeCell ref="MVU4:MVU5"/>
    <mergeCell ref="MVV4:MVV5"/>
    <mergeCell ref="MVW4:MVW5"/>
    <mergeCell ref="MVX4:MVX5"/>
    <mergeCell ref="MVY4:MVY5"/>
    <mergeCell ref="MVP4:MVP5"/>
    <mergeCell ref="MVQ4:MVQ5"/>
    <mergeCell ref="MVR4:MVR5"/>
    <mergeCell ref="MVS4:MVS5"/>
    <mergeCell ref="MVT4:MVT5"/>
    <mergeCell ref="MVK4:MVK5"/>
    <mergeCell ref="MVL4:MVL5"/>
    <mergeCell ref="MVM4:MVM5"/>
    <mergeCell ref="MVN4:MVN5"/>
    <mergeCell ref="MVO4:MVO5"/>
    <mergeCell ref="MVF4:MVF5"/>
    <mergeCell ref="MVG4:MVG5"/>
    <mergeCell ref="MVH4:MVH5"/>
    <mergeCell ref="MVI4:MVI5"/>
    <mergeCell ref="MVJ4:MVJ5"/>
    <mergeCell ref="MVA4:MVA5"/>
    <mergeCell ref="MVB4:MVB5"/>
    <mergeCell ref="MVC4:MVC5"/>
    <mergeCell ref="MVD4:MVD5"/>
    <mergeCell ref="MVE4:MVE5"/>
    <mergeCell ref="MUV4:MUV5"/>
    <mergeCell ref="MUW4:MUW5"/>
    <mergeCell ref="MUX4:MUX5"/>
    <mergeCell ref="MUY4:MUY5"/>
    <mergeCell ref="MUZ4:MUZ5"/>
    <mergeCell ref="MXI4:MXI5"/>
    <mergeCell ref="MXJ4:MXJ5"/>
    <mergeCell ref="MXK4:MXK5"/>
    <mergeCell ref="MXL4:MXL5"/>
    <mergeCell ref="MXM4:MXM5"/>
    <mergeCell ref="MXD4:MXD5"/>
    <mergeCell ref="MXE4:MXE5"/>
    <mergeCell ref="MXF4:MXF5"/>
    <mergeCell ref="MXG4:MXG5"/>
    <mergeCell ref="MXH4:MXH5"/>
    <mergeCell ref="MWY4:MWY5"/>
    <mergeCell ref="MWZ4:MWZ5"/>
    <mergeCell ref="MXA4:MXA5"/>
    <mergeCell ref="MXB4:MXB5"/>
    <mergeCell ref="MXC4:MXC5"/>
    <mergeCell ref="MWT4:MWT5"/>
    <mergeCell ref="MWU4:MWU5"/>
    <mergeCell ref="MWV4:MWV5"/>
    <mergeCell ref="MWW4:MWW5"/>
    <mergeCell ref="MWX4:MWX5"/>
    <mergeCell ref="MWO4:MWO5"/>
    <mergeCell ref="MWP4:MWP5"/>
    <mergeCell ref="MWQ4:MWQ5"/>
    <mergeCell ref="MWR4:MWR5"/>
    <mergeCell ref="MWS4:MWS5"/>
    <mergeCell ref="MWJ4:MWJ5"/>
    <mergeCell ref="MWK4:MWK5"/>
    <mergeCell ref="MWL4:MWL5"/>
    <mergeCell ref="MWM4:MWM5"/>
    <mergeCell ref="MWN4:MWN5"/>
    <mergeCell ref="MWE4:MWE5"/>
    <mergeCell ref="MWF4:MWF5"/>
    <mergeCell ref="MWG4:MWG5"/>
    <mergeCell ref="MWH4:MWH5"/>
    <mergeCell ref="MWI4:MWI5"/>
    <mergeCell ref="MYR4:MYR5"/>
    <mergeCell ref="MYS4:MYS5"/>
    <mergeCell ref="MYT4:MYT5"/>
    <mergeCell ref="MYU4:MYU5"/>
    <mergeCell ref="MYV4:MYV5"/>
    <mergeCell ref="MYM4:MYM5"/>
    <mergeCell ref="MYN4:MYN5"/>
    <mergeCell ref="MYO4:MYO5"/>
    <mergeCell ref="MYP4:MYP5"/>
    <mergeCell ref="MYQ4:MYQ5"/>
    <mergeCell ref="MYH4:MYH5"/>
    <mergeCell ref="MYI4:MYI5"/>
    <mergeCell ref="MYJ4:MYJ5"/>
    <mergeCell ref="MYK4:MYK5"/>
    <mergeCell ref="MYL4:MYL5"/>
    <mergeCell ref="MYC4:MYC5"/>
    <mergeCell ref="MYD4:MYD5"/>
    <mergeCell ref="MYE4:MYE5"/>
    <mergeCell ref="MYF4:MYF5"/>
    <mergeCell ref="MYG4:MYG5"/>
    <mergeCell ref="MXX4:MXX5"/>
    <mergeCell ref="MXY4:MXY5"/>
    <mergeCell ref="MXZ4:MXZ5"/>
    <mergeCell ref="MYA4:MYA5"/>
    <mergeCell ref="MYB4:MYB5"/>
    <mergeCell ref="MXS4:MXS5"/>
    <mergeCell ref="MXT4:MXT5"/>
    <mergeCell ref="MXU4:MXU5"/>
    <mergeCell ref="MXV4:MXV5"/>
    <mergeCell ref="MXW4:MXW5"/>
    <mergeCell ref="MXN4:MXN5"/>
    <mergeCell ref="MXO4:MXO5"/>
    <mergeCell ref="MXP4:MXP5"/>
    <mergeCell ref="MXQ4:MXQ5"/>
    <mergeCell ref="MXR4:MXR5"/>
    <mergeCell ref="NAA4:NAA5"/>
    <mergeCell ref="NAB4:NAB5"/>
    <mergeCell ref="NAC4:NAC5"/>
    <mergeCell ref="NAD4:NAD5"/>
    <mergeCell ref="NAE4:NAE5"/>
    <mergeCell ref="MZV4:MZV5"/>
    <mergeCell ref="MZW4:MZW5"/>
    <mergeCell ref="MZX4:MZX5"/>
    <mergeCell ref="MZY4:MZY5"/>
    <mergeCell ref="MZZ4:MZZ5"/>
    <mergeCell ref="MZQ4:MZQ5"/>
    <mergeCell ref="MZR4:MZR5"/>
    <mergeCell ref="MZS4:MZS5"/>
    <mergeCell ref="MZT4:MZT5"/>
    <mergeCell ref="MZU4:MZU5"/>
    <mergeCell ref="MZL4:MZL5"/>
    <mergeCell ref="MZM4:MZM5"/>
    <mergeCell ref="MZN4:MZN5"/>
    <mergeCell ref="MZO4:MZO5"/>
    <mergeCell ref="MZP4:MZP5"/>
    <mergeCell ref="MZG4:MZG5"/>
    <mergeCell ref="MZH4:MZH5"/>
    <mergeCell ref="MZI4:MZI5"/>
    <mergeCell ref="MZJ4:MZJ5"/>
    <mergeCell ref="MZK4:MZK5"/>
    <mergeCell ref="MZB4:MZB5"/>
    <mergeCell ref="MZC4:MZC5"/>
    <mergeCell ref="MZD4:MZD5"/>
    <mergeCell ref="MZE4:MZE5"/>
    <mergeCell ref="MZF4:MZF5"/>
    <mergeCell ref="MYW4:MYW5"/>
    <mergeCell ref="MYX4:MYX5"/>
    <mergeCell ref="MYY4:MYY5"/>
    <mergeCell ref="MYZ4:MYZ5"/>
    <mergeCell ref="MZA4:MZA5"/>
    <mergeCell ref="NBJ4:NBJ5"/>
    <mergeCell ref="NBK4:NBK5"/>
    <mergeCell ref="NBL4:NBL5"/>
    <mergeCell ref="NBM4:NBM5"/>
    <mergeCell ref="NBN4:NBN5"/>
    <mergeCell ref="NBE4:NBE5"/>
    <mergeCell ref="NBF4:NBF5"/>
    <mergeCell ref="NBG4:NBG5"/>
    <mergeCell ref="NBH4:NBH5"/>
    <mergeCell ref="NBI4:NBI5"/>
    <mergeCell ref="NAZ4:NAZ5"/>
    <mergeCell ref="NBA4:NBA5"/>
    <mergeCell ref="NBB4:NBB5"/>
    <mergeCell ref="NBC4:NBC5"/>
    <mergeCell ref="NBD4:NBD5"/>
    <mergeCell ref="NAU4:NAU5"/>
    <mergeCell ref="NAV4:NAV5"/>
    <mergeCell ref="NAW4:NAW5"/>
    <mergeCell ref="NAX4:NAX5"/>
    <mergeCell ref="NAY4:NAY5"/>
    <mergeCell ref="NAP4:NAP5"/>
    <mergeCell ref="NAQ4:NAQ5"/>
    <mergeCell ref="NAR4:NAR5"/>
    <mergeCell ref="NAS4:NAS5"/>
    <mergeCell ref="NAT4:NAT5"/>
    <mergeCell ref="NAK4:NAK5"/>
    <mergeCell ref="NAL4:NAL5"/>
    <mergeCell ref="NAM4:NAM5"/>
    <mergeCell ref="NAN4:NAN5"/>
    <mergeCell ref="NAO4:NAO5"/>
    <mergeCell ref="NAF4:NAF5"/>
    <mergeCell ref="NAG4:NAG5"/>
    <mergeCell ref="NAH4:NAH5"/>
    <mergeCell ref="NAI4:NAI5"/>
    <mergeCell ref="NAJ4:NAJ5"/>
    <mergeCell ref="NCS4:NCS5"/>
    <mergeCell ref="NCT4:NCT5"/>
    <mergeCell ref="NCU4:NCU5"/>
    <mergeCell ref="NCV4:NCV5"/>
    <mergeCell ref="NCW4:NCW5"/>
    <mergeCell ref="NCN4:NCN5"/>
    <mergeCell ref="NCO4:NCO5"/>
    <mergeCell ref="NCP4:NCP5"/>
    <mergeCell ref="NCQ4:NCQ5"/>
    <mergeCell ref="NCR4:NCR5"/>
    <mergeCell ref="NCI4:NCI5"/>
    <mergeCell ref="NCJ4:NCJ5"/>
    <mergeCell ref="NCK4:NCK5"/>
    <mergeCell ref="NCL4:NCL5"/>
    <mergeCell ref="NCM4:NCM5"/>
    <mergeCell ref="NCD4:NCD5"/>
    <mergeCell ref="NCE4:NCE5"/>
    <mergeCell ref="NCF4:NCF5"/>
    <mergeCell ref="NCG4:NCG5"/>
    <mergeCell ref="NCH4:NCH5"/>
    <mergeCell ref="NBY4:NBY5"/>
    <mergeCell ref="NBZ4:NBZ5"/>
    <mergeCell ref="NCA4:NCA5"/>
    <mergeCell ref="NCB4:NCB5"/>
    <mergeCell ref="NCC4:NCC5"/>
    <mergeCell ref="NBT4:NBT5"/>
    <mergeCell ref="NBU4:NBU5"/>
    <mergeCell ref="NBV4:NBV5"/>
    <mergeCell ref="NBW4:NBW5"/>
    <mergeCell ref="NBX4:NBX5"/>
    <mergeCell ref="NBO4:NBO5"/>
    <mergeCell ref="NBP4:NBP5"/>
    <mergeCell ref="NBQ4:NBQ5"/>
    <mergeCell ref="NBR4:NBR5"/>
    <mergeCell ref="NBS4:NBS5"/>
    <mergeCell ref="NEB4:NEB5"/>
    <mergeCell ref="NEC4:NEC5"/>
    <mergeCell ref="NED4:NED5"/>
    <mergeCell ref="NEE4:NEE5"/>
    <mergeCell ref="NEF4:NEF5"/>
    <mergeCell ref="NDW4:NDW5"/>
    <mergeCell ref="NDX4:NDX5"/>
    <mergeCell ref="NDY4:NDY5"/>
    <mergeCell ref="NDZ4:NDZ5"/>
    <mergeCell ref="NEA4:NEA5"/>
    <mergeCell ref="NDR4:NDR5"/>
    <mergeCell ref="NDS4:NDS5"/>
    <mergeCell ref="NDT4:NDT5"/>
    <mergeCell ref="NDU4:NDU5"/>
    <mergeCell ref="NDV4:NDV5"/>
    <mergeCell ref="NDM4:NDM5"/>
    <mergeCell ref="NDN4:NDN5"/>
    <mergeCell ref="NDO4:NDO5"/>
    <mergeCell ref="NDP4:NDP5"/>
    <mergeCell ref="NDQ4:NDQ5"/>
    <mergeCell ref="NDH4:NDH5"/>
    <mergeCell ref="NDI4:NDI5"/>
    <mergeCell ref="NDJ4:NDJ5"/>
    <mergeCell ref="NDK4:NDK5"/>
    <mergeCell ref="NDL4:NDL5"/>
    <mergeCell ref="NDC4:NDC5"/>
    <mergeCell ref="NDD4:NDD5"/>
    <mergeCell ref="NDE4:NDE5"/>
    <mergeCell ref="NDF4:NDF5"/>
    <mergeCell ref="NDG4:NDG5"/>
    <mergeCell ref="NCX4:NCX5"/>
    <mergeCell ref="NCY4:NCY5"/>
    <mergeCell ref="NCZ4:NCZ5"/>
    <mergeCell ref="NDA4:NDA5"/>
    <mergeCell ref="NDB4:NDB5"/>
    <mergeCell ref="NFK4:NFK5"/>
    <mergeCell ref="NFL4:NFL5"/>
    <mergeCell ref="NFM4:NFM5"/>
    <mergeCell ref="NFN4:NFN5"/>
    <mergeCell ref="NFO4:NFO5"/>
    <mergeCell ref="NFF4:NFF5"/>
    <mergeCell ref="NFG4:NFG5"/>
    <mergeCell ref="NFH4:NFH5"/>
    <mergeCell ref="NFI4:NFI5"/>
    <mergeCell ref="NFJ4:NFJ5"/>
    <mergeCell ref="NFA4:NFA5"/>
    <mergeCell ref="NFB4:NFB5"/>
    <mergeCell ref="NFC4:NFC5"/>
    <mergeCell ref="NFD4:NFD5"/>
    <mergeCell ref="NFE4:NFE5"/>
    <mergeCell ref="NEV4:NEV5"/>
    <mergeCell ref="NEW4:NEW5"/>
    <mergeCell ref="NEX4:NEX5"/>
    <mergeCell ref="NEY4:NEY5"/>
    <mergeCell ref="NEZ4:NEZ5"/>
    <mergeCell ref="NEQ4:NEQ5"/>
    <mergeCell ref="NER4:NER5"/>
    <mergeCell ref="NES4:NES5"/>
    <mergeCell ref="NET4:NET5"/>
    <mergeCell ref="NEU4:NEU5"/>
    <mergeCell ref="NEL4:NEL5"/>
    <mergeCell ref="NEM4:NEM5"/>
    <mergeCell ref="NEN4:NEN5"/>
    <mergeCell ref="NEO4:NEO5"/>
    <mergeCell ref="NEP4:NEP5"/>
    <mergeCell ref="NEG4:NEG5"/>
    <mergeCell ref="NEH4:NEH5"/>
    <mergeCell ref="NEI4:NEI5"/>
    <mergeCell ref="NEJ4:NEJ5"/>
    <mergeCell ref="NEK4:NEK5"/>
    <mergeCell ref="NGT4:NGT5"/>
    <mergeCell ref="NGU4:NGU5"/>
    <mergeCell ref="NGV4:NGV5"/>
    <mergeCell ref="NGW4:NGW5"/>
    <mergeCell ref="NGX4:NGX5"/>
    <mergeCell ref="NGO4:NGO5"/>
    <mergeCell ref="NGP4:NGP5"/>
    <mergeCell ref="NGQ4:NGQ5"/>
    <mergeCell ref="NGR4:NGR5"/>
    <mergeCell ref="NGS4:NGS5"/>
    <mergeCell ref="NGJ4:NGJ5"/>
    <mergeCell ref="NGK4:NGK5"/>
    <mergeCell ref="NGL4:NGL5"/>
    <mergeCell ref="NGM4:NGM5"/>
    <mergeCell ref="NGN4:NGN5"/>
    <mergeCell ref="NGE4:NGE5"/>
    <mergeCell ref="NGF4:NGF5"/>
    <mergeCell ref="NGG4:NGG5"/>
    <mergeCell ref="NGH4:NGH5"/>
    <mergeCell ref="NGI4:NGI5"/>
    <mergeCell ref="NFZ4:NFZ5"/>
    <mergeCell ref="NGA4:NGA5"/>
    <mergeCell ref="NGB4:NGB5"/>
    <mergeCell ref="NGC4:NGC5"/>
    <mergeCell ref="NGD4:NGD5"/>
    <mergeCell ref="NFU4:NFU5"/>
    <mergeCell ref="NFV4:NFV5"/>
    <mergeCell ref="NFW4:NFW5"/>
    <mergeCell ref="NFX4:NFX5"/>
    <mergeCell ref="NFY4:NFY5"/>
    <mergeCell ref="NFP4:NFP5"/>
    <mergeCell ref="NFQ4:NFQ5"/>
    <mergeCell ref="NFR4:NFR5"/>
    <mergeCell ref="NFS4:NFS5"/>
    <mergeCell ref="NFT4:NFT5"/>
    <mergeCell ref="NIC4:NIC5"/>
    <mergeCell ref="NID4:NID5"/>
    <mergeCell ref="NIE4:NIE5"/>
    <mergeCell ref="NIF4:NIF5"/>
    <mergeCell ref="NIG4:NIG5"/>
    <mergeCell ref="NHX4:NHX5"/>
    <mergeCell ref="NHY4:NHY5"/>
    <mergeCell ref="NHZ4:NHZ5"/>
    <mergeCell ref="NIA4:NIA5"/>
    <mergeCell ref="NIB4:NIB5"/>
    <mergeCell ref="NHS4:NHS5"/>
    <mergeCell ref="NHT4:NHT5"/>
    <mergeCell ref="NHU4:NHU5"/>
    <mergeCell ref="NHV4:NHV5"/>
    <mergeCell ref="NHW4:NHW5"/>
    <mergeCell ref="NHN4:NHN5"/>
    <mergeCell ref="NHO4:NHO5"/>
    <mergeCell ref="NHP4:NHP5"/>
    <mergeCell ref="NHQ4:NHQ5"/>
    <mergeCell ref="NHR4:NHR5"/>
    <mergeCell ref="NHI4:NHI5"/>
    <mergeCell ref="NHJ4:NHJ5"/>
    <mergeCell ref="NHK4:NHK5"/>
    <mergeCell ref="NHL4:NHL5"/>
    <mergeCell ref="NHM4:NHM5"/>
    <mergeCell ref="NHD4:NHD5"/>
    <mergeCell ref="NHE4:NHE5"/>
    <mergeCell ref="NHF4:NHF5"/>
    <mergeCell ref="NHG4:NHG5"/>
    <mergeCell ref="NHH4:NHH5"/>
    <mergeCell ref="NGY4:NGY5"/>
    <mergeCell ref="NGZ4:NGZ5"/>
    <mergeCell ref="NHA4:NHA5"/>
    <mergeCell ref="NHB4:NHB5"/>
    <mergeCell ref="NHC4:NHC5"/>
    <mergeCell ref="NJL4:NJL5"/>
    <mergeCell ref="NJM4:NJM5"/>
    <mergeCell ref="NJN4:NJN5"/>
    <mergeCell ref="NJO4:NJO5"/>
    <mergeCell ref="NJP4:NJP5"/>
    <mergeCell ref="NJG4:NJG5"/>
    <mergeCell ref="NJH4:NJH5"/>
    <mergeCell ref="NJI4:NJI5"/>
    <mergeCell ref="NJJ4:NJJ5"/>
    <mergeCell ref="NJK4:NJK5"/>
    <mergeCell ref="NJB4:NJB5"/>
    <mergeCell ref="NJC4:NJC5"/>
    <mergeCell ref="NJD4:NJD5"/>
    <mergeCell ref="NJE4:NJE5"/>
    <mergeCell ref="NJF4:NJF5"/>
    <mergeCell ref="NIW4:NIW5"/>
    <mergeCell ref="NIX4:NIX5"/>
    <mergeCell ref="NIY4:NIY5"/>
    <mergeCell ref="NIZ4:NIZ5"/>
    <mergeCell ref="NJA4:NJA5"/>
    <mergeCell ref="NIR4:NIR5"/>
    <mergeCell ref="NIS4:NIS5"/>
    <mergeCell ref="NIT4:NIT5"/>
    <mergeCell ref="NIU4:NIU5"/>
    <mergeCell ref="NIV4:NIV5"/>
    <mergeCell ref="NIM4:NIM5"/>
    <mergeCell ref="NIN4:NIN5"/>
    <mergeCell ref="NIO4:NIO5"/>
    <mergeCell ref="NIP4:NIP5"/>
    <mergeCell ref="NIQ4:NIQ5"/>
    <mergeCell ref="NIH4:NIH5"/>
    <mergeCell ref="NII4:NII5"/>
    <mergeCell ref="NIJ4:NIJ5"/>
    <mergeCell ref="NIK4:NIK5"/>
    <mergeCell ref="NIL4:NIL5"/>
    <mergeCell ref="NKU4:NKU5"/>
    <mergeCell ref="NKV4:NKV5"/>
    <mergeCell ref="NKW4:NKW5"/>
    <mergeCell ref="NKX4:NKX5"/>
    <mergeCell ref="NKY4:NKY5"/>
    <mergeCell ref="NKP4:NKP5"/>
    <mergeCell ref="NKQ4:NKQ5"/>
    <mergeCell ref="NKR4:NKR5"/>
    <mergeCell ref="NKS4:NKS5"/>
    <mergeCell ref="NKT4:NKT5"/>
    <mergeCell ref="NKK4:NKK5"/>
    <mergeCell ref="NKL4:NKL5"/>
    <mergeCell ref="NKM4:NKM5"/>
    <mergeCell ref="NKN4:NKN5"/>
    <mergeCell ref="NKO4:NKO5"/>
    <mergeCell ref="NKF4:NKF5"/>
    <mergeCell ref="NKG4:NKG5"/>
    <mergeCell ref="NKH4:NKH5"/>
    <mergeCell ref="NKI4:NKI5"/>
    <mergeCell ref="NKJ4:NKJ5"/>
    <mergeCell ref="NKA4:NKA5"/>
    <mergeCell ref="NKB4:NKB5"/>
    <mergeCell ref="NKC4:NKC5"/>
    <mergeCell ref="NKD4:NKD5"/>
    <mergeCell ref="NKE4:NKE5"/>
    <mergeCell ref="NJV4:NJV5"/>
    <mergeCell ref="NJW4:NJW5"/>
    <mergeCell ref="NJX4:NJX5"/>
    <mergeCell ref="NJY4:NJY5"/>
    <mergeCell ref="NJZ4:NJZ5"/>
    <mergeCell ref="NJQ4:NJQ5"/>
    <mergeCell ref="NJR4:NJR5"/>
    <mergeCell ref="NJS4:NJS5"/>
    <mergeCell ref="NJT4:NJT5"/>
    <mergeCell ref="NJU4:NJU5"/>
    <mergeCell ref="NMD4:NMD5"/>
    <mergeCell ref="NME4:NME5"/>
    <mergeCell ref="NMF4:NMF5"/>
    <mergeCell ref="NMG4:NMG5"/>
    <mergeCell ref="NMH4:NMH5"/>
    <mergeCell ref="NLY4:NLY5"/>
    <mergeCell ref="NLZ4:NLZ5"/>
    <mergeCell ref="NMA4:NMA5"/>
    <mergeCell ref="NMB4:NMB5"/>
    <mergeCell ref="NMC4:NMC5"/>
    <mergeCell ref="NLT4:NLT5"/>
    <mergeCell ref="NLU4:NLU5"/>
    <mergeCell ref="NLV4:NLV5"/>
    <mergeCell ref="NLW4:NLW5"/>
    <mergeCell ref="NLX4:NLX5"/>
    <mergeCell ref="NLO4:NLO5"/>
    <mergeCell ref="NLP4:NLP5"/>
    <mergeCell ref="NLQ4:NLQ5"/>
    <mergeCell ref="NLR4:NLR5"/>
    <mergeCell ref="NLS4:NLS5"/>
    <mergeCell ref="NLJ4:NLJ5"/>
    <mergeCell ref="NLK4:NLK5"/>
    <mergeCell ref="NLL4:NLL5"/>
    <mergeCell ref="NLM4:NLM5"/>
    <mergeCell ref="NLN4:NLN5"/>
    <mergeCell ref="NLE4:NLE5"/>
    <mergeCell ref="NLF4:NLF5"/>
    <mergeCell ref="NLG4:NLG5"/>
    <mergeCell ref="NLH4:NLH5"/>
    <mergeCell ref="NLI4:NLI5"/>
    <mergeCell ref="NKZ4:NKZ5"/>
    <mergeCell ref="NLA4:NLA5"/>
    <mergeCell ref="NLB4:NLB5"/>
    <mergeCell ref="NLC4:NLC5"/>
    <mergeCell ref="NLD4:NLD5"/>
    <mergeCell ref="NNM4:NNM5"/>
    <mergeCell ref="NNN4:NNN5"/>
    <mergeCell ref="NNO4:NNO5"/>
    <mergeCell ref="NNP4:NNP5"/>
    <mergeCell ref="NNQ4:NNQ5"/>
    <mergeCell ref="NNH4:NNH5"/>
    <mergeCell ref="NNI4:NNI5"/>
    <mergeCell ref="NNJ4:NNJ5"/>
    <mergeCell ref="NNK4:NNK5"/>
    <mergeCell ref="NNL4:NNL5"/>
    <mergeCell ref="NNC4:NNC5"/>
    <mergeCell ref="NND4:NND5"/>
    <mergeCell ref="NNE4:NNE5"/>
    <mergeCell ref="NNF4:NNF5"/>
    <mergeCell ref="NNG4:NNG5"/>
    <mergeCell ref="NMX4:NMX5"/>
    <mergeCell ref="NMY4:NMY5"/>
    <mergeCell ref="NMZ4:NMZ5"/>
    <mergeCell ref="NNA4:NNA5"/>
    <mergeCell ref="NNB4:NNB5"/>
    <mergeCell ref="NMS4:NMS5"/>
    <mergeCell ref="NMT4:NMT5"/>
    <mergeCell ref="NMU4:NMU5"/>
    <mergeCell ref="NMV4:NMV5"/>
    <mergeCell ref="NMW4:NMW5"/>
    <mergeCell ref="NMN4:NMN5"/>
    <mergeCell ref="NMO4:NMO5"/>
    <mergeCell ref="NMP4:NMP5"/>
    <mergeCell ref="NMQ4:NMQ5"/>
    <mergeCell ref="NMR4:NMR5"/>
    <mergeCell ref="NMI4:NMI5"/>
    <mergeCell ref="NMJ4:NMJ5"/>
    <mergeCell ref="NMK4:NMK5"/>
    <mergeCell ref="NML4:NML5"/>
    <mergeCell ref="NMM4:NMM5"/>
    <mergeCell ref="NOV4:NOV5"/>
    <mergeCell ref="NOW4:NOW5"/>
    <mergeCell ref="NOX4:NOX5"/>
    <mergeCell ref="NOY4:NOY5"/>
    <mergeCell ref="NOZ4:NOZ5"/>
    <mergeCell ref="NOQ4:NOQ5"/>
    <mergeCell ref="NOR4:NOR5"/>
    <mergeCell ref="NOS4:NOS5"/>
    <mergeCell ref="NOT4:NOT5"/>
    <mergeCell ref="NOU4:NOU5"/>
    <mergeCell ref="NOL4:NOL5"/>
    <mergeCell ref="NOM4:NOM5"/>
    <mergeCell ref="NON4:NON5"/>
    <mergeCell ref="NOO4:NOO5"/>
    <mergeCell ref="NOP4:NOP5"/>
    <mergeCell ref="NOG4:NOG5"/>
    <mergeCell ref="NOH4:NOH5"/>
    <mergeCell ref="NOI4:NOI5"/>
    <mergeCell ref="NOJ4:NOJ5"/>
    <mergeCell ref="NOK4:NOK5"/>
    <mergeCell ref="NOB4:NOB5"/>
    <mergeCell ref="NOC4:NOC5"/>
    <mergeCell ref="NOD4:NOD5"/>
    <mergeCell ref="NOE4:NOE5"/>
    <mergeCell ref="NOF4:NOF5"/>
    <mergeCell ref="NNW4:NNW5"/>
    <mergeCell ref="NNX4:NNX5"/>
    <mergeCell ref="NNY4:NNY5"/>
    <mergeCell ref="NNZ4:NNZ5"/>
    <mergeCell ref="NOA4:NOA5"/>
    <mergeCell ref="NNR4:NNR5"/>
    <mergeCell ref="NNS4:NNS5"/>
    <mergeCell ref="NNT4:NNT5"/>
    <mergeCell ref="NNU4:NNU5"/>
    <mergeCell ref="NNV4:NNV5"/>
    <mergeCell ref="NQE4:NQE5"/>
    <mergeCell ref="NQF4:NQF5"/>
    <mergeCell ref="NQG4:NQG5"/>
    <mergeCell ref="NQH4:NQH5"/>
    <mergeCell ref="NQI4:NQI5"/>
    <mergeCell ref="NPZ4:NPZ5"/>
    <mergeCell ref="NQA4:NQA5"/>
    <mergeCell ref="NQB4:NQB5"/>
    <mergeCell ref="NQC4:NQC5"/>
    <mergeCell ref="NQD4:NQD5"/>
    <mergeCell ref="NPU4:NPU5"/>
    <mergeCell ref="NPV4:NPV5"/>
    <mergeCell ref="NPW4:NPW5"/>
    <mergeCell ref="NPX4:NPX5"/>
    <mergeCell ref="NPY4:NPY5"/>
    <mergeCell ref="NPP4:NPP5"/>
    <mergeCell ref="NPQ4:NPQ5"/>
    <mergeCell ref="NPR4:NPR5"/>
    <mergeCell ref="NPS4:NPS5"/>
    <mergeCell ref="NPT4:NPT5"/>
    <mergeCell ref="NPK4:NPK5"/>
    <mergeCell ref="NPL4:NPL5"/>
    <mergeCell ref="NPM4:NPM5"/>
    <mergeCell ref="NPN4:NPN5"/>
    <mergeCell ref="NPO4:NPO5"/>
    <mergeCell ref="NPF4:NPF5"/>
    <mergeCell ref="NPG4:NPG5"/>
    <mergeCell ref="NPH4:NPH5"/>
    <mergeCell ref="NPI4:NPI5"/>
    <mergeCell ref="NPJ4:NPJ5"/>
    <mergeCell ref="NPA4:NPA5"/>
    <mergeCell ref="NPB4:NPB5"/>
    <mergeCell ref="NPC4:NPC5"/>
    <mergeCell ref="NPD4:NPD5"/>
    <mergeCell ref="NPE4:NPE5"/>
    <mergeCell ref="NRN4:NRN5"/>
    <mergeCell ref="NRO4:NRO5"/>
    <mergeCell ref="NRP4:NRP5"/>
    <mergeCell ref="NRQ4:NRQ5"/>
    <mergeCell ref="NRR4:NRR5"/>
    <mergeCell ref="NRI4:NRI5"/>
    <mergeCell ref="NRJ4:NRJ5"/>
    <mergeCell ref="NRK4:NRK5"/>
    <mergeCell ref="NRL4:NRL5"/>
    <mergeCell ref="NRM4:NRM5"/>
    <mergeCell ref="NRD4:NRD5"/>
    <mergeCell ref="NRE4:NRE5"/>
    <mergeCell ref="NRF4:NRF5"/>
    <mergeCell ref="NRG4:NRG5"/>
    <mergeCell ref="NRH4:NRH5"/>
    <mergeCell ref="NQY4:NQY5"/>
    <mergeCell ref="NQZ4:NQZ5"/>
    <mergeCell ref="NRA4:NRA5"/>
    <mergeCell ref="NRB4:NRB5"/>
    <mergeCell ref="NRC4:NRC5"/>
    <mergeCell ref="NQT4:NQT5"/>
    <mergeCell ref="NQU4:NQU5"/>
    <mergeCell ref="NQV4:NQV5"/>
    <mergeCell ref="NQW4:NQW5"/>
    <mergeCell ref="NQX4:NQX5"/>
    <mergeCell ref="NQO4:NQO5"/>
    <mergeCell ref="NQP4:NQP5"/>
    <mergeCell ref="NQQ4:NQQ5"/>
    <mergeCell ref="NQR4:NQR5"/>
    <mergeCell ref="NQS4:NQS5"/>
    <mergeCell ref="NQJ4:NQJ5"/>
    <mergeCell ref="NQK4:NQK5"/>
    <mergeCell ref="NQL4:NQL5"/>
    <mergeCell ref="NQM4:NQM5"/>
    <mergeCell ref="NQN4:NQN5"/>
    <mergeCell ref="NSW4:NSW5"/>
    <mergeCell ref="NSX4:NSX5"/>
    <mergeCell ref="NSY4:NSY5"/>
    <mergeCell ref="NSZ4:NSZ5"/>
    <mergeCell ref="NTA4:NTA5"/>
    <mergeCell ref="NSR4:NSR5"/>
    <mergeCell ref="NSS4:NSS5"/>
    <mergeCell ref="NST4:NST5"/>
    <mergeCell ref="NSU4:NSU5"/>
    <mergeCell ref="NSV4:NSV5"/>
    <mergeCell ref="NSM4:NSM5"/>
    <mergeCell ref="NSN4:NSN5"/>
    <mergeCell ref="NSO4:NSO5"/>
    <mergeCell ref="NSP4:NSP5"/>
    <mergeCell ref="NSQ4:NSQ5"/>
    <mergeCell ref="NSH4:NSH5"/>
    <mergeCell ref="NSI4:NSI5"/>
    <mergeCell ref="NSJ4:NSJ5"/>
    <mergeCell ref="NSK4:NSK5"/>
    <mergeCell ref="NSL4:NSL5"/>
    <mergeCell ref="NSC4:NSC5"/>
    <mergeCell ref="NSD4:NSD5"/>
    <mergeCell ref="NSE4:NSE5"/>
    <mergeCell ref="NSF4:NSF5"/>
    <mergeCell ref="NSG4:NSG5"/>
    <mergeCell ref="NRX4:NRX5"/>
    <mergeCell ref="NRY4:NRY5"/>
    <mergeCell ref="NRZ4:NRZ5"/>
    <mergeCell ref="NSA4:NSA5"/>
    <mergeCell ref="NSB4:NSB5"/>
    <mergeCell ref="NRS4:NRS5"/>
    <mergeCell ref="NRT4:NRT5"/>
    <mergeCell ref="NRU4:NRU5"/>
    <mergeCell ref="NRV4:NRV5"/>
    <mergeCell ref="NRW4:NRW5"/>
    <mergeCell ref="NUF4:NUF5"/>
    <mergeCell ref="NUG4:NUG5"/>
    <mergeCell ref="NUH4:NUH5"/>
    <mergeCell ref="NUI4:NUI5"/>
    <mergeCell ref="NUJ4:NUJ5"/>
    <mergeCell ref="NUA4:NUA5"/>
    <mergeCell ref="NUB4:NUB5"/>
    <mergeCell ref="NUC4:NUC5"/>
    <mergeCell ref="NUD4:NUD5"/>
    <mergeCell ref="NUE4:NUE5"/>
    <mergeCell ref="NTV4:NTV5"/>
    <mergeCell ref="NTW4:NTW5"/>
    <mergeCell ref="NTX4:NTX5"/>
    <mergeCell ref="NTY4:NTY5"/>
    <mergeCell ref="NTZ4:NTZ5"/>
    <mergeCell ref="NTQ4:NTQ5"/>
    <mergeCell ref="NTR4:NTR5"/>
    <mergeCell ref="NTS4:NTS5"/>
    <mergeCell ref="NTT4:NTT5"/>
    <mergeCell ref="NTU4:NTU5"/>
    <mergeCell ref="NTL4:NTL5"/>
    <mergeCell ref="NTM4:NTM5"/>
    <mergeCell ref="NTN4:NTN5"/>
    <mergeCell ref="NTO4:NTO5"/>
    <mergeCell ref="NTP4:NTP5"/>
    <mergeCell ref="NTG4:NTG5"/>
    <mergeCell ref="NTH4:NTH5"/>
    <mergeCell ref="NTI4:NTI5"/>
    <mergeCell ref="NTJ4:NTJ5"/>
    <mergeCell ref="NTK4:NTK5"/>
    <mergeCell ref="NTB4:NTB5"/>
    <mergeCell ref="NTC4:NTC5"/>
    <mergeCell ref="NTD4:NTD5"/>
    <mergeCell ref="NTE4:NTE5"/>
    <mergeCell ref="NTF4:NTF5"/>
    <mergeCell ref="NVO4:NVO5"/>
    <mergeCell ref="NVP4:NVP5"/>
    <mergeCell ref="NVQ4:NVQ5"/>
    <mergeCell ref="NVR4:NVR5"/>
    <mergeCell ref="NVS4:NVS5"/>
    <mergeCell ref="NVJ4:NVJ5"/>
    <mergeCell ref="NVK4:NVK5"/>
    <mergeCell ref="NVL4:NVL5"/>
    <mergeCell ref="NVM4:NVM5"/>
    <mergeCell ref="NVN4:NVN5"/>
    <mergeCell ref="NVE4:NVE5"/>
    <mergeCell ref="NVF4:NVF5"/>
    <mergeCell ref="NVG4:NVG5"/>
    <mergeCell ref="NVH4:NVH5"/>
    <mergeCell ref="NVI4:NVI5"/>
    <mergeCell ref="NUZ4:NUZ5"/>
    <mergeCell ref="NVA4:NVA5"/>
    <mergeCell ref="NVB4:NVB5"/>
    <mergeCell ref="NVC4:NVC5"/>
    <mergeCell ref="NVD4:NVD5"/>
    <mergeCell ref="NUU4:NUU5"/>
    <mergeCell ref="NUV4:NUV5"/>
    <mergeCell ref="NUW4:NUW5"/>
    <mergeCell ref="NUX4:NUX5"/>
    <mergeCell ref="NUY4:NUY5"/>
    <mergeCell ref="NUP4:NUP5"/>
    <mergeCell ref="NUQ4:NUQ5"/>
    <mergeCell ref="NUR4:NUR5"/>
    <mergeCell ref="NUS4:NUS5"/>
    <mergeCell ref="NUT4:NUT5"/>
    <mergeCell ref="NUK4:NUK5"/>
    <mergeCell ref="NUL4:NUL5"/>
    <mergeCell ref="NUM4:NUM5"/>
    <mergeCell ref="NUN4:NUN5"/>
    <mergeCell ref="NUO4:NUO5"/>
    <mergeCell ref="NWX4:NWX5"/>
    <mergeCell ref="NWY4:NWY5"/>
    <mergeCell ref="NWZ4:NWZ5"/>
    <mergeCell ref="NXA4:NXA5"/>
    <mergeCell ref="NXB4:NXB5"/>
    <mergeCell ref="NWS4:NWS5"/>
    <mergeCell ref="NWT4:NWT5"/>
    <mergeCell ref="NWU4:NWU5"/>
    <mergeCell ref="NWV4:NWV5"/>
    <mergeCell ref="NWW4:NWW5"/>
    <mergeCell ref="NWN4:NWN5"/>
    <mergeCell ref="NWO4:NWO5"/>
    <mergeCell ref="NWP4:NWP5"/>
    <mergeCell ref="NWQ4:NWQ5"/>
    <mergeCell ref="NWR4:NWR5"/>
    <mergeCell ref="NWI4:NWI5"/>
    <mergeCell ref="NWJ4:NWJ5"/>
    <mergeCell ref="NWK4:NWK5"/>
    <mergeCell ref="NWL4:NWL5"/>
    <mergeCell ref="NWM4:NWM5"/>
    <mergeCell ref="NWD4:NWD5"/>
    <mergeCell ref="NWE4:NWE5"/>
    <mergeCell ref="NWF4:NWF5"/>
    <mergeCell ref="NWG4:NWG5"/>
    <mergeCell ref="NWH4:NWH5"/>
    <mergeCell ref="NVY4:NVY5"/>
    <mergeCell ref="NVZ4:NVZ5"/>
    <mergeCell ref="NWA4:NWA5"/>
    <mergeCell ref="NWB4:NWB5"/>
    <mergeCell ref="NWC4:NWC5"/>
    <mergeCell ref="NVT4:NVT5"/>
    <mergeCell ref="NVU4:NVU5"/>
    <mergeCell ref="NVV4:NVV5"/>
    <mergeCell ref="NVW4:NVW5"/>
    <mergeCell ref="NVX4:NVX5"/>
    <mergeCell ref="NYG4:NYG5"/>
    <mergeCell ref="NYH4:NYH5"/>
    <mergeCell ref="NYI4:NYI5"/>
    <mergeCell ref="NYJ4:NYJ5"/>
    <mergeCell ref="NYK4:NYK5"/>
    <mergeCell ref="NYB4:NYB5"/>
    <mergeCell ref="NYC4:NYC5"/>
    <mergeCell ref="NYD4:NYD5"/>
    <mergeCell ref="NYE4:NYE5"/>
    <mergeCell ref="NYF4:NYF5"/>
    <mergeCell ref="NXW4:NXW5"/>
    <mergeCell ref="NXX4:NXX5"/>
    <mergeCell ref="NXY4:NXY5"/>
    <mergeCell ref="NXZ4:NXZ5"/>
    <mergeCell ref="NYA4:NYA5"/>
    <mergeCell ref="NXR4:NXR5"/>
    <mergeCell ref="NXS4:NXS5"/>
    <mergeCell ref="NXT4:NXT5"/>
    <mergeCell ref="NXU4:NXU5"/>
    <mergeCell ref="NXV4:NXV5"/>
    <mergeCell ref="NXM4:NXM5"/>
    <mergeCell ref="NXN4:NXN5"/>
    <mergeCell ref="NXO4:NXO5"/>
    <mergeCell ref="NXP4:NXP5"/>
    <mergeCell ref="NXQ4:NXQ5"/>
    <mergeCell ref="NXH4:NXH5"/>
    <mergeCell ref="NXI4:NXI5"/>
    <mergeCell ref="NXJ4:NXJ5"/>
    <mergeCell ref="NXK4:NXK5"/>
    <mergeCell ref="NXL4:NXL5"/>
    <mergeCell ref="NXC4:NXC5"/>
    <mergeCell ref="NXD4:NXD5"/>
    <mergeCell ref="NXE4:NXE5"/>
    <mergeCell ref="NXF4:NXF5"/>
    <mergeCell ref="NXG4:NXG5"/>
    <mergeCell ref="NZP4:NZP5"/>
    <mergeCell ref="NZQ4:NZQ5"/>
    <mergeCell ref="NZR4:NZR5"/>
    <mergeCell ref="NZS4:NZS5"/>
    <mergeCell ref="NZT4:NZT5"/>
    <mergeCell ref="NZK4:NZK5"/>
    <mergeCell ref="NZL4:NZL5"/>
    <mergeCell ref="NZM4:NZM5"/>
    <mergeCell ref="NZN4:NZN5"/>
    <mergeCell ref="NZO4:NZO5"/>
    <mergeCell ref="NZF4:NZF5"/>
    <mergeCell ref="NZG4:NZG5"/>
    <mergeCell ref="NZH4:NZH5"/>
    <mergeCell ref="NZI4:NZI5"/>
    <mergeCell ref="NZJ4:NZJ5"/>
    <mergeCell ref="NZA4:NZA5"/>
    <mergeCell ref="NZB4:NZB5"/>
    <mergeCell ref="NZC4:NZC5"/>
    <mergeCell ref="NZD4:NZD5"/>
    <mergeCell ref="NZE4:NZE5"/>
    <mergeCell ref="NYV4:NYV5"/>
    <mergeCell ref="NYW4:NYW5"/>
    <mergeCell ref="NYX4:NYX5"/>
    <mergeCell ref="NYY4:NYY5"/>
    <mergeCell ref="NYZ4:NYZ5"/>
    <mergeCell ref="NYQ4:NYQ5"/>
    <mergeCell ref="NYR4:NYR5"/>
    <mergeCell ref="NYS4:NYS5"/>
    <mergeCell ref="NYT4:NYT5"/>
    <mergeCell ref="NYU4:NYU5"/>
    <mergeCell ref="NYL4:NYL5"/>
    <mergeCell ref="NYM4:NYM5"/>
    <mergeCell ref="NYN4:NYN5"/>
    <mergeCell ref="NYO4:NYO5"/>
    <mergeCell ref="NYP4:NYP5"/>
    <mergeCell ref="OAY4:OAY5"/>
    <mergeCell ref="OAZ4:OAZ5"/>
    <mergeCell ref="OBA4:OBA5"/>
    <mergeCell ref="OBB4:OBB5"/>
    <mergeCell ref="OBC4:OBC5"/>
    <mergeCell ref="OAT4:OAT5"/>
    <mergeCell ref="OAU4:OAU5"/>
    <mergeCell ref="OAV4:OAV5"/>
    <mergeCell ref="OAW4:OAW5"/>
    <mergeCell ref="OAX4:OAX5"/>
    <mergeCell ref="OAO4:OAO5"/>
    <mergeCell ref="OAP4:OAP5"/>
    <mergeCell ref="OAQ4:OAQ5"/>
    <mergeCell ref="OAR4:OAR5"/>
    <mergeCell ref="OAS4:OAS5"/>
    <mergeCell ref="OAJ4:OAJ5"/>
    <mergeCell ref="OAK4:OAK5"/>
    <mergeCell ref="OAL4:OAL5"/>
    <mergeCell ref="OAM4:OAM5"/>
    <mergeCell ref="OAN4:OAN5"/>
    <mergeCell ref="OAE4:OAE5"/>
    <mergeCell ref="OAF4:OAF5"/>
    <mergeCell ref="OAG4:OAG5"/>
    <mergeCell ref="OAH4:OAH5"/>
    <mergeCell ref="OAI4:OAI5"/>
    <mergeCell ref="NZZ4:NZZ5"/>
    <mergeCell ref="OAA4:OAA5"/>
    <mergeCell ref="OAB4:OAB5"/>
    <mergeCell ref="OAC4:OAC5"/>
    <mergeCell ref="OAD4:OAD5"/>
    <mergeCell ref="NZU4:NZU5"/>
    <mergeCell ref="NZV4:NZV5"/>
    <mergeCell ref="NZW4:NZW5"/>
    <mergeCell ref="NZX4:NZX5"/>
    <mergeCell ref="NZY4:NZY5"/>
    <mergeCell ref="OCH4:OCH5"/>
    <mergeCell ref="OCI4:OCI5"/>
    <mergeCell ref="OCJ4:OCJ5"/>
    <mergeCell ref="OCK4:OCK5"/>
    <mergeCell ref="OCL4:OCL5"/>
    <mergeCell ref="OCC4:OCC5"/>
    <mergeCell ref="OCD4:OCD5"/>
    <mergeCell ref="OCE4:OCE5"/>
    <mergeCell ref="OCF4:OCF5"/>
    <mergeCell ref="OCG4:OCG5"/>
    <mergeCell ref="OBX4:OBX5"/>
    <mergeCell ref="OBY4:OBY5"/>
    <mergeCell ref="OBZ4:OBZ5"/>
    <mergeCell ref="OCA4:OCA5"/>
    <mergeCell ref="OCB4:OCB5"/>
    <mergeCell ref="OBS4:OBS5"/>
    <mergeCell ref="OBT4:OBT5"/>
    <mergeCell ref="OBU4:OBU5"/>
    <mergeCell ref="OBV4:OBV5"/>
    <mergeCell ref="OBW4:OBW5"/>
    <mergeCell ref="OBN4:OBN5"/>
    <mergeCell ref="OBO4:OBO5"/>
    <mergeCell ref="OBP4:OBP5"/>
    <mergeCell ref="OBQ4:OBQ5"/>
    <mergeCell ref="OBR4:OBR5"/>
    <mergeCell ref="OBI4:OBI5"/>
    <mergeCell ref="OBJ4:OBJ5"/>
    <mergeCell ref="OBK4:OBK5"/>
    <mergeCell ref="OBL4:OBL5"/>
    <mergeCell ref="OBM4:OBM5"/>
    <mergeCell ref="OBD4:OBD5"/>
    <mergeCell ref="OBE4:OBE5"/>
    <mergeCell ref="OBF4:OBF5"/>
    <mergeCell ref="OBG4:OBG5"/>
    <mergeCell ref="OBH4:OBH5"/>
    <mergeCell ref="ODQ4:ODQ5"/>
    <mergeCell ref="ODR4:ODR5"/>
    <mergeCell ref="ODS4:ODS5"/>
    <mergeCell ref="ODT4:ODT5"/>
    <mergeCell ref="ODU4:ODU5"/>
    <mergeCell ref="ODL4:ODL5"/>
    <mergeCell ref="ODM4:ODM5"/>
    <mergeCell ref="ODN4:ODN5"/>
    <mergeCell ref="ODO4:ODO5"/>
    <mergeCell ref="ODP4:ODP5"/>
    <mergeCell ref="ODG4:ODG5"/>
    <mergeCell ref="ODH4:ODH5"/>
    <mergeCell ref="ODI4:ODI5"/>
    <mergeCell ref="ODJ4:ODJ5"/>
    <mergeCell ref="ODK4:ODK5"/>
    <mergeCell ref="ODB4:ODB5"/>
    <mergeCell ref="ODC4:ODC5"/>
    <mergeCell ref="ODD4:ODD5"/>
    <mergeCell ref="ODE4:ODE5"/>
    <mergeCell ref="ODF4:ODF5"/>
    <mergeCell ref="OCW4:OCW5"/>
    <mergeCell ref="OCX4:OCX5"/>
    <mergeCell ref="OCY4:OCY5"/>
    <mergeCell ref="OCZ4:OCZ5"/>
    <mergeCell ref="ODA4:ODA5"/>
    <mergeCell ref="OCR4:OCR5"/>
    <mergeCell ref="OCS4:OCS5"/>
    <mergeCell ref="OCT4:OCT5"/>
    <mergeCell ref="OCU4:OCU5"/>
    <mergeCell ref="OCV4:OCV5"/>
    <mergeCell ref="OCM4:OCM5"/>
    <mergeCell ref="OCN4:OCN5"/>
    <mergeCell ref="OCO4:OCO5"/>
    <mergeCell ref="OCP4:OCP5"/>
    <mergeCell ref="OCQ4:OCQ5"/>
    <mergeCell ref="OEZ4:OEZ5"/>
    <mergeCell ref="OFA4:OFA5"/>
    <mergeCell ref="OFB4:OFB5"/>
    <mergeCell ref="OFC4:OFC5"/>
    <mergeCell ref="OFD4:OFD5"/>
    <mergeCell ref="OEU4:OEU5"/>
    <mergeCell ref="OEV4:OEV5"/>
    <mergeCell ref="OEW4:OEW5"/>
    <mergeCell ref="OEX4:OEX5"/>
    <mergeCell ref="OEY4:OEY5"/>
    <mergeCell ref="OEP4:OEP5"/>
    <mergeCell ref="OEQ4:OEQ5"/>
    <mergeCell ref="OER4:OER5"/>
    <mergeCell ref="OES4:OES5"/>
    <mergeCell ref="OET4:OET5"/>
    <mergeCell ref="OEK4:OEK5"/>
    <mergeCell ref="OEL4:OEL5"/>
    <mergeCell ref="OEM4:OEM5"/>
    <mergeCell ref="OEN4:OEN5"/>
    <mergeCell ref="OEO4:OEO5"/>
    <mergeCell ref="OEF4:OEF5"/>
    <mergeCell ref="OEG4:OEG5"/>
    <mergeCell ref="OEH4:OEH5"/>
    <mergeCell ref="OEI4:OEI5"/>
    <mergeCell ref="OEJ4:OEJ5"/>
    <mergeCell ref="OEA4:OEA5"/>
    <mergeCell ref="OEB4:OEB5"/>
    <mergeCell ref="OEC4:OEC5"/>
    <mergeCell ref="OED4:OED5"/>
    <mergeCell ref="OEE4:OEE5"/>
    <mergeCell ref="ODV4:ODV5"/>
    <mergeCell ref="ODW4:ODW5"/>
    <mergeCell ref="ODX4:ODX5"/>
    <mergeCell ref="ODY4:ODY5"/>
    <mergeCell ref="ODZ4:ODZ5"/>
    <mergeCell ref="OGI4:OGI5"/>
    <mergeCell ref="OGJ4:OGJ5"/>
    <mergeCell ref="OGK4:OGK5"/>
    <mergeCell ref="OGL4:OGL5"/>
    <mergeCell ref="OGM4:OGM5"/>
    <mergeCell ref="OGD4:OGD5"/>
    <mergeCell ref="OGE4:OGE5"/>
    <mergeCell ref="OGF4:OGF5"/>
    <mergeCell ref="OGG4:OGG5"/>
    <mergeCell ref="OGH4:OGH5"/>
    <mergeCell ref="OFY4:OFY5"/>
    <mergeCell ref="OFZ4:OFZ5"/>
    <mergeCell ref="OGA4:OGA5"/>
    <mergeCell ref="OGB4:OGB5"/>
    <mergeCell ref="OGC4:OGC5"/>
    <mergeCell ref="OFT4:OFT5"/>
    <mergeCell ref="OFU4:OFU5"/>
    <mergeCell ref="OFV4:OFV5"/>
    <mergeCell ref="OFW4:OFW5"/>
    <mergeCell ref="OFX4:OFX5"/>
    <mergeCell ref="OFO4:OFO5"/>
    <mergeCell ref="OFP4:OFP5"/>
    <mergeCell ref="OFQ4:OFQ5"/>
    <mergeCell ref="OFR4:OFR5"/>
    <mergeCell ref="OFS4:OFS5"/>
    <mergeCell ref="OFJ4:OFJ5"/>
    <mergeCell ref="OFK4:OFK5"/>
    <mergeCell ref="OFL4:OFL5"/>
    <mergeCell ref="OFM4:OFM5"/>
    <mergeCell ref="OFN4:OFN5"/>
    <mergeCell ref="OFE4:OFE5"/>
    <mergeCell ref="OFF4:OFF5"/>
    <mergeCell ref="OFG4:OFG5"/>
    <mergeCell ref="OFH4:OFH5"/>
    <mergeCell ref="OFI4:OFI5"/>
    <mergeCell ref="OHR4:OHR5"/>
    <mergeCell ref="OHS4:OHS5"/>
    <mergeCell ref="OHT4:OHT5"/>
    <mergeCell ref="OHU4:OHU5"/>
    <mergeCell ref="OHV4:OHV5"/>
    <mergeCell ref="OHM4:OHM5"/>
    <mergeCell ref="OHN4:OHN5"/>
    <mergeCell ref="OHO4:OHO5"/>
    <mergeCell ref="OHP4:OHP5"/>
    <mergeCell ref="OHQ4:OHQ5"/>
    <mergeCell ref="OHH4:OHH5"/>
    <mergeCell ref="OHI4:OHI5"/>
    <mergeCell ref="OHJ4:OHJ5"/>
    <mergeCell ref="OHK4:OHK5"/>
    <mergeCell ref="OHL4:OHL5"/>
    <mergeCell ref="OHC4:OHC5"/>
    <mergeCell ref="OHD4:OHD5"/>
    <mergeCell ref="OHE4:OHE5"/>
    <mergeCell ref="OHF4:OHF5"/>
    <mergeCell ref="OHG4:OHG5"/>
    <mergeCell ref="OGX4:OGX5"/>
    <mergeCell ref="OGY4:OGY5"/>
    <mergeCell ref="OGZ4:OGZ5"/>
    <mergeCell ref="OHA4:OHA5"/>
    <mergeCell ref="OHB4:OHB5"/>
    <mergeCell ref="OGS4:OGS5"/>
    <mergeCell ref="OGT4:OGT5"/>
    <mergeCell ref="OGU4:OGU5"/>
    <mergeCell ref="OGV4:OGV5"/>
    <mergeCell ref="OGW4:OGW5"/>
    <mergeCell ref="OGN4:OGN5"/>
    <mergeCell ref="OGO4:OGO5"/>
    <mergeCell ref="OGP4:OGP5"/>
    <mergeCell ref="OGQ4:OGQ5"/>
    <mergeCell ref="OGR4:OGR5"/>
    <mergeCell ref="OJA4:OJA5"/>
    <mergeCell ref="OJB4:OJB5"/>
    <mergeCell ref="OJC4:OJC5"/>
    <mergeCell ref="OJD4:OJD5"/>
    <mergeCell ref="OJE4:OJE5"/>
    <mergeCell ref="OIV4:OIV5"/>
    <mergeCell ref="OIW4:OIW5"/>
    <mergeCell ref="OIX4:OIX5"/>
    <mergeCell ref="OIY4:OIY5"/>
    <mergeCell ref="OIZ4:OIZ5"/>
    <mergeCell ref="OIQ4:OIQ5"/>
    <mergeCell ref="OIR4:OIR5"/>
    <mergeCell ref="OIS4:OIS5"/>
    <mergeCell ref="OIT4:OIT5"/>
    <mergeCell ref="OIU4:OIU5"/>
    <mergeCell ref="OIL4:OIL5"/>
    <mergeCell ref="OIM4:OIM5"/>
    <mergeCell ref="OIN4:OIN5"/>
    <mergeCell ref="OIO4:OIO5"/>
    <mergeCell ref="OIP4:OIP5"/>
    <mergeCell ref="OIG4:OIG5"/>
    <mergeCell ref="OIH4:OIH5"/>
    <mergeCell ref="OII4:OII5"/>
    <mergeCell ref="OIJ4:OIJ5"/>
    <mergeCell ref="OIK4:OIK5"/>
    <mergeCell ref="OIB4:OIB5"/>
    <mergeCell ref="OIC4:OIC5"/>
    <mergeCell ref="OID4:OID5"/>
    <mergeCell ref="OIE4:OIE5"/>
    <mergeCell ref="OIF4:OIF5"/>
    <mergeCell ref="OHW4:OHW5"/>
    <mergeCell ref="OHX4:OHX5"/>
    <mergeCell ref="OHY4:OHY5"/>
    <mergeCell ref="OHZ4:OHZ5"/>
    <mergeCell ref="OIA4:OIA5"/>
    <mergeCell ref="OKJ4:OKJ5"/>
    <mergeCell ref="OKK4:OKK5"/>
    <mergeCell ref="OKL4:OKL5"/>
    <mergeCell ref="OKM4:OKM5"/>
    <mergeCell ref="OKN4:OKN5"/>
    <mergeCell ref="OKE4:OKE5"/>
    <mergeCell ref="OKF4:OKF5"/>
    <mergeCell ref="OKG4:OKG5"/>
    <mergeCell ref="OKH4:OKH5"/>
    <mergeCell ref="OKI4:OKI5"/>
    <mergeCell ref="OJZ4:OJZ5"/>
    <mergeCell ref="OKA4:OKA5"/>
    <mergeCell ref="OKB4:OKB5"/>
    <mergeCell ref="OKC4:OKC5"/>
    <mergeCell ref="OKD4:OKD5"/>
    <mergeCell ref="OJU4:OJU5"/>
    <mergeCell ref="OJV4:OJV5"/>
    <mergeCell ref="OJW4:OJW5"/>
    <mergeCell ref="OJX4:OJX5"/>
    <mergeCell ref="OJY4:OJY5"/>
    <mergeCell ref="OJP4:OJP5"/>
    <mergeCell ref="OJQ4:OJQ5"/>
    <mergeCell ref="OJR4:OJR5"/>
    <mergeCell ref="OJS4:OJS5"/>
    <mergeCell ref="OJT4:OJT5"/>
    <mergeCell ref="OJK4:OJK5"/>
    <mergeCell ref="OJL4:OJL5"/>
    <mergeCell ref="OJM4:OJM5"/>
    <mergeCell ref="OJN4:OJN5"/>
    <mergeCell ref="OJO4:OJO5"/>
    <mergeCell ref="OJF4:OJF5"/>
    <mergeCell ref="OJG4:OJG5"/>
    <mergeCell ref="OJH4:OJH5"/>
    <mergeCell ref="OJI4:OJI5"/>
    <mergeCell ref="OJJ4:OJJ5"/>
    <mergeCell ref="OLS4:OLS5"/>
    <mergeCell ref="OLT4:OLT5"/>
    <mergeCell ref="OLU4:OLU5"/>
    <mergeCell ref="OLV4:OLV5"/>
    <mergeCell ref="OLW4:OLW5"/>
    <mergeCell ref="OLN4:OLN5"/>
    <mergeCell ref="OLO4:OLO5"/>
    <mergeCell ref="OLP4:OLP5"/>
    <mergeCell ref="OLQ4:OLQ5"/>
    <mergeCell ref="OLR4:OLR5"/>
    <mergeCell ref="OLI4:OLI5"/>
    <mergeCell ref="OLJ4:OLJ5"/>
    <mergeCell ref="OLK4:OLK5"/>
    <mergeCell ref="OLL4:OLL5"/>
    <mergeCell ref="OLM4:OLM5"/>
    <mergeCell ref="OLD4:OLD5"/>
    <mergeCell ref="OLE4:OLE5"/>
    <mergeCell ref="OLF4:OLF5"/>
    <mergeCell ref="OLG4:OLG5"/>
    <mergeCell ref="OLH4:OLH5"/>
    <mergeCell ref="OKY4:OKY5"/>
    <mergeCell ref="OKZ4:OKZ5"/>
    <mergeCell ref="OLA4:OLA5"/>
    <mergeCell ref="OLB4:OLB5"/>
    <mergeCell ref="OLC4:OLC5"/>
    <mergeCell ref="OKT4:OKT5"/>
    <mergeCell ref="OKU4:OKU5"/>
    <mergeCell ref="OKV4:OKV5"/>
    <mergeCell ref="OKW4:OKW5"/>
    <mergeCell ref="OKX4:OKX5"/>
    <mergeCell ref="OKO4:OKO5"/>
    <mergeCell ref="OKP4:OKP5"/>
    <mergeCell ref="OKQ4:OKQ5"/>
    <mergeCell ref="OKR4:OKR5"/>
    <mergeCell ref="OKS4:OKS5"/>
    <mergeCell ref="ONB4:ONB5"/>
    <mergeCell ref="ONC4:ONC5"/>
    <mergeCell ref="OND4:OND5"/>
    <mergeCell ref="ONE4:ONE5"/>
    <mergeCell ref="ONF4:ONF5"/>
    <mergeCell ref="OMW4:OMW5"/>
    <mergeCell ref="OMX4:OMX5"/>
    <mergeCell ref="OMY4:OMY5"/>
    <mergeCell ref="OMZ4:OMZ5"/>
    <mergeCell ref="ONA4:ONA5"/>
    <mergeCell ref="OMR4:OMR5"/>
    <mergeCell ref="OMS4:OMS5"/>
    <mergeCell ref="OMT4:OMT5"/>
    <mergeCell ref="OMU4:OMU5"/>
    <mergeCell ref="OMV4:OMV5"/>
    <mergeCell ref="OMM4:OMM5"/>
    <mergeCell ref="OMN4:OMN5"/>
    <mergeCell ref="OMO4:OMO5"/>
    <mergeCell ref="OMP4:OMP5"/>
    <mergeCell ref="OMQ4:OMQ5"/>
    <mergeCell ref="OMH4:OMH5"/>
    <mergeCell ref="OMI4:OMI5"/>
    <mergeCell ref="OMJ4:OMJ5"/>
    <mergeCell ref="OMK4:OMK5"/>
    <mergeCell ref="OML4:OML5"/>
    <mergeCell ref="OMC4:OMC5"/>
    <mergeCell ref="OMD4:OMD5"/>
    <mergeCell ref="OME4:OME5"/>
    <mergeCell ref="OMF4:OMF5"/>
    <mergeCell ref="OMG4:OMG5"/>
    <mergeCell ref="OLX4:OLX5"/>
    <mergeCell ref="OLY4:OLY5"/>
    <mergeCell ref="OLZ4:OLZ5"/>
    <mergeCell ref="OMA4:OMA5"/>
    <mergeCell ref="OMB4:OMB5"/>
    <mergeCell ref="OOK4:OOK5"/>
    <mergeCell ref="OOL4:OOL5"/>
    <mergeCell ref="OOM4:OOM5"/>
    <mergeCell ref="OON4:OON5"/>
    <mergeCell ref="OOO4:OOO5"/>
    <mergeCell ref="OOF4:OOF5"/>
    <mergeCell ref="OOG4:OOG5"/>
    <mergeCell ref="OOH4:OOH5"/>
    <mergeCell ref="OOI4:OOI5"/>
    <mergeCell ref="OOJ4:OOJ5"/>
    <mergeCell ref="OOA4:OOA5"/>
    <mergeCell ref="OOB4:OOB5"/>
    <mergeCell ref="OOC4:OOC5"/>
    <mergeCell ref="OOD4:OOD5"/>
    <mergeCell ref="OOE4:OOE5"/>
    <mergeCell ref="ONV4:ONV5"/>
    <mergeCell ref="ONW4:ONW5"/>
    <mergeCell ref="ONX4:ONX5"/>
    <mergeCell ref="ONY4:ONY5"/>
    <mergeCell ref="ONZ4:ONZ5"/>
    <mergeCell ref="ONQ4:ONQ5"/>
    <mergeCell ref="ONR4:ONR5"/>
    <mergeCell ref="ONS4:ONS5"/>
    <mergeCell ref="ONT4:ONT5"/>
    <mergeCell ref="ONU4:ONU5"/>
    <mergeCell ref="ONL4:ONL5"/>
    <mergeCell ref="ONM4:ONM5"/>
    <mergeCell ref="ONN4:ONN5"/>
    <mergeCell ref="ONO4:ONO5"/>
    <mergeCell ref="ONP4:ONP5"/>
    <mergeCell ref="ONG4:ONG5"/>
    <mergeCell ref="ONH4:ONH5"/>
    <mergeCell ref="ONI4:ONI5"/>
    <mergeCell ref="ONJ4:ONJ5"/>
    <mergeCell ref="ONK4:ONK5"/>
    <mergeCell ref="OPT4:OPT5"/>
    <mergeCell ref="OPU4:OPU5"/>
    <mergeCell ref="OPV4:OPV5"/>
    <mergeCell ref="OPW4:OPW5"/>
    <mergeCell ref="OPX4:OPX5"/>
    <mergeCell ref="OPO4:OPO5"/>
    <mergeCell ref="OPP4:OPP5"/>
    <mergeCell ref="OPQ4:OPQ5"/>
    <mergeCell ref="OPR4:OPR5"/>
    <mergeCell ref="OPS4:OPS5"/>
    <mergeCell ref="OPJ4:OPJ5"/>
    <mergeCell ref="OPK4:OPK5"/>
    <mergeCell ref="OPL4:OPL5"/>
    <mergeCell ref="OPM4:OPM5"/>
    <mergeCell ref="OPN4:OPN5"/>
    <mergeCell ref="OPE4:OPE5"/>
    <mergeCell ref="OPF4:OPF5"/>
    <mergeCell ref="OPG4:OPG5"/>
    <mergeCell ref="OPH4:OPH5"/>
    <mergeCell ref="OPI4:OPI5"/>
    <mergeCell ref="OOZ4:OOZ5"/>
    <mergeCell ref="OPA4:OPA5"/>
    <mergeCell ref="OPB4:OPB5"/>
    <mergeCell ref="OPC4:OPC5"/>
    <mergeCell ref="OPD4:OPD5"/>
    <mergeCell ref="OOU4:OOU5"/>
    <mergeCell ref="OOV4:OOV5"/>
    <mergeCell ref="OOW4:OOW5"/>
    <mergeCell ref="OOX4:OOX5"/>
    <mergeCell ref="OOY4:OOY5"/>
    <mergeCell ref="OOP4:OOP5"/>
    <mergeCell ref="OOQ4:OOQ5"/>
    <mergeCell ref="OOR4:OOR5"/>
    <mergeCell ref="OOS4:OOS5"/>
    <mergeCell ref="OOT4:OOT5"/>
    <mergeCell ref="ORC4:ORC5"/>
    <mergeCell ref="ORD4:ORD5"/>
    <mergeCell ref="ORE4:ORE5"/>
    <mergeCell ref="ORF4:ORF5"/>
    <mergeCell ref="ORG4:ORG5"/>
    <mergeCell ref="OQX4:OQX5"/>
    <mergeCell ref="OQY4:OQY5"/>
    <mergeCell ref="OQZ4:OQZ5"/>
    <mergeCell ref="ORA4:ORA5"/>
    <mergeCell ref="ORB4:ORB5"/>
    <mergeCell ref="OQS4:OQS5"/>
    <mergeCell ref="OQT4:OQT5"/>
    <mergeCell ref="OQU4:OQU5"/>
    <mergeCell ref="OQV4:OQV5"/>
    <mergeCell ref="OQW4:OQW5"/>
    <mergeCell ref="OQN4:OQN5"/>
    <mergeCell ref="OQO4:OQO5"/>
    <mergeCell ref="OQP4:OQP5"/>
    <mergeCell ref="OQQ4:OQQ5"/>
    <mergeCell ref="OQR4:OQR5"/>
    <mergeCell ref="OQI4:OQI5"/>
    <mergeCell ref="OQJ4:OQJ5"/>
    <mergeCell ref="OQK4:OQK5"/>
    <mergeCell ref="OQL4:OQL5"/>
    <mergeCell ref="OQM4:OQM5"/>
    <mergeCell ref="OQD4:OQD5"/>
    <mergeCell ref="OQE4:OQE5"/>
    <mergeCell ref="OQF4:OQF5"/>
    <mergeCell ref="OQG4:OQG5"/>
    <mergeCell ref="OQH4:OQH5"/>
    <mergeCell ref="OPY4:OPY5"/>
    <mergeCell ref="OPZ4:OPZ5"/>
    <mergeCell ref="OQA4:OQA5"/>
    <mergeCell ref="OQB4:OQB5"/>
    <mergeCell ref="OQC4:OQC5"/>
    <mergeCell ref="OSL4:OSL5"/>
    <mergeCell ref="OSM4:OSM5"/>
    <mergeCell ref="OSN4:OSN5"/>
    <mergeCell ref="OSO4:OSO5"/>
    <mergeCell ref="OSP4:OSP5"/>
    <mergeCell ref="OSG4:OSG5"/>
    <mergeCell ref="OSH4:OSH5"/>
    <mergeCell ref="OSI4:OSI5"/>
    <mergeCell ref="OSJ4:OSJ5"/>
    <mergeCell ref="OSK4:OSK5"/>
    <mergeCell ref="OSB4:OSB5"/>
    <mergeCell ref="OSC4:OSC5"/>
    <mergeCell ref="OSD4:OSD5"/>
    <mergeCell ref="OSE4:OSE5"/>
    <mergeCell ref="OSF4:OSF5"/>
    <mergeCell ref="ORW4:ORW5"/>
    <mergeCell ref="ORX4:ORX5"/>
    <mergeCell ref="ORY4:ORY5"/>
    <mergeCell ref="ORZ4:ORZ5"/>
    <mergeCell ref="OSA4:OSA5"/>
    <mergeCell ref="ORR4:ORR5"/>
    <mergeCell ref="ORS4:ORS5"/>
    <mergeCell ref="ORT4:ORT5"/>
    <mergeCell ref="ORU4:ORU5"/>
    <mergeCell ref="ORV4:ORV5"/>
    <mergeCell ref="ORM4:ORM5"/>
    <mergeCell ref="ORN4:ORN5"/>
    <mergeCell ref="ORO4:ORO5"/>
    <mergeCell ref="ORP4:ORP5"/>
    <mergeCell ref="ORQ4:ORQ5"/>
    <mergeCell ref="ORH4:ORH5"/>
    <mergeCell ref="ORI4:ORI5"/>
    <mergeCell ref="ORJ4:ORJ5"/>
    <mergeCell ref="ORK4:ORK5"/>
    <mergeCell ref="ORL4:ORL5"/>
    <mergeCell ref="OTU4:OTU5"/>
    <mergeCell ref="OTV4:OTV5"/>
    <mergeCell ref="OTW4:OTW5"/>
    <mergeCell ref="OTX4:OTX5"/>
    <mergeCell ref="OTY4:OTY5"/>
    <mergeCell ref="OTP4:OTP5"/>
    <mergeCell ref="OTQ4:OTQ5"/>
    <mergeCell ref="OTR4:OTR5"/>
    <mergeCell ref="OTS4:OTS5"/>
    <mergeCell ref="OTT4:OTT5"/>
    <mergeCell ref="OTK4:OTK5"/>
    <mergeCell ref="OTL4:OTL5"/>
    <mergeCell ref="OTM4:OTM5"/>
    <mergeCell ref="OTN4:OTN5"/>
    <mergeCell ref="OTO4:OTO5"/>
    <mergeCell ref="OTF4:OTF5"/>
    <mergeCell ref="OTG4:OTG5"/>
    <mergeCell ref="OTH4:OTH5"/>
    <mergeCell ref="OTI4:OTI5"/>
    <mergeCell ref="OTJ4:OTJ5"/>
    <mergeCell ref="OTA4:OTA5"/>
    <mergeCell ref="OTB4:OTB5"/>
    <mergeCell ref="OTC4:OTC5"/>
    <mergeCell ref="OTD4:OTD5"/>
    <mergeCell ref="OTE4:OTE5"/>
    <mergeCell ref="OSV4:OSV5"/>
    <mergeCell ref="OSW4:OSW5"/>
    <mergeCell ref="OSX4:OSX5"/>
    <mergeCell ref="OSY4:OSY5"/>
    <mergeCell ref="OSZ4:OSZ5"/>
    <mergeCell ref="OSQ4:OSQ5"/>
    <mergeCell ref="OSR4:OSR5"/>
    <mergeCell ref="OSS4:OSS5"/>
    <mergeCell ref="OST4:OST5"/>
    <mergeCell ref="OSU4:OSU5"/>
    <mergeCell ref="OVD4:OVD5"/>
    <mergeCell ref="OVE4:OVE5"/>
    <mergeCell ref="OVF4:OVF5"/>
    <mergeCell ref="OVG4:OVG5"/>
    <mergeCell ref="OVH4:OVH5"/>
    <mergeCell ref="OUY4:OUY5"/>
    <mergeCell ref="OUZ4:OUZ5"/>
    <mergeCell ref="OVA4:OVA5"/>
    <mergeCell ref="OVB4:OVB5"/>
    <mergeCell ref="OVC4:OVC5"/>
    <mergeCell ref="OUT4:OUT5"/>
    <mergeCell ref="OUU4:OUU5"/>
    <mergeCell ref="OUV4:OUV5"/>
    <mergeCell ref="OUW4:OUW5"/>
    <mergeCell ref="OUX4:OUX5"/>
    <mergeCell ref="OUO4:OUO5"/>
    <mergeCell ref="OUP4:OUP5"/>
    <mergeCell ref="OUQ4:OUQ5"/>
    <mergeCell ref="OUR4:OUR5"/>
    <mergeCell ref="OUS4:OUS5"/>
    <mergeCell ref="OUJ4:OUJ5"/>
    <mergeCell ref="OUK4:OUK5"/>
    <mergeCell ref="OUL4:OUL5"/>
    <mergeCell ref="OUM4:OUM5"/>
    <mergeCell ref="OUN4:OUN5"/>
    <mergeCell ref="OUE4:OUE5"/>
    <mergeCell ref="OUF4:OUF5"/>
    <mergeCell ref="OUG4:OUG5"/>
    <mergeCell ref="OUH4:OUH5"/>
    <mergeCell ref="OUI4:OUI5"/>
    <mergeCell ref="OTZ4:OTZ5"/>
    <mergeCell ref="OUA4:OUA5"/>
    <mergeCell ref="OUB4:OUB5"/>
    <mergeCell ref="OUC4:OUC5"/>
    <mergeCell ref="OUD4:OUD5"/>
    <mergeCell ref="OWM4:OWM5"/>
    <mergeCell ref="OWN4:OWN5"/>
    <mergeCell ref="OWO4:OWO5"/>
    <mergeCell ref="OWP4:OWP5"/>
    <mergeCell ref="OWQ4:OWQ5"/>
    <mergeCell ref="OWH4:OWH5"/>
    <mergeCell ref="OWI4:OWI5"/>
    <mergeCell ref="OWJ4:OWJ5"/>
    <mergeCell ref="OWK4:OWK5"/>
    <mergeCell ref="OWL4:OWL5"/>
    <mergeCell ref="OWC4:OWC5"/>
    <mergeCell ref="OWD4:OWD5"/>
    <mergeCell ref="OWE4:OWE5"/>
    <mergeCell ref="OWF4:OWF5"/>
    <mergeCell ref="OWG4:OWG5"/>
    <mergeCell ref="OVX4:OVX5"/>
    <mergeCell ref="OVY4:OVY5"/>
    <mergeCell ref="OVZ4:OVZ5"/>
    <mergeCell ref="OWA4:OWA5"/>
    <mergeCell ref="OWB4:OWB5"/>
    <mergeCell ref="OVS4:OVS5"/>
    <mergeCell ref="OVT4:OVT5"/>
    <mergeCell ref="OVU4:OVU5"/>
    <mergeCell ref="OVV4:OVV5"/>
    <mergeCell ref="OVW4:OVW5"/>
    <mergeCell ref="OVN4:OVN5"/>
    <mergeCell ref="OVO4:OVO5"/>
    <mergeCell ref="OVP4:OVP5"/>
    <mergeCell ref="OVQ4:OVQ5"/>
    <mergeCell ref="OVR4:OVR5"/>
    <mergeCell ref="OVI4:OVI5"/>
    <mergeCell ref="OVJ4:OVJ5"/>
    <mergeCell ref="OVK4:OVK5"/>
    <mergeCell ref="OVL4:OVL5"/>
    <mergeCell ref="OVM4:OVM5"/>
    <mergeCell ref="OXV4:OXV5"/>
    <mergeCell ref="OXW4:OXW5"/>
    <mergeCell ref="OXX4:OXX5"/>
    <mergeCell ref="OXY4:OXY5"/>
    <mergeCell ref="OXZ4:OXZ5"/>
    <mergeCell ref="OXQ4:OXQ5"/>
    <mergeCell ref="OXR4:OXR5"/>
    <mergeCell ref="OXS4:OXS5"/>
    <mergeCell ref="OXT4:OXT5"/>
    <mergeCell ref="OXU4:OXU5"/>
    <mergeCell ref="OXL4:OXL5"/>
    <mergeCell ref="OXM4:OXM5"/>
    <mergeCell ref="OXN4:OXN5"/>
    <mergeCell ref="OXO4:OXO5"/>
    <mergeCell ref="OXP4:OXP5"/>
    <mergeCell ref="OXG4:OXG5"/>
    <mergeCell ref="OXH4:OXH5"/>
    <mergeCell ref="OXI4:OXI5"/>
    <mergeCell ref="OXJ4:OXJ5"/>
    <mergeCell ref="OXK4:OXK5"/>
    <mergeCell ref="OXB4:OXB5"/>
    <mergeCell ref="OXC4:OXC5"/>
    <mergeCell ref="OXD4:OXD5"/>
    <mergeCell ref="OXE4:OXE5"/>
    <mergeCell ref="OXF4:OXF5"/>
    <mergeCell ref="OWW4:OWW5"/>
    <mergeCell ref="OWX4:OWX5"/>
    <mergeCell ref="OWY4:OWY5"/>
    <mergeCell ref="OWZ4:OWZ5"/>
    <mergeCell ref="OXA4:OXA5"/>
    <mergeCell ref="OWR4:OWR5"/>
    <mergeCell ref="OWS4:OWS5"/>
    <mergeCell ref="OWT4:OWT5"/>
    <mergeCell ref="OWU4:OWU5"/>
    <mergeCell ref="OWV4:OWV5"/>
    <mergeCell ref="OZE4:OZE5"/>
    <mergeCell ref="OZF4:OZF5"/>
    <mergeCell ref="OZG4:OZG5"/>
    <mergeCell ref="OZH4:OZH5"/>
    <mergeCell ref="OZI4:OZI5"/>
    <mergeCell ref="OYZ4:OYZ5"/>
    <mergeCell ref="OZA4:OZA5"/>
    <mergeCell ref="OZB4:OZB5"/>
    <mergeCell ref="OZC4:OZC5"/>
    <mergeCell ref="OZD4:OZD5"/>
    <mergeCell ref="OYU4:OYU5"/>
    <mergeCell ref="OYV4:OYV5"/>
    <mergeCell ref="OYW4:OYW5"/>
    <mergeCell ref="OYX4:OYX5"/>
    <mergeCell ref="OYY4:OYY5"/>
    <mergeCell ref="OYP4:OYP5"/>
    <mergeCell ref="OYQ4:OYQ5"/>
    <mergeCell ref="OYR4:OYR5"/>
    <mergeCell ref="OYS4:OYS5"/>
    <mergeCell ref="OYT4:OYT5"/>
    <mergeCell ref="OYK4:OYK5"/>
    <mergeCell ref="OYL4:OYL5"/>
    <mergeCell ref="OYM4:OYM5"/>
    <mergeCell ref="OYN4:OYN5"/>
    <mergeCell ref="OYO4:OYO5"/>
    <mergeCell ref="OYF4:OYF5"/>
    <mergeCell ref="OYG4:OYG5"/>
    <mergeCell ref="OYH4:OYH5"/>
    <mergeCell ref="OYI4:OYI5"/>
    <mergeCell ref="OYJ4:OYJ5"/>
    <mergeCell ref="OYA4:OYA5"/>
    <mergeCell ref="OYB4:OYB5"/>
    <mergeCell ref="OYC4:OYC5"/>
    <mergeCell ref="OYD4:OYD5"/>
    <mergeCell ref="OYE4:OYE5"/>
    <mergeCell ref="PAN4:PAN5"/>
    <mergeCell ref="PAO4:PAO5"/>
    <mergeCell ref="PAP4:PAP5"/>
    <mergeCell ref="PAQ4:PAQ5"/>
    <mergeCell ref="PAR4:PAR5"/>
    <mergeCell ref="PAI4:PAI5"/>
    <mergeCell ref="PAJ4:PAJ5"/>
    <mergeCell ref="PAK4:PAK5"/>
    <mergeCell ref="PAL4:PAL5"/>
    <mergeCell ref="PAM4:PAM5"/>
    <mergeCell ref="PAD4:PAD5"/>
    <mergeCell ref="PAE4:PAE5"/>
    <mergeCell ref="PAF4:PAF5"/>
    <mergeCell ref="PAG4:PAG5"/>
    <mergeCell ref="PAH4:PAH5"/>
    <mergeCell ref="OZY4:OZY5"/>
    <mergeCell ref="OZZ4:OZZ5"/>
    <mergeCell ref="PAA4:PAA5"/>
    <mergeCell ref="PAB4:PAB5"/>
    <mergeCell ref="PAC4:PAC5"/>
    <mergeCell ref="OZT4:OZT5"/>
    <mergeCell ref="OZU4:OZU5"/>
    <mergeCell ref="OZV4:OZV5"/>
    <mergeCell ref="OZW4:OZW5"/>
    <mergeCell ref="OZX4:OZX5"/>
    <mergeCell ref="OZO4:OZO5"/>
    <mergeCell ref="OZP4:OZP5"/>
    <mergeCell ref="OZQ4:OZQ5"/>
    <mergeCell ref="OZR4:OZR5"/>
    <mergeCell ref="OZS4:OZS5"/>
    <mergeCell ref="OZJ4:OZJ5"/>
    <mergeCell ref="OZK4:OZK5"/>
    <mergeCell ref="OZL4:OZL5"/>
    <mergeCell ref="OZM4:OZM5"/>
    <mergeCell ref="OZN4:OZN5"/>
    <mergeCell ref="PBW4:PBW5"/>
    <mergeCell ref="PBX4:PBX5"/>
    <mergeCell ref="PBY4:PBY5"/>
    <mergeCell ref="PBZ4:PBZ5"/>
    <mergeCell ref="PCA4:PCA5"/>
    <mergeCell ref="PBR4:PBR5"/>
    <mergeCell ref="PBS4:PBS5"/>
    <mergeCell ref="PBT4:PBT5"/>
    <mergeCell ref="PBU4:PBU5"/>
    <mergeCell ref="PBV4:PBV5"/>
    <mergeCell ref="PBM4:PBM5"/>
    <mergeCell ref="PBN4:PBN5"/>
    <mergeCell ref="PBO4:PBO5"/>
    <mergeCell ref="PBP4:PBP5"/>
    <mergeCell ref="PBQ4:PBQ5"/>
    <mergeCell ref="PBH4:PBH5"/>
    <mergeCell ref="PBI4:PBI5"/>
    <mergeCell ref="PBJ4:PBJ5"/>
    <mergeCell ref="PBK4:PBK5"/>
    <mergeCell ref="PBL4:PBL5"/>
    <mergeCell ref="PBC4:PBC5"/>
    <mergeCell ref="PBD4:PBD5"/>
    <mergeCell ref="PBE4:PBE5"/>
    <mergeCell ref="PBF4:PBF5"/>
    <mergeCell ref="PBG4:PBG5"/>
    <mergeCell ref="PAX4:PAX5"/>
    <mergeCell ref="PAY4:PAY5"/>
    <mergeCell ref="PAZ4:PAZ5"/>
    <mergeCell ref="PBA4:PBA5"/>
    <mergeCell ref="PBB4:PBB5"/>
    <mergeCell ref="PAS4:PAS5"/>
    <mergeCell ref="PAT4:PAT5"/>
    <mergeCell ref="PAU4:PAU5"/>
    <mergeCell ref="PAV4:PAV5"/>
    <mergeCell ref="PAW4:PAW5"/>
    <mergeCell ref="PDF4:PDF5"/>
    <mergeCell ref="PDG4:PDG5"/>
    <mergeCell ref="PDH4:PDH5"/>
    <mergeCell ref="PDI4:PDI5"/>
    <mergeCell ref="PDJ4:PDJ5"/>
    <mergeCell ref="PDA4:PDA5"/>
    <mergeCell ref="PDB4:PDB5"/>
    <mergeCell ref="PDC4:PDC5"/>
    <mergeCell ref="PDD4:PDD5"/>
    <mergeCell ref="PDE4:PDE5"/>
    <mergeCell ref="PCV4:PCV5"/>
    <mergeCell ref="PCW4:PCW5"/>
    <mergeCell ref="PCX4:PCX5"/>
    <mergeCell ref="PCY4:PCY5"/>
    <mergeCell ref="PCZ4:PCZ5"/>
    <mergeCell ref="PCQ4:PCQ5"/>
    <mergeCell ref="PCR4:PCR5"/>
    <mergeCell ref="PCS4:PCS5"/>
    <mergeCell ref="PCT4:PCT5"/>
    <mergeCell ref="PCU4:PCU5"/>
    <mergeCell ref="PCL4:PCL5"/>
    <mergeCell ref="PCM4:PCM5"/>
    <mergeCell ref="PCN4:PCN5"/>
    <mergeCell ref="PCO4:PCO5"/>
    <mergeCell ref="PCP4:PCP5"/>
    <mergeCell ref="PCG4:PCG5"/>
    <mergeCell ref="PCH4:PCH5"/>
    <mergeCell ref="PCI4:PCI5"/>
    <mergeCell ref="PCJ4:PCJ5"/>
    <mergeCell ref="PCK4:PCK5"/>
    <mergeCell ref="PCB4:PCB5"/>
    <mergeCell ref="PCC4:PCC5"/>
    <mergeCell ref="PCD4:PCD5"/>
    <mergeCell ref="PCE4:PCE5"/>
    <mergeCell ref="PCF4:PCF5"/>
    <mergeCell ref="PEO4:PEO5"/>
    <mergeCell ref="PEP4:PEP5"/>
    <mergeCell ref="PEQ4:PEQ5"/>
    <mergeCell ref="PER4:PER5"/>
    <mergeCell ref="PES4:PES5"/>
    <mergeCell ref="PEJ4:PEJ5"/>
    <mergeCell ref="PEK4:PEK5"/>
    <mergeCell ref="PEL4:PEL5"/>
    <mergeCell ref="PEM4:PEM5"/>
    <mergeCell ref="PEN4:PEN5"/>
    <mergeCell ref="PEE4:PEE5"/>
    <mergeCell ref="PEF4:PEF5"/>
    <mergeCell ref="PEG4:PEG5"/>
    <mergeCell ref="PEH4:PEH5"/>
    <mergeCell ref="PEI4:PEI5"/>
    <mergeCell ref="PDZ4:PDZ5"/>
    <mergeCell ref="PEA4:PEA5"/>
    <mergeCell ref="PEB4:PEB5"/>
    <mergeCell ref="PEC4:PEC5"/>
    <mergeCell ref="PED4:PED5"/>
    <mergeCell ref="PDU4:PDU5"/>
    <mergeCell ref="PDV4:PDV5"/>
    <mergeCell ref="PDW4:PDW5"/>
    <mergeCell ref="PDX4:PDX5"/>
    <mergeCell ref="PDY4:PDY5"/>
    <mergeCell ref="PDP4:PDP5"/>
    <mergeCell ref="PDQ4:PDQ5"/>
    <mergeCell ref="PDR4:PDR5"/>
    <mergeCell ref="PDS4:PDS5"/>
    <mergeCell ref="PDT4:PDT5"/>
    <mergeCell ref="PDK4:PDK5"/>
    <mergeCell ref="PDL4:PDL5"/>
    <mergeCell ref="PDM4:PDM5"/>
    <mergeCell ref="PDN4:PDN5"/>
    <mergeCell ref="PDO4:PDO5"/>
    <mergeCell ref="PFX4:PFX5"/>
    <mergeCell ref="PFY4:PFY5"/>
    <mergeCell ref="PFZ4:PFZ5"/>
    <mergeCell ref="PGA4:PGA5"/>
    <mergeCell ref="PGB4:PGB5"/>
    <mergeCell ref="PFS4:PFS5"/>
    <mergeCell ref="PFT4:PFT5"/>
    <mergeCell ref="PFU4:PFU5"/>
    <mergeCell ref="PFV4:PFV5"/>
    <mergeCell ref="PFW4:PFW5"/>
    <mergeCell ref="PFN4:PFN5"/>
    <mergeCell ref="PFO4:PFO5"/>
    <mergeCell ref="PFP4:PFP5"/>
    <mergeCell ref="PFQ4:PFQ5"/>
    <mergeCell ref="PFR4:PFR5"/>
    <mergeCell ref="PFI4:PFI5"/>
    <mergeCell ref="PFJ4:PFJ5"/>
    <mergeCell ref="PFK4:PFK5"/>
    <mergeCell ref="PFL4:PFL5"/>
    <mergeCell ref="PFM4:PFM5"/>
    <mergeCell ref="PFD4:PFD5"/>
    <mergeCell ref="PFE4:PFE5"/>
    <mergeCell ref="PFF4:PFF5"/>
    <mergeCell ref="PFG4:PFG5"/>
    <mergeCell ref="PFH4:PFH5"/>
    <mergeCell ref="PEY4:PEY5"/>
    <mergeCell ref="PEZ4:PEZ5"/>
    <mergeCell ref="PFA4:PFA5"/>
    <mergeCell ref="PFB4:PFB5"/>
    <mergeCell ref="PFC4:PFC5"/>
    <mergeCell ref="PET4:PET5"/>
    <mergeCell ref="PEU4:PEU5"/>
    <mergeCell ref="PEV4:PEV5"/>
    <mergeCell ref="PEW4:PEW5"/>
    <mergeCell ref="PEX4:PEX5"/>
    <mergeCell ref="PHG4:PHG5"/>
    <mergeCell ref="PHH4:PHH5"/>
    <mergeCell ref="PHI4:PHI5"/>
    <mergeCell ref="PHJ4:PHJ5"/>
    <mergeCell ref="PHK4:PHK5"/>
    <mergeCell ref="PHB4:PHB5"/>
    <mergeCell ref="PHC4:PHC5"/>
    <mergeCell ref="PHD4:PHD5"/>
    <mergeCell ref="PHE4:PHE5"/>
    <mergeCell ref="PHF4:PHF5"/>
    <mergeCell ref="PGW4:PGW5"/>
    <mergeCell ref="PGX4:PGX5"/>
    <mergeCell ref="PGY4:PGY5"/>
    <mergeCell ref="PGZ4:PGZ5"/>
    <mergeCell ref="PHA4:PHA5"/>
    <mergeCell ref="PGR4:PGR5"/>
    <mergeCell ref="PGS4:PGS5"/>
    <mergeCell ref="PGT4:PGT5"/>
    <mergeCell ref="PGU4:PGU5"/>
    <mergeCell ref="PGV4:PGV5"/>
    <mergeCell ref="PGM4:PGM5"/>
    <mergeCell ref="PGN4:PGN5"/>
    <mergeCell ref="PGO4:PGO5"/>
    <mergeCell ref="PGP4:PGP5"/>
    <mergeCell ref="PGQ4:PGQ5"/>
    <mergeCell ref="PGH4:PGH5"/>
    <mergeCell ref="PGI4:PGI5"/>
    <mergeCell ref="PGJ4:PGJ5"/>
    <mergeCell ref="PGK4:PGK5"/>
    <mergeCell ref="PGL4:PGL5"/>
    <mergeCell ref="PGC4:PGC5"/>
    <mergeCell ref="PGD4:PGD5"/>
    <mergeCell ref="PGE4:PGE5"/>
    <mergeCell ref="PGF4:PGF5"/>
    <mergeCell ref="PGG4:PGG5"/>
    <mergeCell ref="PIP4:PIP5"/>
    <mergeCell ref="PIQ4:PIQ5"/>
    <mergeCell ref="PIR4:PIR5"/>
    <mergeCell ref="PIS4:PIS5"/>
    <mergeCell ref="PIT4:PIT5"/>
    <mergeCell ref="PIK4:PIK5"/>
    <mergeCell ref="PIL4:PIL5"/>
    <mergeCell ref="PIM4:PIM5"/>
    <mergeCell ref="PIN4:PIN5"/>
    <mergeCell ref="PIO4:PIO5"/>
    <mergeCell ref="PIF4:PIF5"/>
    <mergeCell ref="PIG4:PIG5"/>
    <mergeCell ref="PIH4:PIH5"/>
    <mergeCell ref="PII4:PII5"/>
    <mergeCell ref="PIJ4:PIJ5"/>
    <mergeCell ref="PIA4:PIA5"/>
    <mergeCell ref="PIB4:PIB5"/>
    <mergeCell ref="PIC4:PIC5"/>
    <mergeCell ref="PID4:PID5"/>
    <mergeCell ref="PIE4:PIE5"/>
    <mergeCell ref="PHV4:PHV5"/>
    <mergeCell ref="PHW4:PHW5"/>
    <mergeCell ref="PHX4:PHX5"/>
    <mergeCell ref="PHY4:PHY5"/>
    <mergeCell ref="PHZ4:PHZ5"/>
    <mergeCell ref="PHQ4:PHQ5"/>
    <mergeCell ref="PHR4:PHR5"/>
    <mergeCell ref="PHS4:PHS5"/>
    <mergeCell ref="PHT4:PHT5"/>
    <mergeCell ref="PHU4:PHU5"/>
    <mergeCell ref="PHL4:PHL5"/>
    <mergeCell ref="PHM4:PHM5"/>
    <mergeCell ref="PHN4:PHN5"/>
    <mergeCell ref="PHO4:PHO5"/>
    <mergeCell ref="PHP4:PHP5"/>
    <mergeCell ref="PJY4:PJY5"/>
    <mergeCell ref="PJZ4:PJZ5"/>
    <mergeCell ref="PKA4:PKA5"/>
    <mergeCell ref="PKB4:PKB5"/>
    <mergeCell ref="PKC4:PKC5"/>
    <mergeCell ref="PJT4:PJT5"/>
    <mergeCell ref="PJU4:PJU5"/>
    <mergeCell ref="PJV4:PJV5"/>
    <mergeCell ref="PJW4:PJW5"/>
    <mergeCell ref="PJX4:PJX5"/>
    <mergeCell ref="PJO4:PJO5"/>
    <mergeCell ref="PJP4:PJP5"/>
    <mergeCell ref="PJQ4:PJQ5"/>
    <mergeCell ref="PJR4:PJR5"/>
    <mergeCell ref="PJS4:PJS5"/>
    <mergeCell ref="PJJ4:PJJ5"/>
    <mergeCell ref="PJK4:PJK5"/>
    <mergeCell ref="PJL4:PJL5"/>
    <mergeCell ref="PJM4:PJM5"/>
    <mergeCell ref="PJN4:PJN5"/>
    <mergeCell ref="PJE4:PJE5"/>
    <mergeCell ref="PJF4:PJF5"/>
    <mergeCell ref="PJG4:PJG5"/>
    <mergeCell ref="PJH4:PJH5"/>
    <mergeCell ref="PJI4:PJI5"/>
    <mergeCell ref="PIZ4:PIZ5"/>
    <mergeCell ref="PJA4:PJA5"/>
    <mergeCell ref="PJB4:PJB5"/>
    <mergeCell ref="PJC4:PJC5"/>
    <mergeCell ref="PJD4:PJD5"/>
    <mergeCell ref="PIU4:PIU5"/>
    <mergeCell ref="PIV4:PIV5"/>
    <mergeCell ref="PIW4:PIW5"/>
    <mergeCell ref="PIX4:PIX5"/>
    <mergeCell ref="PIY4:PIY5"/>
    <mergeCell ref="PLH4:PLH5"/>
    <mergeCell ref="PLI4:PLI5"/>
    <mergeCell ref="PLJ4:PLJ5"/>
    <mergeCell ref="PLK4:PLK5"/>
    <mergeCell ref="PLL4:PLL5"/>
    <mergeCell ref="PLC4:PLC5"/>
    <mergeCell ref="PLD4:PLD5"/>
    <mergeCell ref="PLE4:PLE5"/>
    <mergeCell ref="PLF4:PLF5"/>
    <mergeCell ref="PLG4:PLG5"/>
    <mergeCell ref="PKX4:PKX5"/>
    <mergeCell ref="PKY4:PKY5"/>
    <mergeCell ref="PKZ4:PKZ5"/>
    <mergeCell ref="PLA4:PLA5"/>
    <mergeCell ref="PLB4:PLB5"/>
    <mergeCell ref="PKS4:PKS5"/>
    <mergeCell ref="PKT4:PKT5"/>
    <mergeCell ref="PKU4:PKU5"/>
    <mergeCell ref="PKV4:PKV5"/>
    <mergeCell ref="PKW4:PKW5"/>
    <mergeCell ref="PKN4:PKN5"/>
    <mergeCell ref="PKO4:PKO5"/>
    <mergeCell ref="PKP4:PKP5"/>
    <mergeCell ref="PKQ4:PKQ5"/>
    <mergeCell ref="PKR4:PKR5"/>
    <mergeCell ref="PKI4:PKI5"/>
    <mergeCell ref="PKJ4:PKJ5"/>
    <mergeCell ref="PKK4:PKK5"/>
    <mergeCell ref="PKL4:PKL5"/>
    <mergeCell ref="PKM4:PKM5"/>
    <mergeCell ref="PKD4:PKD5"/>
    <mergeCell ref="PKE4:PKE5"/>
    <mergeCell ref="PKF4:PKF5"/>
    <mergeCell ref="PKG4:PKG5"/>
    <mergeCell ref="PKH4:PKH5"/>
    <mergeCell ref="PMQ4:PMQ5"/>
    <mergeCell ref="PMR4:PMR5"/>
    <mergeCell ref="PMS4:PMS5"/>
    <mergeCell ref="PMT4:PMT5"/>
    <mergeCell ref="PMU4:PMU5"/>
    <mergeCell ref="PML4:PML5"/>
    <mergeCell ref="PMM4:PMM5"/>
    <mergeCell ref="PMN4:PMN5"/>
    <mergeCell ref="PMO4:PMO5"/>
    <mergeCell ref="PMP4:PMP5"/>
    <mergeCell ref="PMG4:PMG5"/>
    <mergeCell ref="PMH4:PMH5"/>
    <mergeCell ref="PMI4:PMI5"/>
    <mergeCell ref="PMJ4:PMJ5"/>
    <mergeCell ref="PMK4:PMK5"/>
    <mergeCell ref="PMB4:PMB5"/>
    <mergeCell ref="PMC4:PMC5"/>
    <mergeCell ref="PMD4:PMD5"/>
    <mergeCell ref="PME4:PME5"/>
    <mergeCell ref="PMF4:PMF5"/>
    <mergeCell ref="PLW4:PLW5"/>
    <mergeCell ref="PLX4:PLX5"/>
    <mergeCell ref="PLY4:PLY5"/>
    <mergeCell ref="PLZ4:PLZ5"/>
    <mergeCell ref="PMA4:PMA5"/>
    <mergeCell ref="PLR4:PLR5"/>
    <mergeCell ref="PLS4:PLS5"/>
    <mergeCell ref="PLT4:PLT5"/>
    <mergeCell ref="PLU4:PLU5"/>
    <mergeCell ref="PLV4:PLV5"/>
    <mergeCell ref="PLM4:PLM5"/>
    <mergeCell ref="PLN4:PLN5"/>
    <mergeCell ref="PLO4:PLO5"/>
    <mergeCell ref="PLP4:PLP5"/>
    <mergeCell ref="PLQ4:PLQ5"/>
    <mergeCell ref="PNZ4:PNZ5"/>
    <mergeCell ref="POA4:POA5"/>
    <mergeCell ref="POB4:POB5"/>
    <mergeCell ref="POC4:POC5"/>
    <mergeCell ref="POD4:POD5"/>
    <mergeCell ref="PNU4:PNU5"/>
    <mergeCell ref="PNV4:PNV5"/>
    <mergeCell ref="PNW4:PNW5"/>
    <mergeCell ref="PNX4:PNX5"/>
    <mergeCell ref="PNY4:PNY5"/>
    <mergeCell ref="PNP4:PNP5"/>
    <mergeCell ref="PNQ4:PNQ5"/>
    <mergeCell ref="PNR4:PNR5"/>
    <mergeCell ref="PNS4:PNS5"/>
    <mergeCell ref="PNT4:PNT5"/>
    <mergeCell ref="PNK4:PNK5"/>
    <mergeCell ref="PNL4:PNL5"/>
    <mergeCell ref="PNM4:PNM5"/>
    <mergeCell ref="PNN4:PNN5"/>
    <mergeCell ref="PNO4:PNO5"/>
    <mergeCell ref="PNF4:PNF5"/>
    <mergeCell ref="PNG4:PNG5"/>
    <mergeCell ref="PNH4:PNH5"/>
    <mergeCell ref="PNI4:PNI5"/>
    <mergeCell ref="PNJ4:PNJ5"/>
    <mergeCell ref="PNA4:PNA5"/>
    <mergeCell ref="PNB4:PNB5"/>
    <mergeCell ref="PNC4:PNC5"/>
    <mergeCell ref="PND4:PND5"/>
    <mergeCell ref="PNE4:PNE5"/>
    <mergeCell ref="PMV4:PMV5"/>
    <mergeCell ref="PMW4:PMW5"/>
    <mergeCell ref="PMX4:PMX5"/>
    <mergeCell ref="PMY4:PMY5"/>
    <mergeCell ref="PMZ4:PMZ5"/>
    <mergeCell ref="PPI4:PPI5"/>
    <mergeCell ref="PPJ4:PPJ5"/>
    <mergeCell ref="PPK4:PPK5"/>
    <mergeCell ref="PPL4:PPL5"/>
    <mergeCell ref="PPM4:PPM5"/>
    <mergeCell ref="PPD4:PPD5"/>
    <mergeCell ref="PPE4:PPE5"/>
    <mergeCell ref="PPF4:PPF5"/>
    <mergeCell ref="PPG4:PPG5"/>
    <mergeCell ref="PPH4:PPH5"/>
    <mergeCell ref="POY4:POY5"/>
    <mergeCell ref="POZ4:POZ5"/>
    <mergeCell ref="PPA4:PPA5"/>
    <mergeCell ref="PPB4:PPB5"/>
    <mergeCell ref="PPC4:PPC5"/>
    <mergeCell ref="POT4:POT5"/>
    <mergeCell ref="POU4:POU5"/>
    <mergeCell ref="POV4:POV5"/>
    <mergeCell ref="POW4:POW5"/>
    <mergeCell ref="POX4:POX5"/>
    <mergeCell ref="POO4:POO5"/>
    <mergeCell ref="POP4:POP5"/>
    <mergeCell ref="POQ4:POQ5"/>
    <mergeCell ref="POR4:POR5"/>
    <mergeCell ref="POS4:POS5"/>
    <mergeCell ref="POJ4:POJ5"/>
    <mergeCell ref="POK4:POK5"/>
    <mergeCell ref="POL4:POL5"/>
    <mergeCell ref="POM4:POM5"/>
    <mergeCell ref="PON4:PON5"/>
    <mergeCell ref="POE4:POE5"/>
    <mergeCell ref="POF4:POF5"/>
    <mergeCell ref="POG4:POG5"/>
    <mergeCell ref="POH4:POH5"/>
    <mergeCell ref="POI4:POI5"/>
    <mergeCell ref="PQR4:PQR5"/>
    <mergeCell ref="PQS4:PQS5"/>
    <mergeCell ref="PQT4:PQT5"/>
    <mergeCell ref="PQU4:PQU5"/>
    <mergeCell ref="PQV4:PQV5"/>
    <mergeCell ref="PQM4:PQM5"/>
    <mergeCell ref="PQN4:PQN5"/>
    <mergeCell ref="PQO4:PQO5"/>
    <mergeCell ref="PQP4:PQP5"/>
    <mergeCell ref="PQQ4:PQQ5"/>
    <mergeCell ref="PQH4:PQH5"/>
    <mergeCell ref="PQI4:PQI5"/>
    <mergeCell ref="PQJ4:PQJ5"/>
    <mergeCell ref="PQK4:PQK5"/>
    <mergeCell ref="PQL4:PQL5"/>
    <mergeCell ref="PQC4:PQC5"/>
    <mergeCell ref="PQD4:PQD5"/>
    <mergeCell ref="PQE4:PQE5"/>
    <mergeCell ref="PQF4:PQF5"/>
    <mergeCell ref="PQG4:PQG5"/>
    <mergeCell ref="PPX4:PPX5"/>
    <mergeCell ref="PPY4:PPY5"/>
    <mergeCell ref="PPZ4:PPZ5"/>
    <mergeCell ref="PQA4:PQA5"/>
    <mergeCell ref="PQB4:PQB5"/>
    <mergeCell ref="PPS4:PPS5"/>
    <mergeCell ref="PPT4:PPT5"/>
    <mergeCell ref="PPU4:PPU5"/>
    <mergeCell ref="PPV4:PPV5"/>
    <mergeCell ref="PPW4:PPW5"/>
    <mergeCell ref="PPN4:PPN5"/>
    <mergeCell ref="PPO4:PPO5"/>
    <mergeCell ref="PPP4:PPP5"/>
    <mergeCell ref="PPQ4:PPQ5"/>
    <mergeCell ref="PPR4:PPR5"/>
    <mergeCell ref="PSA4:PSA5"/>
    <mergeCell ref="PSB4:PSB5"/>
    <mergeCell ref="PSC4:PSC5"/>
    <mergeCell ref="PSD4:PSD5"/>
    <mergeCell ref="PSE4:PSE5"/>
    <mergeCell ref="PRV4:PRV5"/>
    <mergeCell ref="PRW4:PRW5"/>
    <mergeCell ref="PRX4:PRX5"/>
    <mergeCell ref="PRY4:PRY5"/>
    <mergeCell ref="PRZ4:PRZ5"/>
    <mergeCell ref="PRQ4:PRQ5"/>
    <mergeCell ref="PRR4:PRR5"/>
    <mergeCell ref="PRS4:PRS5"/>
    <mergeCell ref="PRT4:PRT5"/>
    <mergeCell ref="PRU4:PRU5"/>
    <mergeCell ref="PRL4:PRL5"/>
    <mergeCell ref="PRM4:PRM5"/>
    <mergeCell ref="PRN4:PRN5"/>
    <mergeCell ref="PRO4:PRO5"/>
    <mergeCell ref="PRP4:PRP5"/>
    <mergeCell ref="PRG4:PRG5"/>
    <mergeCell ref="PRH4:PRH5"/>
    <mergeCell ref="PRI4:PRI5"/>
    <mergeCell ref="PRJ4:PRJ5"/>
    <mergeCell ref="PRK4:PRK5"/>
    <mergeCell ref="PRB4:PRB5"/>
    <mergeCell ref="PRC4:PRC5"/>
    <mergeCell ref="PRD4:PRD5"/>
    <mergeCell ref="PRE4:PRE5"/>
    <mergeCell ref="PRF4:PRF5"/>
    <mergeCell ref="PQW4:PQW5"/>
    <mergeCell ref="PQX4:PQX5"/>
    <mergeCell ref="PQY4:PQY5"/>
    <mergeCell ref="PQZ4:PQZ5"/>
    <mergeCell ref="PRA4:PRA5"/>
    <mergeCell ref="PTJ4:PTJ5"/>
    <mergeCell ref="PTK4:PTK5"/>
    <mergeCell ref="PTL4:PTL5"/>
    <mergeCell ref="PTM4:PTM5"/>
    <mergeCell ref="PTN4:PTN5"/>
    <mergeCell ref="PTE4:PTE5"/>
    <mergeCell ref="PTF4:PTF5"/>
    <mergeCell ref="PTG4:PTG5"/>
    <mergeCell ref="PTH4:PTH5"/>
    <mergeCell ref="PTI4:PTI5"/>
    <mergeCell ref="PSZ4:PSZ5"/>
    <mergeCell ref="PTA4:PTA5"/>
    <mergeCell ref="PTB4:PTB5"/>
    <mergeCell ref="PTC4:PTC5"/>
    <mergeCell ref="PTD4:PTD5"/>
    <mergeCell ref="PSU4:PSU5"/>
    <mergeCell ref="PSV4:PSV5"/>
    <mergeCell ref="PSW4:PSW5"/>
    <mergeCell ref="PSX4:PSX5"/>
    <mergeCell ref="PSY4:PSY5"/>
    <mergeCell ref="PSP4:PSP5"/>
    <mergeCell ref="PSQ4:PSQ5"/>
    <mergeCell ref="PSR4:PSR5"/>
    <mergeCell ref="PSS4:PSS5"/>
    <mergeCell ref="PST4:PST5"/>
    <mergeCell ref="PSK4:PSK5"/>
    <mergeCell ref="PSL4:PSL5"/>
    <mergeCell ref="PSM4:PSM5"/>
    <mergeCell ref="PSN4:PSN5"/>
    <mergeCell ref="PSO4:PSO5"/>
    <mergeCell ref="PSF4:PSF5"/>
    <mergeCell ref="PSG4:PSG5"/>
    <mergeCell ref="PSH4:PSH5"/>
    <mergeCell ref="PSI4:PSI5"/>
    <mergeCell ref="PSJ4:PSJ5"/>
    <mergeCell ref="PUS4:PUS5"/>
    <mergeCell ref="PUT4:PUT5"/>
    <mergeCell ref="PUU4:PUU5"/>
    <mergeCell ref="PUV4:PUV5"/>
    <mergeCell ref="PUW4:PUW5"/>
    <mergeCell ref="PUN4:PUN5"/>
    <mergeCell ref="PUO4:PUO5"/>
    <mergeCell ref="PUP4:PUP5"/>
    <mergeCell ref="PUQ4:PUQ5"/>
    <mergeCell ref="PUR4:PUR5"/>
    <mergeCell ref="PUI4:PUI5"/>
    <mergeCell ref="PUJ4:PUJ5"/>
    <mergeCell ref="PUK4:PUK5"/>
    <mergeCell ref="PUL4:PUL5"/>
    <mergeCell ref="PUM4:PUM5"/>
    <mergeCell ref="PUD4:PUD5"/>
    <mergeCell ref="PUE4:PUE5"/>
    <mergeCell ref="PUF4:PUF5"/>
    <mergeCell ref="PUG4:PUG5"/>
    <mergeCell ref="PUH4:PUH5"/>
    <mergeCell ref="PTY4:PTY5"/>
    <mergeCell ref="PTZ4:PTZ5"/>
    <mergeCell ref="PUA4:PUA5"/>
    <mergeCell ref="PUB4:PUB5"/>
    <mergeCell ref="PUC4:PUC5"/>
    <mergeCell ref="PTT4:PTT5"/>
    <mergeCell ref="PTU4:PTU5"/>
    <mergeCell ref="PTV4:PTV5"/>
    <mergeCell ref="PTW4:PTW5"/>
    <mergeCell ref="PTX4:PTX5"/>
    <mergeCell ref="PTO4:PTO5"/>
    <mergeCell ref="PTP4:PTP5"/>
    <mergeCell ref="PTQ4:PTQ5"/>
    <mergeCell ref="PTR4:PTR5"/>
    <mergeCell ref="PTS4:PTS5"/>
    <mergeCell ref="PWB4:PWB5"/>
    <mergeCell ref="PWC4:PWC5"/>
    <mergeCell ref="PWD4:PWD5"/>
    <mergeCell ref="PWE4:PWE5"/>
    <mergeCell ref="PWF4:PWF5"/>
    <mergeCell ref="PVW4:PVW5"/>
    <mergeCell ref="PVX4:PVX5"/>
    <mergeCell ref="PVY4:PVY5"/>
    <mergeCell ref="PVZ4:PVZ5"/>
    <mergeCell ref="PWA4:PWA5"/>
    <mergeCell ref="PVR4:PVR5"/>
    <mergeCell ref="PVS4:PVS5"/>
    <mergeCell ref="PVT4:PVT5"/>
    <mergeCell ref="PVU4:PVU5"/>
    <mergeCell ref="PVV4:PVV5"/>
    <mergeCell ref="PVM4:PVM5"/>
    <mergeCell ref="PVN4:PVN5"/>
    <mergeCell ref="PVO4:PVO5"/>
    <mergeCell ref="PVP4:PVP5"/>
    <mergeCell ref="PVQ4:PVQ5"/>
    <mergeCell ref="PVH4:PVH5"/>
    <mergeCell ref="PVI4:PVI5"/>
    <mergeCell ref="PVJ4:PVJ5"/>
    <mergeCell ref="PVK4:PVK5"/>
    <mergeCell ref="PVL4:PVL5"/>
    <mergeCell ref="PVC4:PVC5"/>
    <mergeCell ref="PVD4:PVD5"/>
    <mergeCell ref="PVE4:PVE5"/>
    <mergeCell ref="PVF4:PVF5"/>
    <mergeCell ref="PVG4:PVG5"/>
    <mergeCell ref="PUX4:PUX5"/>
    <mergeCell ref="PUY4:PUY5"/>
    <mergeCell ref="PUZ4:PUZ5"/>
    <mergeCell ref="PVA4:PVA5"/>
    <mergeCell ref="PVB4:PVB5"/>
    <mergeCell ref="PXK4:PXK5"/>
    <mergeCell ref="PXL4:PXL5"/>
    <mergeCell ref="PXM4:PXM5"/>
    <mergeCell ref="PXN4:PXN5"/>
    <mergeCell ref="PXO4:PXO5"/>
    <mergeCell ref="PXF4:PXF5"/>
    <mergeCell ref="PXG4:PXG5"/>
    <mergeCell ref="PXH4:PXH5"/>
    <mergeCell ref="PXI4:PXI5"/>
    <mergeCell ref="PXJ4:PXJ5"/>
    <mergeCell ref="PXA4:PXA5"/>
    <mergeCell ref="PXB4:PXB5"/>
    <mergeCell ref="PXC4:PXC5"/>
    <mergeCell ref="PXD4:PXD5"/>
    <mergeCell ref="PXE4:PXE5"/>
    <mergeCell ref="PWV4:PWV5"/>
    <mergeCell ref="PWW4:PWW5"/>
    <mergeCell ref="PWX4:PWX5"/>
    <mergeCell ref="PWY4:PWY5"/>
    <mergeCell ref="PWZ4:PWZ5"/>
    <mergeCell ref="PWQ4:PWQ5"/>
    <mergeCell ref="PWR4:PWR5"/>
    <mergeCell ref="PWS4:PWS5"/>
    <mergeCell ref="PWT4:PWT5"/>
    <mergeCell ref="PWU4:PWU5"/>
    <mergeCell ref="PWL4:PWL5"/>
    <mergeCell ref="PWM4:PWM5"/>
    <mergeCell ref="PWN4:PWN5"/>
    <mergeCell ref="PWO4:PWO5"/>
    <mergeCell ref="PWP4:PWP5"/>
    <mergeCell ref="PWG4:PWG5"/>
    <mergeCell ref="PWH4:PWH5"/>
    <mergeCell ref="PWI4:PWI5"/>
    <mergeCell ref="PWJ4:PWJ5"/>
    <mergeCell ref="PWK4:PWK5"/>
    <mergeCell ref="PYT4:PYT5"/>
    <mergeCell ref="PYU4:PYU5"/>
    <mergeCell ref="PYV4:PYV5"/>
    <mergeCell ref="PYW4:PYW5"/>
    <mergeCell ref="PYX4:PYX5"/>
    <mergeCell ref="PYO4:PYO5"/>
    <mergeCell ref="PYP4:PYP5"/>
    <mergeCell ref="PYQ4:PYQ5"/>
    <mergeCell ref="PYR4:PYR5"/>
    <mergeCell ref="PYS4:PYS5"/>
    <mergeCell ref="PYJ4:PYJ5"/>
    <mergeCell ref="PYK4:PYK5"/>
    <mergeCell ref="PYL4:PYL5"/>
    <mergeCell ref="PYM4:PYM5"/>
    <mergeCell ref="PYN4:PYN5"/>
    <mergeCell ref="PYE4:PYE5"/>
    <mergeCell ref="PYF4:PYF5"/>
    <mergeCell ref="PYG4:PYG5"/>
    <mergeCell ref="PYH4:PYH5"/>
    <mergeCell ref="PYI4:PYI5"/>
    <mergeCell ref="PXZ4:PXZ5"/>
    <mergeCell ref="PYA4:PYA5"/>
    <mergeCell ref="PYB4:PYB5"/>
    <mergeCell ref="PYC4:PYC5"/>
    <mergeCell ref="PYD4:PYD5"/>
    <mergeCell ref="PXU4:PXU5"/>
    <mergeCell ref="PXV4:PXV5"/>
    <mergeCell ref="PXW4:PXW5"/>
    <mergeCell ref="PXX4:PXX5"/>
    <mergeCell ref="PXY4:PXY5"/>
    <mergeCell ref="PXP4:PXP5"/>
    <mergeCell ref="PXQ4:PXQ5"/>
    <mergeCell ref="PXR4:PXR5"/>
    <mergeCell ref="PXS4:PXS5"/>
    <mergeCell ref="PXT4:PXT5"/>
    <mergeCell ref="QAC4:QAC5"/>
    <mergeCell ref="QAD4:QAD5"/>
    <mergeCell ref="QAE4:QAE5"/>
    <mergeCell ref="QAF4:QAF5"/>
    <mergeCell ref="QAG4:QAG5"/>
    <mergeCell ref="PZX4:PZX5"/>
    <mergeCell ref="PZY4:PZY5"/>
    <mergeCell ref="PZZ4:PZZ5"/>
    <mergeCell ref="QAA4:QAA5"/>
    <mergeCell ref="QAB4:QAB5"/>
    <mergeCell ref="PZS4:PZS5"/>
    <mergeCell ref="PZT4:PZT5"/>
    <mergeCell ref="PZU4:PZU5"/>
    <mergeCell ref="PZV4:PZV5"/>
    <mergeCell ref="PZW4:PZW5"/>
    <mergeCell ref="PZN4:PZN5"/>
    <mergeCell ref="PZO4:PZO5"/>
    <mergeCell ref="PZP4:PZP5"/>
    <mergeCell ref="PZQ4:PZQ5"/>
    <mergeCell ref="PZR4:PZR5"/>
    <mergeCell ref="PZI4:PZI5"/>
    <mergeCell ref="PZJ4:PZJ5"/>
    <mergeCell ref="PZK4:PZK5"/>
    <mergeCell ref="PZL4:PZL5"/>
    <mergeCell ref="PZM4:PZM5"/>
    <mergeCell ref="PZD4:PZD5"/>
    <mergeCell ref="PZE4:PZE5"/>
    <mergeCell ref="PZF4:PZF5"/>
    <mergeCell ref="PZG4:PZG5"/>
    <mergeCell ref="PZH4:PZH5"/>
    <mergeCell ref="PYY4:PYY5"/>
    <mergeCell ref="PYZ4:PYZ5"/>
    <mergeCell ref="PZA4:PZA5"/>
    <mergeCell ref="PZB4:PZB5"/>
    <mergeCell ref="PZC4:PZC5"/>
    <mergeCell ref="QBL4:QBL5"/>
    <mergeCell ref="QBM4:QBM5"/>
    <mergeCell ref="QBN4:QBN5"/>
    <mergeCell ref="QBO4:QBO5"/>
    <mergeCell ref="QBP4:QBP5"/>
    <mergeCell ref="QBG4:QBG5"/>
    <mergeCell ref="QBH4:QBH5"/>
    <mergeCell ref="QBI4:QBI5"/>
    <mergeCell ref="QBJ4:QBJ5"/>
    <mergeCell ref="QBK4:QBK5"/>
    <mergeCell ref="QBB4:QBB5"/>
    <mergeCell ref="QBC4:QBC5"/>
    <mergeCell ref="QBD4:QBD5"/>
    <mergeCell ref="QBE4:QBE5"/>
    <mergeCell ref="QBF4:QBF5"/>
    <mergeCell ref="QAW4:QAW5"/>
    <mergeCell ref="QAX4:QAX5"/>
    <mergeCell ref="QAY4:QAY5"/>
    <mergeCell ref="QAZ4:QAZ5"/>
    <mergeCell ref="QBA4:QBA5"/>
    <mergeCell ref="QAR4:QAR5"/>
    <mergeCell ref="QAS4:QAS5"/>
    <mergeCell ref="QAT4:QAT5"/>
    <mergeCell ref="QAU4:QAU5"/>
    <mergeCell ref="QAV4:QAV5"/>
    <mergeCell ref="QAM4:QAM5"/>
    <mergeCell ref="QAN4:QAN5"/>
    <mergeCell ref="QAO4:QAO5"/>
    <mergeCell ref="QAP4:QAP5"/>
    <mergeCell ref="QAQ4:QAQ5"/>
    <mergeCell ref="QAH4:QAH5"/>
    <mergeCell ref="QAI4:QAI5"/>
    <mergeCell ref="QAJ4:QAJ5"/>
    <mergeCell ref="QAK4:QAK5"/>
    <mergeCell ref="QAL4:QAL5"/>
    <mergeCell ref="QCU4:QCU5"/>
    <mergeCell ref="QCV4:QCV5"/>
    <mergeCell ref="QCW4:QCW5"/>
    <mergeCell ref="QCX4:QCX5"/>
    <mergeCell ref="QCY4:QCY5"/>
    <mergeCell ref="QCP4:QCP5"/>
    <mergeCell ref="QCQ4:QCQ5"/>
    <mergeCell ref="QCR4:QCR5"/>
    <mergeCell ref="QCS4:QCS5"/>
    <mergeCell ref="QCT4:QCT5"/>
    <mergeCell ref="QCK4:QCK5"/>
    <mergeCell ref="QCL4:QCL5"/>
    <mergeCell ref="QCM4:QCM5"/>
    <mergeCell ref="QCN4:QCN5"/>
    <mergeCell ref="QCO4:QCO5"/>
    <mergeCell ref="QCF4:QCF5"/>
    <mergeCell ref="QCG4:QCG5"/>
    <mergeCell ref="QCH4:QCH5"/>
    <mergeCell ref="QCI4:QCI5"/>
    <mergeCell ref="QCJ4:QCJ5"/>
    <mergeCell ref="QCA4:QCA5"/>
    <mergeCell ref="QCB4:QCB5"/>
    <mergeCell ref="QCC4:QCC5"/>
    <mergeCell ref="QCD4:QCD5"/>
    <mergeCell ref="QCE4:QCE5"/>
    <mergeCell ref="QBV4:QBV5"/>
    <mergeCell ref="QBW4:QBW5"/>
    <mergeCell ref="QBX4:QBX5"/>
    <mergeCell ref="QBY4:QBY5"/>
    <mergeCell ref="QBZ4:QBZ5"/>
    <mergeCell ref="QBQ4:QBQ5"/>
    <mergeCell ref="QBR4:QBR5"/>
    <mergeCell ref="QBS4:QBS5"/>
    <mergeCell ref="QBT4:QBT5"/>
    <mergeCell ref="QBU4:QBU5"/>
    <mergeCell ref="QED4:QED5"/>
    <mergeCell ref="QEE4:QEE5"/>
    <mergeCell ref="QEF4:QEF5"/>
    <mergeCell ref="QEG4:QEG5"/>
    <mergeCell ref="QEH4:QEH5"/>
    <mergeCell ref="QDY4:QDY5"/>
    <mergeCell ref="QDZ4:QDZ5"/>
    <mergeCell ref="QEA4:QEA5"/>
    <mergeCell ref="QEB4:QEB5"/>
    <mergeCell ref="QEC4:QEC5"/>
    <mergeCell ref="QDT4:QDT5"/>
    <mergeCell ref="QDU4:QDU5"/>
    <mergeCell ref="QDV4:QDV5"/>
    <mergeCell ref="QDW4:QDW5"/>
    <mergeCell ref="QDX4:QDX5"/>
    <mergeCell ref="QDO4:QDO5"/>
    <mergeCell ref="QDP4:QDP5"/>
    <mergeCell ref="QDQ4:QDQ5"/>
    <mergeCell ref="QDR4:QDR5"/>
    <mergeCell ref="QDS4:QDS5"/>
    <mergeCell ref="QDJ4:QDJ5"/>
    <mergeCell ref="QDK4:QDK5"/>
    <mergeCell ref="QDL4:QDL5"/>
    <mergeCell ref="QDM4:QDM5"/>
    <mergeCell ref="QDN4:QDN5"/>
    <mergeCell ref="QDE4:QDE5"/>
    <mergeCell ref="QDF4:QDF5"/>
    <mergeCell ref="QDG4:QDG5"/>
    <mergeCell ref="QDH4:QDH5"/>
    <mergeCell ref="QDI4:QDI5"/>
    <mergeCell ref="QCZ4:QCZ5"/>
    <mergeCell ref="QDA4:QDA5"/>
    <mergeCell ref="QDB4:QDB5"/>
    <mergeCell ref="QDC4:QDC5"/>
    <mergeCell ref="QDD4:QDD5"/>
    <mergeCell ref="QFM4:QFM5"/>
    <mergeCell ref="QFN4:QFN5"/>
    <mergeCell ref="QFO4:QFO5"/>
    <mergeCell ref="QFP4:QFP5"/>
    <mergeCell ref="QFQ4:QFQ5"/>
    <mergeCell ref="QFH4:QFH5"/>
    <mergeCell ref="QFI4:QFI5"/>
    <mergeCell ref="QFJ4:QFJ5"/>
    <mergeCell ref="QFK4:QFK5"/>
    <mergeCell ref="QFL4:QFL5"/>
    <mergeCell ref="QFC4:QFC5"/>
    <mergeCell ref="QFD4:QFD5"/>
    <mergeCell ref="QFE4:QFE5"/>
    <mergeCell ref="QFF4:QFF5"/>
    <mergeCell ref="QFG4:QFG5"/>
    <mergeCell ref="QEX4:QEX5"/>
    <mergeCell ref="QEY4:QEY5"/>
    <mergeCell ref="QEZ4:QEZ5"/>
    <mergeCell ref="QFA4:QFA5"/>
    <mergeCell ref="QFB4:QFB5"/>
    <mergeCell ref="QES4:QES5"/>
    <mergeCell ref="QET4:QET5"/>
    <mergeCell ref="QEU4:QEU5"/>
    <mergeCell ref="QEV4:QEV5"/>
    <mergeCell ref="QEW4:QEW5"/>
    <mergeCell ref="QEN4:QEN5"/>
    <mergeCell ref="QEO4:QEO5"/>
    <mergeCell ref="QEP4:QEP5"/>
    <mergeCell ref="QEQ4:QEQ5"/>
    <mergeCell ref="QER4:QER5"/>
    <mergeCell ref="QEI4:QEI5"/>
    <mergeCell ref="QEJ4:QEJ5"/>
    <mergeCell ref="QEK4:QEK5"/>
    <mergeCell ref="QEL4:QEL5"/>
    <mergeCell ref="QEM4:QEM5"/>
    <mergeCell ref="QGV4:QGV5"/>
    <mergeCell ref="QGW4:QGW5"/>
    <mergeCell ref="QGX4:QGX5"/>
    <mergeCell ref="QGY4:QGY5"/>
    <mergeCell ref="QGZ4:QGZ5"/>
    <mergeCell ref="QGQ4:QGQ5"/>
    <mergeCell ref="QGR4:QGR5"/>
    <mergeCell ref="QGS4:QGS5"/>
    <mergeCell ref="QGT4:QGT5"/>
    <mergeCell ref="QGU4:QGU5"/>
    <mergeCell ref="QGL4:QGL5"/>
    <mergeCell ref="QGM4:QGM5"/>
    <mergeCell ref="QGN4:QGN5"/>
    <mergeCell ref="QGO4:QGO5"/>
    <mergeCell ref="QGP4:QGP5"/>
    <mergeCell ref="QGG4:QGG5"/>
    <mergeCell ref="QGH4:QGH5"/>
    <mergeCell ref="QGI4:QGI5"/>
    <mergeCell ref="QGJ4:QGJ5"/>
    <mergeCell ref="QGK4:QGK5"/>
    <mergeCell ref="QGB4:QGB5"/>
    <mergeCell ref="QGC4:QGC5"/>
    <mergeCell ref="QGD4:QGD5"/>
    <mergeCell ref="QGE4:QGE5"/>
    <mergeCell ref="QGF4:QGF5"/>
    <mergeCell ref="QFW4:QFW5"/>
    <mergeCell ref="QFX4:QFX5"/>
    <mergeCell ref="QFY4:QFY5"/>
    <mergeCell ref="QFZ4:QFZ5"/>
    <mergeCell ref="QGA4:QGA5"/>
    <mergeCell ref="QFR4:QFR5"/>
    <mergeCell ref="QFS4:QFS5"/>
    <mergeCell ref="QFT4:QFT5"/>
    <mergeCell ref="QFU4:QFU5"/>
    <mergeCell ref="QFV4:QFV5"/>
    <mergeCell ref="QIE4:QIE5"/>
    <mergeCell ref="QIF4:QIF5"/>
    <mergeCell ref="QIG4:QIG5"/>
    <mergeCell ref="QIH4:QIH5"/>
    <mergeCell ref="QII4:QII5"/>
    <mergeCell ref="QHZ4:QHZ5"/>
    <mergeCell ref="QIA4:QIA5"/>
    <mergeCell ref="QIB4:QIB5"/>
    <mergeCell ref="QIC4:QIC5"/>
    <mergeCell ref="QID4:QID5"/>
    <mergeCell ref="QHU4:QHU5"/>
    <mergeCell ref="QHV4:QHV5"/>
    <mergeCell ref="QHW4:QHW5"/>
    <mergeCell ref="QHX4:QHX5"/>
    <mergeCell ref="QHY4:QHY5"/>
    <mergeCell ref="QHP4:QHP5"/>
    <mergeCell ref="QHQ4:QHQ5"/>
    <mergeCell ref="QHR4:QHR5"/>
    <mergeCell ref="QHS4:QHS5"/>
    <mergeCell ref="QHT4:QHT5"/>
    <mergeCell ref="QHK4:QHK5"/>
    <mergeCell ref="QHL4:QHL5"/>
    <mergeCell ref="QHM4:QHM5"/>
    <mergeCell ref="QHN4:QHN5"/>
    <mergeCell ref="QHO4:QHO5"/>
    <mergeCell ref="QHF4:QHF5"/>
    <mergeCell ref="QHG4:QHG5"/>
    <mergeCell ref="QHH4:QHH5"/>
    <mergeCell ref="QHI4:QHI5"/>
    <mergeCell ref="QHJ4:QHJ5"/>
    <mergeCell ref="QHA4:QHA5"/>
    <mergeCell ref="QHB4:QHB5"/>
    <mergeCell ref="QHC4:QHC5"/>
    <mergeCell ref="QHD4:QHD5"/>
    <mergeCell ref="QHE4:QHE5"/>
    <mergeCell ref="QJN4:QJN5"/>
    <mergeCell ref="QJO4:QJO5"/>
    <mergeCell ref="QJP4:QJP5"/>
    <mergeCell ref="QJQ4:QJQ5"/>
    <mergeCell ref="QJR4:QJR5"/>
    <mergeCell ref="QJI4:QJI5"/>
    <mergeCell ref="QJJ4:QJJ5"/>
    <mergeCell ref="QJK4:QJK5"/>
    <mergeCell ref="QJL4:QJL5"/>
    <mergeCell ref="QJM4:QJM5"/>
    <mergeCell ref="QJD4:QJD5"/>
    <mergeCell ref="QJE4:QJE5"/>
    <mergeCell ref="QJF4:QJF5"/>
    <mergeCell ref="QJG4:QJG5"/>
    <mergeCell ref="QJH4:QJH5"/>
    <mergeCell ref="QIY4:QIY5"/>
    <mergeCell ref="QIZ4:QIZ5"/>
    <mergeCell ref="QJA4:QJA5"/>
    <mergeCell ref="QJB4:QJB5"/>
    <mergeCell ref="QJC4:QJC5"/>
    <mergeCell ref="QIT4:QIT5"/>
    <mergeCell ref="QIU4:QIU5"/>
    <mergeCell ref="QIV4:QIV5"/>
    <mergeCell ref="QIW4:QIW5"/>
    <mergeCell ref="QIX4:QIX5"/>
    <mergeCell ref="QIO4:QIO5"/>
    <mergeCell ref="QIP4:QIP5"/>
    <mergeCell ref="QIQ4:QIQ5"/>
    <mergeCell ref="QIR4:QIR5"/>
    <mergeCell ref="QIS4:QIS5"/>
    <mergeCell ref="QIJ4:QIJ5"/>
    <mergeCell ref="QIK4:QIK5"/>
    <mergeCell ref="QIL4:QIL5"/>
    <mergeCell ref="QIM4:QIM5"/>
    <mergeCell ref="QIN4:QIN5"/>
    <mergeCell ref="QKW4:QKW5"/>
    <mergeCell ref="QKX4:QKX5"/>
    <mergeCell ref="QKY4:QKY5"/>
    <mergeCell ref="QKZ4:QKZ5"/>
    <mergeCell ref="QLA4:QLA5"/>
    <mergeCell ref="QKR4:QKR5"/>
    <mergeCell ref="QKS4:QKS5"/>
    <mergeCell ref="QKT4:QKT5"/>
    <mergeCell ref="QKU4:QKU5"/>
    <mergeCell ref="QKV4:QKV5"/>
    <mergeCell ref="QKM4:QKM5"/>
    <mergeCell ref="QKN4:QKN5"/>
    <mergeCell ref="QKO4:QKO5"/>
    <mergeCell ref="QKP4:QKP5"/>
    <mergeCell ref="QKQ4:QKQ5"/>
    <mergeCell ref="QKH4:QKH5"/>
    <mergeCell ref="QKI4:QKI5"/>
    <mergeCell ref="QKJ4:QKJ5"/>
    <mergeCell ref="QKK4:QKK5"/>
    <mergeCell ref="QKL4:QKL5"/>
    <mergeCell ref="QKC4:QKC5"/>
    <mergeCell ref="QKD4:QKD5"/>
    <mergeCell ref="QKE4:QKE5"/>
    <mergeCell ref="QKF4:QKF5"/>
    <mergeCell ref="QKG4:QKG5"/>
    <mergeCell ref="QJX4:QJX5"/>
    <mergeCell ref="QJY4:QJY5"/>
    <mergeCell ref="QJZ4:QJZ5"/>
    <mergeCell ref="QKA4:QKA5"/>
    <mergeCell ref="QKB4:QKB5"/>
    <mergeCell ref="QJS4:QJS5"/>
    <mergeCell ref="QJT4:QJT5"/>
    <mergeCell ref="QJU4:QJU5"/>
    <mergeCell ref="QJV4:QJV5"/>
    <mergeCell ref="QJW4:QJW5"/>
    <mergeCell ref="QMF4:QMF5"/>
    <mergeCell ref="QMG4:QMG5"/>
    <mergeCell ref="QMH4:QMH5"/>
    <mergeCell ref="QMI4:QMI5"/>
    <mergeCell ref="QMJ4:QMJ5"/>
    <mergeCell ref="QMA4:QMA5"/>
    <mergeCell ref="QMB4:QMB5"/>
    <mergeCell ref="QMC4:QMC5"/>
    <mergeCell ref="QMD4:QMD5"/>
    <mergeCell ref="QME4:QME5"/>
    <mergeCell ref="QLV4:QLV5"/>
    <mergeCell ref="QLW4:QLW5"/>
    <mergeCell ref="QLX4:QLX5"/>
    <mergeCell ref="QLY4:QLY5"/>
    <mergeCell ref="QLZ4:QLZ5"/>
    <mergeCell ref="QLQ4:QLQ5"/>
    <mergeCell ref="QLR4:QLR5"/>
    <mergeCell ref="QLS4:QLS5"/>
    <mergeCell ref="QLT4:QLT5"/>
    <mergeCell ref="QLU4:QLU5"/>
    <mergeCell ref="QLL4:QLL5"/>
    <mergeCell ref="QLM4:QLM5"/>
    <mergeCell ref="QLN4:QLN5"/>
    <mergeCell ref="QLO4:QLO5"/>
    <mergeCell ref="QLP4:QLP5"/>
    <mergeCell ref="QLG4:QLG5"/>
    <mergeCell ref="QLH4:QLH5"/>
    <mergeCell ref="QLI4:QLI5"/>
    <mergeCell ref="QLJ4:QLJ5"/>
    <mergeCell ref="QLK4:QLK5"/>
    <mergeCell ref="QLB4:QLB5"/>
    <mergeCell ref="QLC4:QLC5"/>
    <mergeCell ref="QLD4:QLD5"/>
    <mergeCell ref="QLE4:QLE5"/>
    <mergeCell ref="QLF4:QLF5"/>
    <mergeCell ref="QNO4:QNO5"/>
    <mergeCell ref="QNP4:QNP5"/>
    <mergeCell ref="QNQ4:QNQ5"/>
    <mergeCell ref="QNR4:QNR5"/>
    <mergeCell ref="QNS4:QNS5"/>
    <mergeCell ref="QNJ4:QNJ5"/>
    <mergeCell ref="QNK4:QNK5"/>
    <mergeCell ref="QNL4:QNL5"/>
    <mergeCell ref="QNM4:QNM5"/>
    <mergeCell ref="QNN4:QNN5"/>
    <mergeCell ref="QNE4:QNE5"/>
    <mergeCell ref="QNF4:QNF5"/>
    <mergeCell ref="QNG4:QNG5"/>
    <mergeCell ref="QNH4:QNH5"/>
    <mergeCell ref="QNI4:QNI5"/>
    <mergeCell ref="QMZ4:QMZ5"/>
    <mergeCell ref="QNA4:QNA5"/>
    <mergeCell ref="QNB4:QNB5"/>
    <mergeCell ref="QNC4:QNC5"/>
    <mergeCell ref="QND4:QND5"/>
    <mergeCell ref="QMU4:QMU5"/>
    <mergeCell ref="QMV4:QMV5"/>
    <mergeCell ref="QMW4:QMW5"/>
    <mergeCell ref="QMX4:QMX5"/>
    <mergeCell ref="QMY4:QMY5"/>
    <mergeCell ref="QMP4:QMP5"/>
    <mergeCell ref="QMQ4:QMQ5"/>
    <mergeCell ref="QMR4:QMR5"/>
    <mergeCell ref="QMS4:QMS5"/>
    <mergeCell ref="QMT4:QMT5"/>
    <mergeCell ref="QMK4:QMK5"/>
    <mergeCell ref="QML4:QML5"/>
    <mergeCell ref="QMM4:QMM5"/>
    <mergeCell ref="QMN4:QMN5"/>
    <mergeCell ref="QMO4:QMO5"/>
    <mergeCell ref="QOX4:QOX5"/>
    <mergeCell ref="QOY4:QOY5"/>
    <mergeCell ref="QOZ4:QOZ5"/>
    <mergeCell ref="QPA4:QPA5"/>
    <mergeCell ref="QPB4:QPB5"/>
    <mergeCell ref="QOS4:QOS5"/>
    <mergeCell ref="QOT4:QOT5"/>
    <mergeCell ref="QOU4:QOU5"/>
    <mergeCell ref="QOV4:QOV5"/>
    <mergeCell ref="QOW4:QOW5"/>
    <mergeCell ref="QON4:QON5"/>
    <mergeCell ref="QOO4:QOO5"/>
    <mergeCell ref="QOP4:QOP5"/>
    <mergeCell ref="QOQ4:QOQ5"/>
    <mergeCell ref="QOR4:QOR5"/>
    <mergeCell ref="QOI4:QOI5"/>
    <mergeCell ref="QOJ4:QOJ5"/>
    <mergeCell ref="QOK4:QOK5"/>
    <mergeCell ref="QOL4:QOL5"/>
    <mergeCell ref="QOM4:QOM5"/>
    <mergeCell ref="QOD4:QOD5"/>
    <mergeCell ref="QOE4:QOE5"/>
    <mergeCell ref="QOF4:QOF5"/>
    <mergeCell ref="QOG4:QOG5"/>
    <mergeCell ref="QOH4:QOH5"/>
    <mergeCell ref="QNY4:QNY5"/>
    <mergeCell ref="QNZ4:QNZ5"/>
    <mergeCell ref="QOA4:QOA5"/>
    <mergeCell ref="QOB4:QOB5"/>
    <mergeCell ref="QOC4:QOC5"/>
    <mergeCell ref="QNT4:QNT5"/>
    <mergeCell ref="QNU4:QNU5"/>
    <mergeCell ref="QNV4:QNV5"/>
    <mergeCell ref="QNW4:QNW5"/>
    <mergeCell ref="QNX4:QNX5"/>
    <mergeCell ref="QQG4:QQG5"/>
    <mergeCell ref="QQH4:QQH5"/>
    <mergeCell ref="QQI4:QQI5"/>
    <mergeCell ref="QQJ4:QQJ5"/>
    <mergeCell ref="QQK4:QQK5"/>
    <mergeCell ref="QQB4:QQB5"/>
    <mergeCell ref="QQC4:QQC5"/>
    <mergeCell ref="QQD4:QQD5"/>
    <mergeCell ref="QQE4:QQE5"/>
    <mergeCell ref="QQF4:QQF5"/>
    <mergeCell ref="QPW4:QPW5"/>
    <mergeCell ref="QPX4:QPX5"/>
    <mergeCell ref="QPY4:QPY5"/>
    <mergeCell ref="QPZ4:QPZ5"/>
    <mergeCell ref="QQA4:QQA5"/>
    <mergeCell ref="QPR4:QPR5"/>
    <mergeCell ref="QPS4:QPS5"/>
    <mergeCell ref="QPT4:QPT5"/>
    <mergeCell ref="QPU4:QPU5"/>
    <mergeCell ref="QPV4:QPV5"/>
    <mergeCell ref="QPM4:QPM5"/>
    <mergeCell ref="QPN4:QPN5"/>
    <mergeCell ref="QPO4:QPO5"/>
    <mergeCell ref="QPP4:QPP5"/>
    <mergeCell ref="QPQ4:QPQ5"/>
    <mergeCell ref="QPH4:QPH5"/>
    <mergeCell ref="QPI4:QPI5"/>
    <mergeCell ref="QPJ4:QPJ5"/>
    <mergeCell ref="QPK4:QPK5"/>
    <mergeCell ref="QPL4:QPL5"/>
    <mergeCell ref="QPC4:QPC5"/>
    <mergeCell ref="QPD4:QPD5"/>
    <mergeCell ref="QPE4:QPE5"/>
    <mergeCell ref="QPF4:QPF5"/>
    <mergeCell ref="QPG4:QPG5"/>
    <mergeCell ref="QRP4:QRP5"/>
    <mergeCell ref="QRQ4:QRQ5"/>
    <mergeCell ref="QRR4:QRR5"/>
    <mergeCell ref="QRS4:QRS5"/>
    <mergeCell ref="QRT4:QRT5"/>
    <mergeCell ref="QRK4:QRK5"/>
    <mergeCell ref="QRL4:QRL5"/>
    <mergeCell ref="QRM4:QRM5"/>
    <mergeCell ref="QRN4:QRN5"/>
    <mergeCell ref="QRO4:QRO5"/>
    <mergeCell ref="QRF4:QRF5"/>
    <mergeCell ref="QRG4:QRG5"/>
    <mergeCell ref="QRH4:QRH5"/>
    <mergeCell ref="QRI4:QRI5"/>
    <mergeCell ref="QRJ4:QRJ5"/>
    <mergeCell ref="QRA4:QRA5"/>
    <mergeCell ref="QRB4:QRB5"/>
    <mergeCell ref="QRC4:QRC5"/>
    <mergeCell ref="QRD4:QRD5"/>
    <mergeCell ref="QRE4:QRE5"/>
    <mergeCell ref="QQV4:QQV5"/>
    <mergeCell ref="QQW4:QQW5"/>
    <mergeCell ref="QQX4:QQX5"/>
    <mergeCell ref="QQY4:QQY5"/>
    <mergeCell ref="QQZ4:QQZ5"/>
    <mergeCell ref="QQQ4:QQQ5"/>
    <mergeCell ref="QQR4:QQR5"/>
    <mergeCell ref="QQS4:QQS5"/>
    <mergeCell ref="QQT4:QQT5"/>
    <mergeCell ref="QQU4:QQU5"/>
    <mergeCell ref="QQL4:QQL5"/>
    <mergeCell ref="QQM4:QQM5"/>
    <mergeCell ref="QQN4:QQN5"/>
    <mergeCell ref="QQO4:QQO5"/>
    <mergeCell ref="QQP4:QQP5"/>
    <mergeCell ref="QSY4:QSY5"/>
    <mergeCell ref="QSZ4:QSZ5"/>
    <mergeCell ref="QTA4:QTA5"/>
    <mergeCell ref="QTB4:QTB5"/>
    <mergeCell ref="QTC4:QTC5"/>
    <mergeCell ref="QST4:QST5"/>
    <mergeCell ref="QSU4:QSU5"/>
    <mergeCell ref="QSV4:QSV5"/>
    <mergeCell ref="QSW4:QSW5"/>
    <mergeCell ref="QSX4:QSX5"/>
    <mergeCell ref="QSO4:QSO5"/>
    <mergeCell ref="QSP4:QSP5"/>
    <mergeCell ref="QSQ4:QSQ5"/>
    <mergeCell ref="QSR4:QSR5"/>
    <mergeCell ref="QSS4:QSS5"/>
    <mergeCell ref="QSJ4:QSJ5"/>
    <mergeCell ref="QSK4:QSK5"/>
    <mergeCell ref="QSL4:QSL5"/>
    <mergeCell ref="QSM4:QSM5"/>
    <mergeCell ref="QSN4:QSN5"/>
    <mergeCell ref="QSE4:QSE5"/>
    <mergeCell ref="QSF4:QSF5"/>
    <mergeCell ref="QSG4:QSG5"/>
    <mergeCell ref="QSH4:QSH5"/>
    <mergeCell ref="QSI4:QSI5"/>
    <mergeCell ref="QRZ4:QRZ5"/>
    <mergeCell ref="QSA4:QSA5"/>
    <mergeCell ref="QSB4:QSB5"/>
    <mergeCell ref="QSC4:QSC5"/>
    <mergeCell ref="QSD4:QSD5"/>
    <mergeCell ref="QRU4:QRU5"/>
    <mergeCell ref="QRV4:QRV5"/>
    <mergeCell ref="QRW4:QRW5"/>
    <mergeCell ref="QRX4:QRX5"/>
    <mergeCell ref="QRY4:QRY5"/>
    <mergeCell ref="QUH4:QUH5"/>
    <mergeCell ref="QUI4:QUI5"/>
    <mergeCell ref="QUJ4:QUJ5"/>
    <mergeCell ref="QUK4:QUK5"/>
    <mergeCell ref="QUL4:QUL5"/>
    <mergeCell ref="QUC4:QUC5"/>
    <mergeCell ref="QUD4:QUD5"/>
    <mergeCell ref="QUE4:QUE5"/>
    <mergeCell ref="QUF4:QUF5"/>
    <mergeCell ref="QUG4:QUG5"/>
    <mergeCell ref="QTX4:QTX5"/>
    <mergeCell ref="QTY4:QTY5"/>
    <mergeCell ref="QTZ4:QTZ5"/>
    <mergeCell ref="QUA4:QUA5"/>
    <mergeCell ref="QUB4:QUB5"/>
    <mergeCell ref="QTS4:QTS5"/>
    <mergeCell ref="QTT4:QTT5"/>
    <mergeCell ref="QTU4:QTU5"/>
    <mergeCell ref="QTV4:QTV5"/>
    <mergeCell ref="QTW4:QTW5"/>
    <mergeCell ref="QTN4:QTN5"/>
    <mergeCell ref="QTO4:QTO5"/>
    <mergeCell ref="QTP4:QTP5"/>
    <mergeCell ref="QTQ4:QTQ5"/>
    <mergeCell ref="QTR4:QTR5"/>
    <mergeCell ref="QTI4:QTI5"/>
    <mergeCell ref="QTJ4:QTJ5"/>
    <mergeCell ref="QTK4:QTK5"/>
    <mergeCell ref="QTL4:QTL5"/>
    <mergeCell ref="QTM4:QTM5"/>
    <mergeCell ref="QTD4:QTD5"/>
    <mergeCell ref="QTE4:QTE5"/>
    <mergeCell ref="QTF4:QTF5"/>
    <mergeCell ref="QTG4:QTG5"/>
    <mergeCell ref="QTH4:QTH5"/>
    <mergeCell ref="QVQ4:QVQ5"/>
    <mergeCell ref="QVR4:QVR5"/>
    <mergeCell ref="QVS4:QVS5"/>
    <mergeCell ref="QVT4:QVT5"/>
    <mergeCell ref="QVU4:QVU5"/>
    <mergeCell ref="QVL4:QVL5"/>
    <mergeCell ref="QVM4:QVM5"/>
    <mergeCell ref="QVN4:QVN5"/>
    <mergeCell ref="QVO4:QVO5"/>
    <mergeCell ref="QVP4:QVP5"/>
    <mergeCell ref="QVG4:QVG5"/>
    <mergeCell ref="QVH4:QVH5"/>
    <mergeCell ref="QVI4:QVI5"/>
    <mergeCell ref="QVJ4:QVJ5"/>
    <mergeCell ref="QVK4:QVK5"/>
    <mergeCell ref="QVB4:QVB5"/>
    <mergeCell ref="QVC4:QVC5"/>
    <mergeCell ref="QVD4:QVD5"/>
    <mergeCell ref="QVE4:QVE5"/>
    <mergeCell ref="QVF4:QVF5"/>
    <mergeCell ref="QUW4:QUW5"/>
    <mergeCell ref="QUX4:QUX5"/>
    <mergeCell ref="QUY4:QUY5"/>
    <mergeCell ref="QUZ4:QUZ5"/>
    <mergeCell ref="QVA4:QVA5"/>
    <mergeCell ref="QUR4:QUR5"/>
    <mergeCell ref="QUS4:QUS5"/>
    <mergeCell ref="QUT4:QUT5"/>
    <mergeCell ref="QUU4:QUU5"/>
    <mergeCell ref="QUV4:QUV5"/>
    <mergeCell ref="QUM4:QUM5"/>
    <mergeCell ref="QUN4:QUN5"/>
    <mergeCell ref="QUO4:QUO5"/>
    <mergeCell ref="QUP4:QUP5"/>
    <mergeCell ref="QUQ4:QUQ5"/>
    <mergeCell ref="QWZ4:QWZ5"/>
    <mergeCell ref="QXA4:QXA5"/>
    <mergeCell ref="QXB4:QXB5"/>
    <mergeCell ref="QXC4:QXC5"/>
    <mergeCell ref="QXD4:QXD5"/>
    <mergeCell ref="QWU4:QWU5"/>
    <mergeCell ref="QWV4:QWV5"/>
    <mergeCell ref="QWW4:QWW5"/>
    <mergeCell ref="QWX4:QWX5"/>
    <mergeCell ref="QWY4:QWY5"/>
    <mergeCell ref="QWP4:QWP5"/>
    <mergeCell ref="QWQ4:QWQ5"/>
    <mergeCell ref="QWR4:QWR5"/>
    <mergeCell ref="QWS4:QWS5"/>
    <mergeCell ref="QWT4:QWT5"/>
    <mergeCell ref="QWK4:QWK5"/>
    <mergeCell ref="QWL4:QWL5"/>
    <mergeCell ref="QWM4:QWM5"/>
    <mergeCell ref="QWN4:QWN5"/>
    <mergeCell ref="QWO4:QWO5"/>
    <mergeCell ref="QWF4:QWF5"/>
    <mergeCell ref="QWG4:QWG5"/>
    <mergeCell ref="QWH4:QWH5"/>
    <mergeCell ref="QWI4:QWI5"/>
    <mergeCell ref="QWJ4:QWJ5"/>
    <mergeCell ref="QWA4:QWA5"/>
    <mergeCell ref="QWB4:QWB5"/>
    <mergeCell ref="QWC4:QWC5"/>
    <mergeCell ref="QWD4:QWD5"/>
    <mergeCell ref="QWE4:QWE5"/>
    <mergeCell ref="QVV4:QVV5"/>
    <mergeCell ref="QVW4:QVW5"/>
    <mergeCell ref="QVX4:QVX5"/>
    <mergeCell ref="QVY4:QVY5"/>
    <mergeCell ref="QVZ4:QVZ5"/>
    <mergeCell ref="QYI4:QYI5"/>
    <mergeCell ref="QYJ4:QYJ5"/>
    <mergeCell ref="QYK4:QYK5"/>
    <mergeCell ref="QYL4:QYL5"/>
    <mergeCell ref="QYM4:QYM5"/>
    <mergeCell ref="QYD4:QYD5"/>
    <mergeCell ref="QYE4:QYE5"/>
    <mergeCell ref="QYF4:QYF5"/>
    <mergeCell ref="QYG4:QYG5"/>
    <mergeCell ref="QYH4:QYH5"/>
    <mergeCell ref="QXY4:QXY5"/>
    <mergeCell ref="QXZ4:QXZ5"/>
    <mergeCell ref="QYA4:QYA5"/>
    <mergeCell ref="QYB4:QYB5"/>
    <mergeCell ref="QYC4:QYC5"/>
    <mergeCell ref="QXT4:QXT5"/>
    <mergeCell ref="QXU4:QXU5"/>
    <mergeCell ref="QXV4:QXV5"/>
    <mergeCell ref="QXW4:QXW5"/>
    <mergeCell ref="QXX4:QXX5"/>
    <mergeCell ref="QXO4:QXO5"/>
    <mergeCell ref="QXP4:QXP5"/>
    <mergeCell ref="QXQ4:QXQ5"/>
    <mergeCell ref="QXR4:QXR5"/>
    <mergeCell ref="QXS4:QXS5"/>
    <mergeCell ref="QXJ4:QXJ5"/>
    <mergeCell ref="QXK4:QXK5"/>
    <mergeCell ref="QXL4:QXL5"/>
    <mergeCell ref="QXM4:QXM5"/>
    <mergeCell ref="QXN4:QXN5"/>
    <mergeCell ref="QXE4:QXE5"/>
    <mergeCell ref="QXF4:QXF5"/>
    <mergeCell ref="QXG4:QXG5"/>
    <mergeCell ref="QXH4:QXH5"/>
    <mergeCell ref="QXI4:QXI5"/>
    <mergeCell ref="QZR4:QZR5"/>
    <mergeCell ref="QZS4:QZS5"/>
    <mergeCell ref="QZT4:QZT5"/>
    <mergeCell ref="QZU4:QZU5"/>
    <mergeCell ref="QZV4:QZV5"/>
    <mergeCell ref="QZM4:QZM5"/>
    <mergeCell ref="QZN4:QZN5"/>
    <mergeCell ref="QZO4:QZO5"/>
    <mergeCell ref="QZP4:QZP5"/>
    <mergeCell ref="QZQ4:QZQ5"/>
    <mergeCell ref="QZH4:QZH5"/>
    <mergeCell ref="QZI4:QZI5"/>
    <mergeCell ref="QZJ4:QZJ5"/>
    <mergeCell ref="QZK4:QZK5"/>
    <mergeCell ref="QZL4:QZL5"/>
    <mergeCell ref="QZC4:QZC5"/>
    <mergeCell ref="QZD4:QZD5"/>
    <mergeCell ref="QZE4:QZE5"/>
    <mergeCell ref="QZF4:QZF5"/>
    <mergeCell ref="QZG4:QZG5"/>
    <mergeCell ref="QYX4:QYX5"/>
    <mergeCell ref="QYY4:QYY5"/>
    <mergeCell ref="QYZ4:QYZ5"/>
    <mergeCell ref="QZA4:QZA5"/>
    <mergeCell ref="QZB4:QZB5"/>
    <mergeCell ref="QYS4:QYS5"/>
    <mergeCell ref="QYT4:QYT5"/>
    <mergeCell ref="QYU4:QYU5"/>
    <mergeCell ref="QYV4:QYV5"/>
    <mergeCell ref="QYW4:QYW5"/>
    <mergeCell ref="QYN4:QYN5"/>
    <mergeCell ref="QYO4:QYO5"/>
    <mergeCell ref="QYP4:QYP5"/>
    <mergeCell ref="QYQ4:QYQ5"/>
    <mergeCell ref="QYR4:QYR5"/>
    <mergeCell ref="RBA4:RBA5"/>
    <mergeCell ref="RBB4:RBB5"/>
    <mergeCell ref="RBC4:RBC5"/>
    <mergeCell ref="RBD4:RBD5"/>
    <mergeCell ref="RBE4:RBE5"/>
    <mergeCell ref="RAV4:RAV5"/>
    <mergeCell ref="RAW4:RAW5"/>
    <mergeCell ref="RAX4:RAX5"/>
    <mergeCell ref="RAY4:RAY5"/>
    <mergeCell ref="RAZ4:RAZ5"/>
    <mergeCell ref="RAQ4:RAQ5"/>
    <mergeCell ref="RAR4:RAR5"/>
    <mergeCell ref="RAS4:RAS5"/>
    <mergeCell ref="RAT4:RAT5"/>
    <mergeCell ref="RAU4:RAU5"/>
    <mergeCell ref="RAL4:RAL5"/>
    <mergeCell ref="RAM4:RAM5"/>
    <mergeCell ref="RAN4:RAN5"/>
    <mergeCell ref="RAO4:RAO5"/>
    <mergeCell ref="RAP4:RAP5"/>
    <mergeCell ref="RAG4:RAG5"/>
    <mergeCell ref="RAH4:RAH5"/>
    <mergeCell ref="RAI4:RAI5"/>
    <mergeCell ref="RAJ4:RAJ5"/>
    <mergeCell ref="RAK4:RAK5"/>
    <mergeCell ref="RAB4:RAB5"/>
    <mergeCell ref="RAC4:RAC5"/>
    <mergeCell ref="RAD4:RAD5"/>
    <mergeCell ref="RAE4:RAE5"/>
    <mergeCell ref="RAF4:RAF5"/>
    <mergeCell ref="QZW4:QZW5"/>
    <mergeCell ref="QZX4:QZX5"/>
    <mergeCell ref="QZY4:QZY5"/>
    <mergeCell ref="QZZ4:QZZ5"/>
    <mergeCell ref="RAA4:RAA5"/>
    <mergeCell ref="RCJ4:RCJ5"/>
    <mergeCell ref="RCK4:RCK5"/>
    <mergeCell ref="RCL4:RCL5"/>
    <mergeCell ref="RCM4:RCM5"/>
    <mergeCell ref="RCN4:RCN5"/>
    <mergeCell ref="RCE4:RCE5"/>
    <mergeCell ref="RCF4:RCF5"/>
    <mergeCell ref="RCG4:RCG5"/>
    <mergeCell ref="RCH4:RCH5"/>
    <mergeCell ref="RCI4:RCI5"/>
    <mergeCell ref="RBZ4:RBZ5"/>
    <mergeCell ref="RCA4:RCA5"/>
    <mergeCell ref="RCB4:RCB5"/>
    <mergeCell ref="RCC4:RCC5"/>
    <mergeCell ref="RCD4:RCD5"/>
    <mergeCell ref="RBU4:RBU5"/>
    <mergeCell ref="RBV4:RBV5"/>
    <mergeCell ref="RBW4:RBW5"/>
    <mergeCell ref="RBX4:RBX5"/>
    <mergeCell ref="RBY4:RBY5"/>
    <mergeCell ref="RBP4:RBP5"/>
    <mergeCell ref="RBQ4:RBQ5"/>
    <mergeCell ref="RBR4:RBR5"/>
    <mergeCell ref="RBS4:RBS5"/>
    <mergeCell ref="RBT4:RBT5"/>
    <mergeCell ref="RBK4:RBK5"/>
    <mergeCell ref="RBL4:RBL5"/>
    <mergeCell ref="RBM4:RBM5"/>
    <mergeCell ref="RBN4:RBN5"/>
    <mergeCell ref="RBO4:RBO5"/>
    <mergeCell ref="RBF4:RBF5"/>
    <mergeCell ref="RBG4:RBG5"/>
    <mergeCell ref="RBH4:RBH5"/>
    <mergeCell ref="RBI4:RBI5"/>
    <mergeCell ref="RBJ4:RBJ5"/>
    <mergeCell ref="RDS4:RDS5"/>
    <mergeCell ref="RDT4:RDT5"/>
    <mergeCell ref="RDU4:RDU5"/>
    <mergeCell ref="RDV4:RDV5"/>
    <mergeCell ref="RDW4:RDW5"/>
    <mergeCell ref="RDN4:RDN5"/>
    <mergeCell ref="RDO4:RDO5"/>
    <mergeCell ref="RDP4:RDP5"/>
    <mergeCell ref="RDQ4:RDQ5"/>
    <mergeCell ref="RDR4:RDR5"/>
    <mergeCell ref="RDI4:RDI5"/>
    <mergeCell ref="RDJ4:RDJ5"/>
    <mergeCell ref="RDK4:RDK5"/>
    <mergeCell ref="RDL4:RDL5"/>
    <mergeCell ref="RDM4:RDM5"/>
    <mergeCell ref="RDD4:RDD5"/>
    <mergeCell ref="RDE4:RDE5"/>
    <mergeCell ref="RDF4:RDF5"/>
    <mergeCell ref="RDG4:RDG5"/>
    <mergeCell ref="RDH4:RDH5"/>
    <mergeCell ref="RCY4:RCY5"/>
    <mergeCell ref="RCZ4:RCZ5"/>
    <mergeCell ref="RDA4:RDA5"/>
    <mergeCell ref="RDB4:RDB5"/>
    <mergeCell ref="RDC4:RDC5"/>
    <mergeCell ref="RCT4:RCT5"/>
    <mergeCell ref="RCU4:RCU5"/>
    <mergeCell ref="RCV4:RCV5"/>
    <mergeCell ref="RCW4:RCW5"/>
    <mergeCell ref="RCX4:RCX5"/>
    <mergeCell ref="RCO4:RCO5"/>
    <mergeCell ref="RCP4:RCP5"/>
    <mergeCell ref="RCQ4:RCQ5"/>
    <mergeCell ref="RCR4:RCR5"/>
    <mergeCell ref="RCS4:RCS5"/>
    <mergeCell ref="RFB4:RFB5"/>
    <mergeCell ref="RFC4:RFC5"/>
    <mergeCell ref="RFD4:RFD5"/>
    <mergeCell ref="RFE4:RFE5"/>
    <mergeCell ref="RFF4:RFF5"/>
    <mergeCell ref="REW4:REW5"/>
    <mergeCell ref="REX4:REX5"/>
    <mergeCell ref="REY4:REY5"/>
    <mergeCell ref="REZ4:REZ5"/>
    <mergeCell ref="RFA4:RFA5"/>
    <mergeCell ref="RER4:RER5"/>
    <mergeCell ref="RES4:RES5"/>
    <mergeCell ref="RET4:RET5"/>
    <mergeCell ref="REU4:REU5"/>
    <mergeCell ref="REV4:REV5"/>
    <mergeCell ref="REM4:REM5"/>
    <mergeCell ref="REN4:REN5"/>
    <mergeCell ref="REO4:REO5"/>
    <mergeCell ref="REP4:REP5"/>
    <mergeCell ref="REQ4:REQ5"/>
    <mergeCell ref="REH4:REH5"/>
    <mergeCell ref="REI4:REI5"/>
    <mergeCell ref="REJ4:REJ5"/>
    <mergeCell ref="REK4:REK5"/>
    <mergeCell ref="REL4:REL5"/>
    <mergeCell ref="REC4:REC5"/>
    <mergeCell ref="RED4:RED5"/>
    <mergeCell ref="REE4:REE5"/>
    <mergeCell ref="REF4:REF5"/>
    <mergeCell ref="REG4:REG5"/>
    <mergeCell ref="RDX4:RDX5"/>
    <mergeCell ref="RDY4:RDY5"/>
    <mergeCell ref="RDZ4:RDZ5"/>
    <mergeCell ref="REA4:REA5"/>
    <mergeCell ref="REB4:REB5"/>
    <mergeCell ref="RGK4:RGK5"/>
    <mergeCell ref="RGL4:RGL5"/>
    <mergeCell ref="RGM4:RGM5"/>
    <mergeCell ref="RGN4:RGN5"/>
    <mergeCell ref="RGO4:RGO5"/>
    <mergeCell ref="RGF4:RGF5"/>
    <mergeCell ref="RGG4:RGG5"/>
    <mergeCell ref="RGH4:RGH5"/>
    <mergeCell ref="RGI4:RGI5"/>
    <mergeCell ref="RGJ4:RGJ5"/>
    <mergeCell ref="RGA4:RGA5"/>
    <mergeCell ref="RGB4:RGB5"/>
    <mergeCell ref="RGC4:RGC5"/>
    <mergeCell ref="RGD4:RGD5"/>
    <mergeCell ref="RGE4:RGE5"/>
    <mergeCell ref="RFV4:RFV5"/>
    <mergeCell ref="RFW4:RFW5"/>
    <mergeCell ref="RFX4:RFX5"/>
    <mergeCell ref="RFY4:RFY5"/>
    <mergeCell ref="RFZ4:RFZ5"/>
    <mergeCell ref="RFQ4:RFQ5"/>
    <mergeCell ref="RFR4:RFR5"/>
    <mergeCell ref="RFS4:RFS5"/>
    <mergeCell ref="RFT4:RFT5"/>
    <mergeCell ref="RFU4:RFU5"/>
    <mergeCell ref="RFL4:RFL5"/>
    <mergeCell ref="RFM4:RFM5"/>
    <mergeCell ref="RFN4:RFN5"/>
    <mergeCell ref="RFO4:RFO5"/>
    <mergeCell ref="RFP4:RFP5"/>
    <mergeCell ref="RFG4:RFG5"/>
    <mergeCell ref="RFH4:RFH5"/>
    <mergeCell ref="RFI4:RFI5"/>
    <mergeCell ref="RFJ4:RFJ5"/>
    <mergeCell ref="RFK4:RFK5"/>
    <mergeCell ref="RHT4:RHT5"/>
    <mergeCell ref="RHU4:RHU5"/>
    <mergeCell ref="RHV4:RHV5"/>
    <mergeCell ref="RHW4:RHW5"/>
    <mergeCell ref="RHX4:RHX5"/>
    <mergeCell ref="RHO4:RHO5"/>
    <mergeCell ref="RHP4:RHP5"/>
    <mergeCell ref="RHQ4:RHQ5"/>
    <mergeCell ref="RHR4:RHR5"/>
    <mergeCell ref="RHS4:RHS5"/>
    <mergeCell ref="RHJ4:RHJ5"/>
    <mergeCell ref="RHK4:RHK5"/>
    <mergeCell ref="RHL4:RHL5"/>
    <mergeCell ref="RHM4:RHM5"/>
    <mergeCell ref="RHN4:RHN5"/>
    <mergeCell ref="RHE4:RHE5"/>
    <mergeCell ref="RHF4:RHF5"/>
    <mergeCell ref="RHG4:RHG5"/>
    <mergeCell ref="RHH4:RHH5"/>
    <mergeCell ref="RHI4:RHI5"/>
    <mergeCell ref="RGZ4:RGZ5"/>
    <mergeCell ref="RHA4:RHA5"/>
    <mergeCell ref="RHB4:RHB5"/>
    <mergeCell ref="RHC4:RHC5"/>
    <mergeCell ref="RHD4:RHD5"/>
    <mergeCell ref="RGU4:RGU5"/>
    <mergeCell ref="RGV4:RGV5"/>
    <mergeCell ref="RGW4:RGW5"/>
    <mergeCell ref="RGX4:RGX5"/>
    <mergeCell ref="RGY4:RGY5"/>
    <mergeCell ref="RGP4:RGP5"/>
    <mergeCell ref="RGQ4:RGQ5"/>
    <mergeCell ref="RGR4:RGR5"/>
    <mergeCell ref="RGS4:RGS5"/>
    <mergeCell ref="RGT4:RGT5"/>
    <mergeCell ref="RJC4:RJC5"/>
    <mergeCell ref="RJD4:RJD5"/>
    <mergeCell ref="RJE4:RJE5"/>
    <mergeCell ref="RJF4:RJF5"/>
    <mergeCell ref="RJG4:RJG5"/>
    <mergeCell ref="RIX4:RIX5"/>
    <mergeCell ref="RIY4:RIY5"/>
    <mergeCell ref="RIZ4:RIZ5"/>
    <mergeCell ref="RJA4:RJA5"/>
    <mergeCell ref="RJB4:RJB5"/>
    <mergeCell ref="RIS4:RIS5"/>
    <mergeCell ref="RIT4:RIT5"/>
    <mergeCell ref="RIU4:RIU5"/>
    <mergeCell ref="RIV4:RIV5"/>
    <mergeCell ref="RIW4:RIW5"/>
    <mergeCell ref="RIN4:RIN5"/>
    <mergeCell ref="RIO4:RIO5"/>
    <mergeCell ref="RIP4:RIP5"/>
    <mergeCell ref="RIQ4:RIQ5"/>
    <mergeCell ref="RIR4:RIR5"/>
    <mergeCell ref="RII4:RII5"/>
    <mergeCell ref="RIJ4:RIJ5"/>
    <mergeCell ref="RIK4:RIK5"/>
    <mergeCell ref="RIL4:RIL5"/>
    <mergeCell ref="RIM4:RIM5"/>
    <mergeCell ref="RID4:RID5"/>
    <mergeCell ref="RIE4:RIE5"/>
    <mergeCell ref="RIF4:RIF5"/>
    <mergeCell ref="RIG4:RIG5"/>
    <mergeCell ref="RIH4:RIH5"/>
    <mergeCell ref="RHY4:RHY5"/>
    <mergeCell ref="RHZ4:RHZ5"/>
    <mergeCell ref="RIA4:RIA5"/>
    <mergeCell ref="RIB4:RIB5"/>
    <mergeCell ref="RIC4:RIC5"/>
    <mergeCell ref="RKL4:RKL5"/>
    <mergeCell ref="RKM4:RKM5"/>
    <mergeCell ref="RKN4:RKN5"/>
    <mergeCell ref="RKO4:RKO5"/>
    <mergeCell ref="RKP4:RKP5"/>
    <mergeCell ref="RKG4:RKG5"/>
    <mergeCell ref="RKH4:RKH5"/>
    <mergeCell ref="RKI4:RKI5"/>
    <mergeCell ref="RKJ4:RKJ5"/>
    <mergeCell ref="RKK4:RKK5"/>
    <mergeCell ref="RKB4:RKB5"/>
    <mergeCell ref="RKC4:RKC5"/>
    <mergeCell ref="RKD4:RKD5"/>
    <mergeCell ref="RKE4:RKE5"/>
    <mergeCell ref="RKF4:RKF5"/>
    <mergeCell ref="RJW4:RJW5"/>
    <mergeCell ref="RJX4:RJX5"/>
    <mergeCell ref="RJY4:RJY5"/>
    <mergeCell ref="RJZ4:RJZ5"/>
    <mergeCell ref="RKA4:RKA5"/>
    <mergeCell ref="RJR4:RJR5"/>
    <mergeCell ref="RJS4:RJS5"/>
    <mergeCell ref="RJT4:RJT5"/>
    <mergeCell ref="RJU4:RJU5"/>
    <mergeCell ref="RJV4:RJV5"/>
    <mergeCell ref="RJM4:RJM5"/>
    <mergeCell ref="RJN4:RJN5"/>
    <mergeCell ref="RJO4:RJO5"/>
    <mergeCell ref="RJP4:RJP5"/>
    <mergeCell ref="RJQ4:RJQ5"/>
    <mergeCell ref="RJH4:RJH5"/>
    <mergeCell ref="RJI4:RJI5"/>
    <mergeCell ref="RJJ4:RJJ5"/>
    <mergeCell ref="RJK4:RJK5"/>
    <mergeCell ref="RJL4:RJL5"/>
    <mergeCell ref="RLU4:RLU5"/>
    <mergeCell ref="RLV4:RLV5"/>
    <mergeCell ref="RLW4:RLW5"/>
    <mergeCell ref="RLX4:RLX5"/>
    <mergeCell ref="RLY4:RLY5"/>
    <mergeCell ref="RLP4:RLP5"/>
    <mergeCell ref="RLQ4:RLQ5"/>
    <mergeCell ref="RLR4:RLR5"/>
    <mergeCell ref="RLS4:RLS5"/>
    <mergeCell ref="RLT4:RLT5"/>
    <mergeCell ref="RLK4:RLK5"/>
    <mergeCell ref="RLL4:RLL5"/>
    <mergeCell ref="RLM4:RLM5"/>
    <mergeCell ref="RLN4:RLN5"/>
    <mergeCell ref="RLO4:RLO5"/>
    <mergeCell ref="RLF4:RLF5"/>
    <mergeCell ref="RLG4:RLG5"/>
    <mergeCell ref="RLH4:RLH5"/>
    <mergeCell ref="RLI4:RLI5"/>
    <mergeCell ref="RLJ4:RLJ5"/>
    <mergeCell ref="RLA4:RLA5"/>
    <mergeCell ref="RLB4:RLB5"/>
    <mergeCell ref="RLC4:RLC5"/>
    <mergeCell ref="RLD4:RLD5"/>
    <mergeCell ref="RLE4:RLE5"/>
    <mergeCell ref="RKV4:RKV5"/>
    <mergeCell ref="RKW4:RKW5"/>
    <mergeCell ref="RKX4:RKX5"/>
    <mergeCell ref="RKY4:RKY5"/>
    <mergeCell ref="RKZ4:RKZ5"/>
    <mergeCell ref="RKQ4:RKQ5"/>
    <mergeCell ref="RKR4:RKR5"/>
    <mergeCell ref="RKS4:RKS5"/>
    <mergeCell ref="RKT4:RKT5"/>
    <mergeCell ref="RKU4:RKU5"/>
    <mergeCell ref="RND4:RND5"/>
    <mergeCell ref="RNE4:RNE5"/>
    <mergeCell ref="RNF4:RNF5"/>
    <mergeCell ref="RNG4:RNG5"/>
    <mergeCell ref="RNH4:RNH5"/>
    <mergeCell ref="RMY4:RMY5"/>
    <mergeCell ref="RMZ4:RMZ5"/>
    <mergeCell ref="RNA4:RNA5"/>
    <mergeCell ref="RNB4:RNB5"/>
    <mergeCell ref="RNC4:RNC5"/>
    <mergeCell ref="RMT4:RMT5"/>
    <mergeCell ref="RMU4:RMU5"/>
    <mergeCell ref="RMV4:RMV5"/>
    <mergeCell ref="RMW4:RMW5"/>
    <mergeCell ref="RMX4:RMX5"/>
    <mergeCell ref="RMO4:RMO5"/>
    <mergeCell ref="RMP4:RMP5"/>
    <mergeCell ref="RMQ4:RMQ5"/>
    <mergeCell ref="RMR4:RMR5"/>
    <mergeCell ref="RMS4:RMS5"/>
    <mergeCell ref="RMJ4:RMJ5"/>
    <mergeCell ref="RMK4:RMK5"/>
    <mergeCell ref="RML4:RML5"/>
    <mergeCell ref="RMM4:RMM5"/>
    <mergeCell ref="RMN4:RMN5"/>
    <mergeCell ref="RME4:RME5"/>
    <mergeCell ref="RMF4:RMF5"/>
    <mergeCell ref="RMG4:RMG5"/>
    <mergeCell ref="RMH4:RMH5"/>
    <mergeCell ref="RMI4:RMI5"/>
    <mergeCell ref="RLZ4:RLZ5"/>
    <mergeCell ref="RMA4:RMA5"/>
    <mergeCell ref="RMB4:RMB5"/>
    <mergeCell ref="RMC4:RMC5"/>
    <mergeCell ref="RMD4:RMD5"/>
    <mergeCell ref="ROM4:ROM5"/>
    <mergeCell ref="RON4:RON5"/>
    <mergeCell ref="ROO4:ROO5"/>
    <mergeCell ref="ROP4:ROP5"/>
    <mergeCell ref="ROQ4:ROQ5"/>
    <mergeCell ref="ROH4:ROH5"/>
    <mergeCell ref="ROI4:ROI5"/>
    <mergeCell ref="ROJ4:ROJ5"/>
    <mergeCell ref="ROK4:ROK5"/>
    <mergeCell ref="ROL4:ROL5"/>
    <mergeCell ref="ROC4:ROC5"/>
    <mergeCell ref="ROD4:ROD5"/>
    <mergeCell ref="ROE4:ROE5"/>
    <mergeCell ref="ROF4:ROF5"/>
    <mergeCell ref="ROG4:ROG5"/>
    <mergeCell ref="RNX4:RNX5"/>
    <mergeCell ref="RNY4:RNY5"/>
    <mergeCell ref="RNZ4:RNZ5"/>
    <mergeCell ref="ROA4:ROA5"/>
    <mergeCell ref="ROB4:ROB5"/>
    <mergeCell ref="RNS4:RNS5"/>
    <mergeCell ref="RNT4:RNT5"/>
    <mergeCell ref="RNU4:RNU5"/>
    <mergeCell ref="RNV4:RNV5"/>
    <mergeCell ref="RNW4:RNW5"/>
    <mergeCell ref="RNN4:RNN5"/>
    <mergeCell ref="RNO4:RNO5"/>
    <mergeCell ref="RNP4:RNP5"/>
    <mergeCell ref="RNQ4:RNQ5"/>
    <mergeCell ref="RNR4:RNR5"/>
    <mergeCell ref="RNI4:RNI5"/>
    <mergeCell ref="RNJ4:RNJ5"/>
    <mergeCell ref="RNK4:RNK5"/>
    <mergeCell ref="RNL4:RNL5"/>
    <mergeCell ref="RNM4:RNM5"/>
    <mergeCell ref="RPV4:RPV5"/>
    <mergeCell ref="RPW4:RPW5"/>
    <mergeCell ref="RPX4:RPX5"/>
    <mergeCell ref="RPY4:RPY5"/>
    <mergeCell ref="RPZ4:RPZ5"/>
    <mergeCell ref="RPQ4:RPQ5"/>
    <mergeCell ref="RPR4:RPR5"/>
    <mergeCell ref="RPS4:RPS5"/>
    <mergeCell ref="RPT4:RPT5"/>
    <mergeCell ref="RPU4:RPU5"/>
    <mergeCell ref="RPL4:RPL5"/>
    <mergeCell ref="RPM4:RPM5"/>
    <mergeCell ref="RPN4:RPN5"/>
    <mergeCell ref="RPO4:RPO5"/>
    <mergeCell ref="RPP4:RPP5"/>
    <mergeCell ref="RPG4:RPG5"/>
    <mergeCell ref="RPH4:RPH5"/>
    <mergeCell ref="RPI4:RPI5"/>
    <mergeCell ref="RPJ4:RPJ5"/>
    <mergeCell ref="RPK4:RPK5"/>
    <mergeCell ref="RPB4:RPB5"/>
    <mergeCell ref="RPC4:RPC5"/>
    <mergeCell ref="RPD4:RPD5"/>
    <mergeCell ref="RPE4:RPE5"/>
    <mergeCell ref="RPF4:RPF5"/>
    <mergeCell ref="ROW4:ROW5"/>
    <mergeCell ref="ROX4:ROX5"/>
    <mergeCell ref="ROY4:ROY5"/>
    <mergeCell ref="ROZ4:ROZ5"/>
    <mergeCell ref="RPA4:RPA5"/>
    <mergeCell ref="ROR4:ROR5"/>
    <mergeCell ref="ROS4:ROS5"/>
    <mergeCell ref="ROT4:ROT5"/>
    <mergeCell ref="ROU4:ROU5"/>
    <mergeCell ref="ROV4:ROV5"/>
    <mergeCell ref="RRE4:RRE5"/>
    <mergeCell ref="RRF4:RRF5"/>
    <mergeCell ref="RRG4:RRG5"/>
    <mergeCell ref="RRH4:RRH5"/>
    <mergeCell ref="RRI4:RRI5"/>
    <mergeCell ref="RQZ4:RQZ5"/>
    <mergeCell ref="RRA4:RRA5"/>
    <mergeCell ref="RRB4:RRB5"/>
    <mergeCell ref="RRC4:RRC5"/>
    <mergeCell ref="RRD4:RRD5"/>
    <mergeCell ref="RQU4:RQU5"/>
    <mergeCell ref="RQV4:RQV5"/>
    <mergeCell ref="RQW4:RQW5"/>
    <mergeCell ref="RQX4:RQX5"/>
    <mergeCell ref="RQY4:RQY5"/>
    <mergeCell ref="RQP4:RQP5"/>
    <mergeCell ref="RQQ4:RQQ5"/>
    <mergeCell ref="RQR4:RQR5"/>
    <mergeCell ref="RQS4:RQS5"/>
    <mergeCell ref="RQT4:RQT5"/>
    <mergeCell ref="RQK4:RQK5"/>
    <mergeCell ref="RQL4:RQL5"/>
    <mergeCell ref="RQM4:RQM5"/>
    <mergeCell ref="RQN4:RQN5"/>
    <mergeCell ref="RQO4:RQO5"/>
    <mergeCell ref="RQF4:RQF5"/>
    <mergeCell ref="RQG4:RQG5"/>
    <mergeCell ref="RQH4:RQH5"/>
    <mergeCell ref="RQI4:RQI5"/>
    <mergeCell ref="RQJ4:RQJ5"/>
    <mergeCell ref="RQA4:RQA5"/>
    <mergeCell ref="RQB4:RQB5"/>
    <mergeCell ref="RQC4:RQC5"/>
    <mergeCell ref="RQD4:RQD5"/>
    <mergeCell ref="RQE4:RQE5"/>
    <mergeCell ref="RSN4:RSN5"/>
    <mergeCell ref="RSO4:RSO5"/>
    <mergeCell ref="RSP4:RSP5"/>
    <mergeCell ref="RSQ4:RSQ5"/>
    <mergeCell ref="RSR4:RSR5"/>
    <mergeCell ref="RSI4:RSI5"/>
    <mergeCell ref="RSJ4:RSJ5"/>
    <mergeCell ref="RSK4:RSK5"/>
    <mergeCell ref="RSL4:RSL5"/>
    <mergeCell ref="RSM4:RSM5"/>
    <mergeCell ref="RSD4:RSD5"/>
    <mergeCell ref="RSE4:RSE5"/>
    <mergeCell ref="RSF4:RSF5"/>
    <mergeCell ref="RSG4:RSG5"/>
    <mergeCell ref="RSH4:RSH5"/>
    <mergeCell ref="RRY4:RRY5"/>
    <mergeCell ref="RRZ4:RRZ5"/>
    <mergeCell ref="RSA4:RSA5"/>
    <mergeCell ref="RSB4:RSB5"/>
    <mergeCell ref="RSC4:RSC5"/>
    <mergeCell ref="RRT4:RRT5"/>
    <mergeCell ref="RRU4:RRU5"/>
    <mergeCell ref="RRV4:RRV5"/>
    <mergeCell ref="RRW4:RRW5"/>
    <mergeCell ref="RRX4:RRX5"/>
    <mergeCell ref="RRO4:RRO5"/>
    <mergeCell ref="RRP4:RRP5"/>
    <mergeCell ref="RRQ4:RRQ5"/>
    <mergeCell ref="RRR4:RRR5"/>
    <mergeCell ref="RRS4:RRS5"/>
    <mergeCell ref="RRJ4:RRJ5"/>
    <mergeCell ref="RRK4:RRK5"/>
    <mergeCell ref="RRL4:RRL5"/>
    <mergeCell ref="RRM4:RRM5"/>
    <mergeCell ref="RRN4:RRN5"/>
    <mergeCell ref="RTW4:RTW5"/>
    <mergeCell ref="RTX4:RTX5"/>
    <mergeCell ref="RTY4:RTY5"/>
    <mergeCell ref="RTZ4:RTZ5"/>
    <mergeCell ref="RUA4:RUA5"/>
    <mergeCell ref="RTR4:RTR5"/>
    <mergeCell ref="RTS4:RTS5"/>
    <mergeCell ref="RTT4:RTT5"/>
    <mergeCell ref="RTU4:RTU5"/>
    <mergeCell ref="RTV4:RTV5"/>
    <mergeCell ref="RTM4:RTM5"/>
    <mergeCell ref="RTN4:RTN5"/>
    <mergeCell ref="RTO4:RTO5"/>
    <mergeCell ref="RTP4:RTP5"/>
    <mergeCell ref="RTQ4:RTQ5"/>
    <mergeCell ref="RTH4:RTH5"/>
    <mergeCell ref="RTI4:RTI5"/>
    <mergeCell ref="RTJ4:RTJ5"/>
    <mergeCell ref="RTK4:RTK5"/>
    <mergeCell ref="RTL4:RTL5"/>
    <mergeCell ref="RTC4:RTC5"/>
    <mergeCell ref="RTD4:RTD5"/>
    <mergeCell ref="RTE4:RTE5"/>
    <mergeCell ref="RTF4:RTF5"/>
    <mergeCell ref="RTG4:RTG5"/>
    <mergeCell ref="RSX4:RSX5"/>
    <mergeCell ref="RSY4:RSY5"/>
    <mergeCell ref="RSZ4:RSZ5"/>
    <mergeCell ref="RTA4:RTA5"/>
    <mergeCell ref="RTB4:RTB5"/>
    <mergeCell ref="RSS4:RSS5"/>
    <mergeCell ref="RST4:RST5"/>
    <mergeCell ref="RSU4:RSU5"/>
    <mergeCell ref="RSV4:RSV5"/>
    <mergeCell ref="RSW4:RSW5"/>
    <mergeCell ref="RVF4:RVF5"/>
    <mergeCell ref="RVG4:RVG5"/>
    <mergeCell ref="RVH4:RVH5"/>
    <mergeCell ref="RVI4:RVI5"/>
    <mergeCell ref="RVJ4:RVJ5"/>
    <mergeCell ref="RVA4:RVA5"/>
    <mergeCell ref="RVB4:RVB5"/>
    <mergeCell ref="RVC4:RVC5"/>
    <mergeCell ref="RVD4:RVD5"/>
    <mergeCell ref="RVE4:RVE5"/>
    <mergeCell ref="RUV4:RUV5"/>
    <mergeCell ref="RUW4:RUW5"/>
    <mergeCell ref="RUX4:RUX5"/>
    <mergeCell ref="RUY4:RUY5"/>
    <mergeCell ref="RUZ4:RUZ5"/>
    <mergeCell ref="RUQ4:RUQ5"/>
    <mergeCell ref="RUR4:RUR5"/>
    <mergeCell ref="RUS4:RUS5"/>
    <mergeCell ref="RUT4:RUT5"/>
    <mergeCell ref="RUU4:RUU5"/>
    <mergeCell ref="RUL4:RUL5"/>
    <mergeCell ref="RUM4:RUM5"/>
    <mergeCell ref="RUN4:RUN5"/>
    <mergeCell ref="RUO4:RUO5"/>
    <mergeCell ref="RUP4:RUP5"/>
    <mergeCell ref="RUG4:RUG5"/>
    <mergeCell ref="RUH4:RUH5"/>
    <mergeCell ref="RUI4:RUI5"/>
    <mergeCell ref="RUJ4:RUJ5"/>
    <mergeCell ref="RUK4:RUK5"/>
    <mergeCell ref="RUB4:RUB5"/>
    <mergeCell ref="RUC4:RUC5"/>
    <mergeCell ref="RUD4:RUD5"/>
    <mergeCell ref="RUE4:RUE5"/>
    <mergeCell ref="RUF4:RUF5"/>
    <mergeCell ref="RWO4:RWO5"/>
    <mergeCell ref="RWP4:RWP5"/>
    <mergeCell ref="RWQ4:RWQ5"/>
    <mergeCell ref="RWR4:RWR5"/>
    <mergeCell ref="RWS4:RWS5"/>
    <mergeCell ref="RWJ4:RWJ5"/>
    <mergeCell ref="RWK4:RWK5"/>
    <mergeCell ref="RWL4:RWL5"/>
    <mergeCell ref="RWM4:RWM5"/>
    <mergeCell ref="RWN4:RWN5"/>
    <mergeCell ref="RWE4:RWE5"/>
    <mergeCell ref="RWF4:RWF5"/>
    <mergeCell ref="RWG4:RWG5"/>
    <mergeCell ref="RWH4:RWH5"/>
    <mergeCell ref="RWI4:RWI5"/>
    <mergeCell ref="RVZ4:RVZ5"/>
    <mergeCell ref="RWA4:RWA5"/>
    <mergeCell ref="RWB4:RWB5"/>
    <mergeCell ref="RWC4:RWC5"/>
    <mergeCell ref="RWD4:RWD5"/>
    <mergeCell ref="RVU4:RVU5"/>
    <mergeCell ref="RVV4:RVV5"/>
    <mergeCell ref="RVW4:RVW5"/>
    <mergeCell ref="RVX4:RVX5"/>
    <mergeCell ref="RVY4:RVY5"/>
    <mergeCell ref="RVP4:RVP5"/>
    <mergeCell ref="RVQ4:RVQ5"/>
    <mergeCell ref="RVR4:RVR5"/>
    <mergeCell ref="RVS4:RVS5"/>
    <mergeCell ref="RVT4:RVT5"/>
    <mergeCell ref="RVK4:RVK5"/>
    <mergeCell ref="RVL4:RVL5"/>
    <mergeCell ref="RVM4:RVM5"/>
    <mergeCell ref="RVN4:RVN5"/>
    <mergeCell ref="RVO4:RVO5"/>
    <mergeCell ref="RXX4:RXX5"/>
    <mergeCell ref="RXY4:RXY5"/>
    <mergeCell ref="RXZ4:RXZ5"/>
    <mergeCell ref="RYA4:RYA5"/>
    <mergeCell ref="RYB4:RYB5"/>
    <mergeCell ref="RXS4:RXS5"/>
    <mergeCell ref="RXT4:RXT5"/>
    <mergeCell ref="RXU4:RXU5"/>
    <mergeCell ref="RXV4:RXV5"/>
    <mergeCell ref="RXW4:RXW5"/>
    <mergeCell ref="RXN4:RXN5"/>
    <mergeCell ref="RXO4:RXO5"/>
    <mergeCell ref="RXP4:RXP5"/>
    <mergeCell ref="RXQ4:RXQ5"/>
    <mergeCell ref="RXR4:RXR5"/>
    <mergeCell ref="RXI4:RXI5"/>
    <mergeCell ref="RXJ4:RXJ5"/>
    <mergeCell ref="RXK4:RXK5"/>
    <mergeCell ref="RXL4:RXL5"/>
    <mergeCell ref="RXM4:RXM5"/>
    <mergeCell ref="RXD4:RXD5"/>
    <mergeCell ref="RXE4:RXE5"/>
    <mergeCell ref="RXF4:RXF5"/>
    <mergeCell ref="RXG4:RXG5"/>
    <mergeCell ref="RXH4:RXH5"/>
    <mergeCell ref="RWY4:RWY5"/>
    <mergeCell ref="RWZ4:RWZ5"/>
    <mergeCell ref="RXA4:RXA5"/>
    <mergeCell ref="RXB4:RXB5"/>
    <mergeCell ref="RXC4:RXC5"/>
    <mergeCell ref="RWT4:RWT5"/>
    <mergeCell ref="RWU4:RWU5"/>
    <mergeCell ref="RWV4:RWV5"/>
    <mergeCell ref="RWW4:RWW5"/>
    <mergeCell ref="RWX4:RWX5"/>
    <mergeCell ref="RZG4:RZG5"/>
    <mergeCell ref="RZH4:RZH5"/>
    <mergeCell ref="RZI4:RZI5"/>
    <mergeCell ref="RZJ4:RZJ5"/>
    <mergeCell ref="RZK4:RZK5"/>
    <mergeCell ref="RZB4:RZB5"/>
    <mergeCell ref="RZC4:RZC5"/>
    <mergeCell ref="RZD4:RZD5"/>
    <mergeCell ref="RZE4:RZE5"/>
    <mergeCell ref="RZF4:RZF5"/>
    <mergeCell ref="RYW4:RYW5"/>
    <mergeCell ref="RYX4:RYX5"/>
    <mergeCell ref="RYY4:RYY5"/>
    <mergeCell ref="RYZ4:RYZ5"/>
    <mergeCell ref="RZA4:RZA5"/>
    <mergeCell ref="RYR4:RYR5"/>
    <mergeCell ref="RYS4:RYS5"/>
    <mergeCell ref="RYT4:RYT5"/>
    <mergeCell ref="RYU4:RYU5"/>
    <mergeCell ref="RYV4:RYV5"/>
    <mergeCell ref="RYM4:RYM5"/>
    <mergeCell ref="RYN4:RYN5"/>
    <mergeCell ref="RYO4:RYO5"/>
    <mergeCell ref="RYP4:RYP5"/>
    <mergeCell ref="RYQ4:RYQ5"/>
    <mergeCell ref="RYH4:RYH5"/>
    <mergeCell ref="RYI4:RYI5"/>
    <mergeCell ref="RYJ4:RYJ5"/>
    <mergeCell ref="RYK4:RYK5"/>
    <mergeCell ref="RYL4:RYL5"/>
    <mergeCell ref="RYC4:RYC5"/>
    <mergeCell ref="RYD4:RYD5"/>
    <mergeCell ref="RYE4:RYE5"/>
    <mergeCell ref="RYF4:RYF5"/>
    <mergeCell ref="RYG4:RYG5"/>
    <mergeCell ref="SAP4:SAP5"/>
    <mergeCell ref="SAQ4:SAQ5"/>
    <mergeCell ref="SAR4:SAR5"/>
    <mergeCell ref="SAS4:SAS5"/>
    <mergeCell ref="SAT4:SAT5"/>
    <mergeCell ref="SAK4:SAK5"/>
    <mergeCell ref="SAL4:SAL5"/>
    <mergeCell ref="SAM4:SAM5"/>
    <mergeCell ref="SAN4:SAN5"/>
    <mergeCell ref="SAO4:SAO5"/>
    <mergeCell ref="SAF4:SAF5"/>
    <mergeCell ref="SAG4:SAG5"/>
    <mergeCell ref="SAH4:SAH5"/>
    <mergeCell ref="SAI4:SAI5"/>
    <mergeCell ref="SAJ4:SAJ5"/>
    <mergeCell ref="SAA4:SAA5"/>
    <mergeCell ref="SAB4:SAB5"/>
    <mergeCell ref="SAC4:SAC5"/>
    <mergeCell ref="SAD4:SAD5"/>
    <mergeCell ref="SAE4:SAE5"/>
    <mergeCell ref="RZV4:RZV5"/>
    <mergeCell ref="RZW4:RZW5"/>
    <mergeCell ref="RZX4:RZX5"/>
    <mergeCell ref="RZY4:RZY5"/>
    <mergeCell ref="RZZ4:RZZ5"/>
    <mergeCell ref="RZQ4:RZQ5"/>
    <mergeCell ref="RZR4:RZR5"/>
    <mergeCell ref="RZS4:RZS5"/>
    <mergeCell ref="RZT4:RZT5"/>
    <mergeCell ref="RZU4:RZU5"/>
    <mergeCell ref="RZL4:RZL5"/>
    <mergeCell ref="RZM4:RZM5"/>
    <mergeCell ref="RZN4:RZN5"/>
    <mergeCell ref="RZO4:RZO5"/>
    <mergeCell ref="RZP4:RZP5"/>
    <mergeCell ref="SBY4:SBY5"/>
    <mergeCell ref="SBZ4:SBZ5"/>
    <mergeCell ref="SCA4:SCA5"/>
    <mergeCell ref="SCB4:SCB5"/>
    <mergeCell ref="SCC4:SCC5"/>
    <mergeCell ref="SBT4:SBT5"/>
    <mergeCell ref="SBU4:SBU5"/>
    <mergeCell ref="SBV4:SBV5"/>
    <mergeCell ref="SBW4:SBW5"/>
    <mergeCell ref="SBX4:SBX5"/>
    <mergeCell ref="SBO4:SBO5"/>
    <mergeCell ref="SBP4:SBP5"/>
    <mergeCell ref="SBQ4:SBQ5"/>
    <mergeCell ref="SBR4:SBR5"/>
    <mergeCell ref="SBS4:SBS5"/>
    <mergeCell ref="SBJ4:SBJ5"/>
    <mergeCell ref="SBK4:SBK5"/>
    <mergeCell ref="SBL4:SBL5"/>
    <mergeCell ref="SBM4:SBM5"/>
    <mergeCell ref="SBN4:SBN5"/>
    <mergeCell ref="SBE4:SBE5"/>
    <mergeCell ref="SBF4:SBF5"/>
    <mergeCell ref="SBG4:SBG5"/>
    <mergeCell ref="SBH4:SBH5"/>
    <mergeCell ref="SBI4:SBI5"/>
    <mergeCell ref="SAZ4:SAZ5"/>
    <mergeCell ref="SBA4:SBA5"/>
    <mergeCell ref="SBB4:SBB5"/>
    <mergeCell ref="SBC4:SBC5"/>
    <mergeCell ref="SBD4:SBD5"/>
    <mergeCell ref="SAU4:SAU5"/>
    <mergeCell ref="SAV4:SAV5"/>
    <mergeCell ref="SAW4:SAW5"/>
    <mergeCell ref="SAX4:SAX5"/>
    <mergeCell ref="SAY4:SAY5"/>
    <mergeCell ref="SDH4:SDH5"/>
    <mergeCell ref="SDI4:SDI5"/>
    <mergeCell ref="SDJ4:SDJ5"/>
    <mergeCell ref="SDK4:SDK5"/>
    <mergeCell ref="SDL4:SDL5"/>
    <mergeCell ref="SDC4:SDC5"/>
    <mergeCell ref="SDD4:SDD5"/>
    <mergeCell ref="SDE4:SDE5"/>
    <mergeCell ref="SDF4:SDF5"/>
    <mergeCell ref="SDG4:SDG5"/>
    <mergeCell ref="SCX4:SCX5"/>
    <mergeCell ref="SCY4:SCY5"/>
    <mergeCell ref="SCZ4:SCZ5"/>
    <mergeCell ref="SDA4:SDA5"/>
    <mergeCell ref="SDB4:SDB5"/>
    <mergeCell ref="SCS4:SCS5"/>
    <mergeCell ref="SCT4:SCT5"/>
    <mergeCell ref="SCU4:SCU5"/>
    <mergeCell ref="SCV4:SCV5"/>
    <mergeCell ref="SCW4:SCW5"/>
    <mergeCell ref="SCN4:SCN5"/>
    <mergeCell ref="SCO4:SCO5"/>
    <mergeCell ref="SCP4:SCP5"/>
    <mergeCell ref="SCQ4:SCQ5"/>
    <mergeCell ref="SCR4:SCR5"/>
    <mergeCell ref="SCI4:SCI5"/>
    <mergeCell ref="SCJ4:SCJ5"/>
    <mergeCell ref="SCK4:SCK5"/>
    <mergeCell ref="SCL4:SCL5"/>
    <mergeCell ref="SCM4:SCM5"/>
    <mergeCell ref="SCD4:SCD5"/>
    <mergeCell ref="SCE4:SCE5"/>
    <mergeCell ref="SCF4:SCF5"/>
    <mergeCell ref="SCG4:SCG5"/>
    <mergeCell ref="SCH4:SCH5"/>
    <mergeCell ref="SEQ4:SEQ5"/>
    <mergeCell ref="SER4:SER5"/>
    <mergeCell ref="SES4:SES5"/>
    <mergeCell ref="SET4:SET5"/>
    <mergeCell ref="SEU4:SEU5"/>
    <mergeCell ref="SEL4:SEL5"/>
    <mergeCell ref="SEM4:SEM5"/>
    <mergeCell ref="SEN4:SEN5"/>
    <mergeCell ref="SEO4:SEO5"/>
    <mergeCell ref="SEP4:SEP5"/>
    <mergeCell ref="SEG4:SEG5"/>
    <mergeCell ref="SEH4:SEH5"/>
    <mergeCell ref="SEI4:SEI5"/>
    <mergeCell ref="SEJ4:SEJ5"/>
    <mergeCell ref="SEK4:SEK5"/>
    <mergeCell ref="SEB4:SEB5"/>
    <mergeCell ref="SEC4:SEC5"/>
    <mergeCell ref="SED4:SED5"/>
    <mergeCell ref="SEE4:SEE5"/>
    <mergeCell ref="SEF4:SEF5"/>
    <mergeCell ref="SDW4:SDW5"/>
    <mergeCell ref="SDX4:SDX5"/>
    <mergeCell ref="SDY4:SDY5"/>
    <mergeCell ref="SDZ4:SDZ5"/>
    <mergeCell ref="SEA4:SEA5"/>
    <mergeCell ref="SDR4:SDR5"/>
    <mergeCell ref="SDS4:SDS5"/>
    <mergeCell ref="SDT4:SDT5"/>
    <mergeCell ref="SDU4:SDU5"/>
    <mergeCell ref="SDV4:SDV5"/>
    <mergeCell ref="SDM4:SDM5"/>
    <mergeCell ref="SDN4:SDN5"/>
    <mergeCell ref="SDO4:SDO5"/>
    <mergeCell ref="SDP4:SDP5"/>
    <mergeCell ref="SDQ4:SDQ5"/>
    <mergeCell ref="SFZ4:SFZ5"/>
    <mergeCell ref="SGA4:SGA5"/>
    <mergeCell ref="SGB4:SGB5"/>
    <mergeCell ref="SGC4:SGC5"/>
    <mergeCell ref="SGD4:SGD5"/>
    <mergeCell ref="SFU4:SFU5"/>
    <mergeCell ref="SFV4:SFV5"/>
    <mergeCell ref="SFW4:SFW5"/>
    <mergeCell ref="SFX4:SFX5"/>
    <mergeCell ref="SFY4:SFY5"/>
    <mergeCell ref="SFP4:SFP5"/>
    <mergeCell ref="SFQ4:SFQ5"/>
    <mergeCell ref="SFR4:SFR5"/>
    <mergeCell ref="SFS4:SFS5"/>
    <mergeCell ref="SFT4:SFT5"/>
    <mergeCell ref="SFK4:SFK5"/>
    <mergeCell ref="SFL4:SFL5"/>
    <mergeCell ref="SFM4:SFM5"/>
    <mergeCell ref="SFN4:SFN5"/>
    <mergeCell ref="SFO4:SFO5"/>
    <mergeCell ref="SFF4:SFF5"/>
    <mergeCell ref="SFG4:SFG5"/>
    <mergeCell ref="SFH4:SFH5"/>
    <mergeCell ref="SFI4:SFI5"/>
    <mergeCell ref="SFJ4:SFJ5"/>
    <mergeCell ref="SFA4:SFA5"/>
    <mergeCell ref="SFB4:SFB5"/>
    <mergeCell ref="SFC4:SFC5"/>
    <mergeCell ref="SFD4:SFD5"/>
    <mergeCell ref="SFE4:SFE5"/>
    <mergeCell ref="SEV4:SEV5"/>
    <mergeCell ref="SEW4:SEW5"/>
    <mergeCell ref="SEX4:SEX5"/>
    <mergeCell ref="SEY4:SEY5"/>
    <mergeCell ref="SEZ4:SEZ5"/>
    <mergeCell ref="SHI4:SHI5"/>
    <mergeCell ref="SHJ4:SHJ5"/>
    <mergeCell ref="SHK4:SHK5"/>
    <mergeCell ref="SHL4:SHL5"/>
    <mergeCell ref="SHM4:SHM5"/>
    <mergeCell ref="SHD4:SHD5"/>
    <mergeCell ref="SHE4:SHE5"/>
    <mergeCell ref="SHF4:SHF5"/>
    <mergeCell ref="SHG4:SHG5"/>
    <mergeCell ref="SHH4:SHH5"/>
    <mergeCell ref="SGY4:SGY5"/>
    <mergeCell ref="SGZ4:SGZ5"/>
    <mergeCell ref="SHA4:SHA5"/>
    <mergeCell ref="SHB4:SHB5"/>
    <mergeCell ref="SHC4:SHC5"/>
    <mergeCell ref="SGT4:SGT5"/>
    <mergeCell ref="SGU4:SGU5"/>
    <mergeCell ref="SGV4:SGV5"/>
    <mergeCell ref="SGW4:SGW5"/>
    <mergeCell ref="SGX4:SGX5"/>
    <mergeCell ref="SGO4:SGO5"/>
    <mergeCell ref="SGP4:SGP5"/>
    <mergeCell ref="SGQ4:SGQ5"/>
    <mergeCell ref="SGR4:SGR5"/>
    <mergeCell ref="SGS4:SGS5"/>
    <mergeCell ref="SGJ4:SGJ5"/>
    <mergeCell ref="SGK4:SGK5"/>
    <mergeCell ref="SGL4:SGL5"/>
    <mergeCell ref="SGM4:SGM5"/>
    <mergeCell ref="SGN4:SGN5"/>
    <mergeCell ref="SGE4:SGE5"/>
    <mergeCell ref="SGF4:SGF5"/>
    <mergeCell ref="SGG4:SGG5"/>
    <mergeCell ref="SGH4:SGH5"/>
    <mergeCell ref="SGI4:SGI5"/>
    <mergeCell ref="SIR4:SIR5"/>
    <mergeCell ref="SIS4:SIS5"/>
    <mergeCell ref="SIT4:SIT5"/>
    <mergeCell ref="SIU4:SIU5"/>
    <mergeCell ref="SIV4:SIV5"/>
    <mergeCell ref="SIM4:SIM5"/>
    <mergeCell ref="SIN4:SIN5"/>
    <mergeCell ref="SIO4:SIO5"/>
    <mergeCell ref="SIP4:SIP5"/>
    <mergeCell ref="SIQ4:SIQ5"/>
    <mergeCell ref="SIH4:SIH5"/>
    <mergeCell ref="SII4:SII5"/>
    <mergeCell ref="SIJ4:SIJ5"/>
    <mergeCell ref="SIK4:SIK5"/>
    <mergeCell ref="SIL4:SIL5"/>
    <mergeCell ref="SIC4:SIC5"/>
    <mergeCell ref="SID4:SID5"/>
    <mergeCell ref="SIE4:SIE5"/>
    <mergeCell ref="SIF4:SIF5"/>
    <mergeCell ref="SIG4:SIG5"/>
    <mergeCell ref="SHX4:SHX5"/>
    <mergeCell ref="SHY4:SHY5"/>
    <mergeCell ref="SHZ4:SHZ5"/>
    <mergeCell ref="SIA4:SIA5"/>
    <mergeCell ref="SIB4:SIB5"/>
    <mergeCell ref="SHS4:SHS5"/>
    <mergeCell ref="SHT4:SHT5"/>
    <mergeCell ref="SHU4:SHU5"/>
    <mergeCell ref="SHV4:SHV5"/>
    <mergeCell ref="SHW4:SHW5"/>
    <mergeCell ref="SHN4:SHN5"/>
    <mergeCell ref="SHO4:SHO5"/>
    <mergeCell ref="SHP4:SHP5"/>
    <mergeCell ref="SHQ4:SHQ5"/>
    <mergeCell ref="SHR4:SHR5"/>
    <mergeCell ref="SKA4:SKA5"/>
    <mergeCell ref="SKB4:SKB5"/>
    <mergeCell ref="SKC4:SKC5"/>
    <mergeCell ref="SKD4:SKD5"/>
    <mergeCell ref="SKE4:SKE5"/>
    <mergeCell ref="SJV4:SJV5"/>
    <mergeCell ref="SJW4:SJW5"/>
    <mergeCell ref="SJX4:SJX5"/>
    <mergeCell ref="SJY4:SJY5"/>
    <mergeCell ref="SJZ4:SJZ5"/>
    <mergeCell ref="SJQ4:SJQ5"/>
    <mergeCell ref="SJR4:SJR5"/>
    <mergeCell ref="SJS4:SJS5"/>
    <mergeCell ref="SJT4:SJT5"/>
    <mergeCell ref="SJU4:SJU5"/>
    <mergeCell ref="SJL4:SJL5"/>
    <mergeCell ref="SJM4:SJM5"/>
    <mergeCell ref="SJN4:SJN5"/>
    <mergeCell ref="SJO4:SJO5"/>
    <mergeCell ref="SJP4:SJP5"/>
    <mergeCell ref="SJG4:SJG5"/>
    <mergeCell ref="SJH4:SJH5"/>
    <mergeCell ref="SJI4:SJI5"/>
    <mergeCell ref="SJJ4:SJJ5"/>
    <mergeCell ref="SJK4:SJK5"/>
    <mergeCell ref="SJB4:SJB5"/>
    <mergeCell ref="SJC4:SJC5"/>
    <mergeCell ref="SJD4:SJD5"/>
    <mergeCell ref="SJE4:SJE5"/>
    <mergeCell ref="SJF4:SJF5"/>
    <mergeCell ref="SIW4:SIW5"/>
    <mergeCell ref="SIX4:SIX5"/>
    <mergeCell ref="SIY4:SIY5"/>
    <mergeCell ref="SIZ4:SIZ5"/>
    <mergeCell ref="SJA4:SJA5"/>
    <mergeCell ref="SLJ4:SLJ5"/>
    <mergeCell ref="SLK4:SLK5"/>
    <mergeCell ref="SLL4:SLL5"/>
    <mergeCell ref="SLM4:SLM5"/>
    <mergeCell ref="SLN4:SLN5"/>
    <mergeCell ref="SLE4:SLE5"/>
    <mergeCell ref="SLF4:SLF5"/>
    <mergeCell ref="SLG4:SLG5"/>
    <mergeCell ref="SLH4:SLH5"/>
    <mergeCell ref="SLI4:SLI5"/>
    <mergeCell ref="SKZ4:SKZ5"/>
    <mergeCell ref="SLA4:SLA5"/>
    <mergeCell ref="SLB4:SLB5"/>
    <mergeCell ref="SLC4:SLC5"/>
    <mergeCell ref="SLD4:SLD5"/>
    <mergeCell ref="SKU4:SKU5"/>
    <mergeCell ref="SKV4:SKV5"/>
    <mergeCell ref="SKW4:SKW5"/>
    <mergeCell ref="SKX4:SKX5"/>
    <mergeCell ref="SKY4:SKY5"/>
    <mergeCell ref="SKP4:SKP5"/>
    <mergeCell ref="SKQ4:SKQ5"/>
    <mergeCell ref="SKR4:SKR5"/>
    <mergeCell ref="SKS4:SKS5"/>
    <mergeCell ref="SKT4:SKT5"/>
    <mergeCell ref="SKK4:SKK5"/>
    <mergeCell ref="SKL4:SKL5"/>
    <mergeCell ref="SKM4:SKM5"/>
    <mergeCell ref="SKN4:SKN5"/>
    <mergeCell ref="SKO4:SKO5"/>
    <mergeCell ref="SKF4:SKF5"/>
    <mergeCell ref="SKG4:SKG5"/>
    <mergeCell ref="SKH4:SKH5"/>
    <mergeCell ref="SKI4:SKI5"/>
    <mergeCell ref="SKJ4:SKJ5"/>
    <mergeCell ref="SMS4:SMS5"/>
    <mergeCell ref="SMT4:SMT5"/>
    <mergeCell ref="SMU4:SMU5"/>
    <mergeCell ref="SMV4:SMV5"/>
    <mergeCell ref="SMW4:SMW5"/>
    <mergeCell ref="SMN4:SMN5"/>
    <mergeCell ref="SMO4:SMO5"/>
    <mergeCell ref="SMP4:SMP5"/>
    <mergeCell ref="SMQ4:SMQ5"/>
    <mergeCell ref="SMR4:SMR5"/>
    <mergeCell ref="SMI4:SMI5"/>
    <mergeCell ref="SMJ4:SMJ5"/>
    <mergeCell ref="SMK4:SMK5"/>
    <mergeCell ref="SML4:SML5"/>
    <mergeCell ref="SMM4:SMM5"/>
    <mergeCell ref="SMD4:SMD5"/>
    <mergeCell ref="SME4:SME5"/>
    <mergeCell ref="SMF4:SMF5"/>
    <mergeCell ref="SMG4:SMG5"/>
    <mergeCell ref="SMH4:SMH5"/>
    <mergeCell ref="SLY4:SLY5"/>
    <mergeCell ref="SLZ4:SLZ5"/>
    <mergeCell ref="SMA4:SMA5"/>
    <mergeCell ref="SMB4:SMB5"/>
    <mergeCell ref="SMC4:SMC5"/>
    <mergeCell ref="SLT4:SLT5"/>
    <mergeCell ref="SLU4:SLU5"/>
    <mergeCell ref="SLV4:SLV5"/>
    <mergeCell ref="SLW4:SLW5"/>
    <mergeCell ref="SLX4:SLX5"/>
    <mergeCell ref="SLO4:SLO5"/>
    <mergeCell ref="SLP4:SLP5"/>
    <mergeCell ref="SLQ4:SLQ5"/>
    <mergeCell ref="SLR4:SLR5"/>
    <mergeCell ref="SLS4:SLS5"/>
    <mergeCell ref="SOB4:SOB5"/>
    <mergeCell ref="SOC4:SOC5"/>
    <mergeCell ref="SOD4:SOD5"/>
    <mergeCell ref="SOE4:SOE5"/>
    <mergeCell ref="SOF4:SOF5"/>
    <mergeCell ref="SNW4:SNW5"/>
    <mergeCell ref="SNX4:SNX5"/>
    <mergeCell ref="SNY4:SNY5"/>
    <mergeCell ref="SNZ4:SNZ5"/>
    <mergeCell ref="SOA4:SOA5"/>
    <mergeCell ref="SNR4:SNR5"/>
    <mergeCell ref="SNS4:SNS5"/>
    <mergeCell ref="SNT4:SNT5"/>
    <mergeCell ref="SNU4:SNU5"/>
    <mergeCell ref="SNV4:SNV5"/>
    <mergeCell ref="SNM4:SNM5"/>
    <mergeCell ref="SNN4:SNN5"/>
    <mergeCell ref="SNO4:SNO5"/>
    <mergeCell ref="SNP4:SNP5"/>
    <mergeCell ref="SNQ4:SNQ5"/>
    <mergeCell ref="SNH4:SNH5"/>
    <mergeCell ref="SNI4:SNI5"/>
    <mergeCell ref="SNJ4:SNJ5"/>
    <mergeCell ref="SNK4:SNK5"/>
    <mergeCell ref="SNL4:SNL5"/>
    <mergeCell ref="SNC4:SNC5"/>
    <mergeCell ref="SND4:SND5"/>
    <mergeCell ref="SNE4:SNE5"/>
    <mergeCell ref="SNF4:SNF5"/>
    <mergeCell ref="SNG4:SNG5"/>
    <mergeCell ref="SMX4:SMX5"/>
    <mergeCell ref="SMY4:SMY5"/>
    <mergeCell ref="SMZ4:SMZ5"/>
    <mergeCell ref="SNA4:SNA5"/>
    <mergeCell ref="SNB4:SNB5"/>
    <mergeCell ref="SPK4:SPK5"/>
    <mergeCell ref="SPL4:SPL5"/>
    <mergeCell ref="SPM4:SPM5"/>
    <mergeCell ref="SPN4:SPN5"/>
    <mergeCell ref="SPO4:SPO5"/>
    <mergeCell ref="SPF4:SPF5"/>
    <mergeCell ref="SPG4:SPG5"/>
    <mergeCell ref="SPH4:SPH5"/>
    <mergeCell ref="SPI4:SPI5"/>
    <mergeCell ref="SPJ4:SPJ5"/>
    <mergeCell ref="SPA4:SPA5"/>
    <mergeCell ref="SPB4:SPB5"/>
    <mergeCell ref="SPC4:SPC5"/>
    <mergeCell ref="SPD4:SPD5"/>
    <mergeCell ref="SPE4:SPE5"/>
    <mergeCell ref="SOV4:SOV5"/>
    <mergeCell ref="SOW4:SOW5"/>
    <mergeCell ref="SOX4:SOX5"/>
    <mergeCell ref="SOY4:SOY5"/>
    <mergeCell ref="SOZ4:SOZ5"/>
    <mergeCell ref="SOQ4:SOQ5"/>
    <mergeCell ref="SOR4:SOR5"/>
    <mergeCell ref="SOS4:SOS5"/>
    <mergeCell ref="SOT4:SOT5"/>
    <mergeCell ref="SOU4:SOU5"/>
    <mergeCell ref="SOL4:SOL5"/>
    <mergeCell ref="SOM4:SOM5"/>
    <mergeCell ref="SON4:SON5"/>
    <mergeCell ref="SOO4:SOO5"/>
    <mergeCell ref="SOP4:SOP5"/>
    <mergeCell ref="SOG4:SOG5"/>
    <mergeCell ref="SOH4:SOH5"/>
    <mergeCell ref="SOI4:SOI5"/>
    <mergeCell ref="SOJ4:SOJ5"/>
    <mergeCell ref="SOK4:SOK5"/>
    <mergeCell ref="SQT4:SQT5"/>
    <mergeCell ref="SQU4:SQU5"/>
    <mergeCell ref="SQV4:SQV5"/>
    <mergeCell ref="SQW4:SQW5"/>
    <mergeCell ref="SQX4:SQX5"/>
    <mergeCell ref="SQO4:SQO5"/>
    <mergeCell ref="SQP4:SQP5"/>
    <mergeCell ref="SQQ4:SQQ5"/>
    <mergeCell ref="SQR4:SQR5"/>
    <mergeCell ref="SQS4:SQS5"/>
    <mergeCell ref="SQJ4:SQJ5"/>
    <mergeCell ref="SQK4:SQK5"/>
    <mergeCell ref="SQL4:SQL5"/>
    <mergeCell ref="SQM4:SQM5"/>
    <mergeCell ref="SQN4:SQN5"/>
    <mergeCell ref="SQE4:SQE5"/>
    <mergeCell ref="SQF4:SQF5"/>
    <mergeCell ref="SQG4:SQG5"/>
    <mergeCell ref="SQH4:SQH5"/>
    <mergeCell ref="SQI4:SQI5"/>
    <mergeCell ref="SPZ4:SPZ5"/>
    <mergeCell ref="SQA4:SQA5"/>
    <mergeCell ref="SQB4:SQB5"/>
    <mergeCell ref="SQC4:SQC5"/>
    <mergeCell ref="SQD4:SQD5"/>
    <mergeCell ref="SPU4:SPU5"/>
    <mergeCell ref="SPV4:SPV5"/>
    <mergeCell ref="SPW4:SPW5"/>
    <mergeCell ref="SPX4:SPX5"/>
    <mergeCell ref="SPY4:SPY5"/>
    <mergeCell ref="SPP4:SPP5"/>
    <mergeCell ref="SPQ4:SPQ5"/>
    <mergeCell ref="SPR4:SPR5"/>
    <mergeCell ref="SPS4:SPS5"/>
    <mergeCell ref="SPT4:SPT5"/>
    <mergeCell ref="SSC4:SSC5"/>
    <mergeCell ref="SSD4:SSD5"/>
    <mergeCell ref="SSE4:SSE5"/>
    <mergeCell ref="SSF4:SSF5"/>
    <mergeCell ref="SSG4:SSG5"/>
    <mergeCell ref="SRX4:SRX5"/>
    <mergeCell ref="SRY4:SRY5"/>
    <mergeCell ref="SRZ4:SRZ5"/>
    <mergeCell ref="SSA4:SSA5"/>
    <mergeCell ref="SSB4:SSB5"/>
    <mergeCell ref="SRS4:SRS5"/>
    <mergeCell ref="SRT4:SRT5"/>
    <mergeCell ref="SRU4:SRU5"/>
    <mergeCell ref="SRV4:SRV5"/>
    <mergeCell ref="SRW4:SRW5"/>
    <mergeCell ref="SRN4:SRN5"/>
    <mergeCell ref="SRO4:SRO5"/>
    <mergeCell ref="SRP4:SRP5"/>
    <mergeCell ref="SRQ4:SRQ5"/>
    <mergeCell ref="SRR4:SRR5"/>
    <mergeCell ref="SRI4:SRI5"/>
    <mergeCell ref="SRJ4:SRJ5"/>
    <mergeCell ref="SRK4:SRK5"/>
    <mergeCell ref="SRL4:SRL5"/>
    <mergeCell ref="SRM4:SRM5"/>
    <mergeCell ref="SRD4:SRD5"/>
    <mergeCell ref="SRE4:SRE5"/>
    <mergeCell ref="SRF4:SRF5"/>
    <mergeCell ref="SRG4:SRG5"/>
    <mergeCell ref="SRH4:SRH5"/>
    <mergeCell ref="SQY4:SQY5"/>
    <mergeCell ref="SQZ4:SQZ5"/>
    <mergeCell ref="SRA4:SRA5"/>
    <mergeCell ref="SRB4:SRB5"/>
    <mergeCell ref="SRC4:SRC5"/>
    <mergeCell ref="STL4:STL5"/>
    <mergeCell ref="STM4:STM5"/>
    <mergeCell ref="STN4:STN5"/>
    <mergeCell ref="STO4:STO5"/>
    <mergeCell ref="STP4:STP5"/>
    <mergeCell ref="STG4:STG5"/>
    <mergeCell ref="STH4:STH5"/>
    <mergeCell ref="STI4:STI5"/>
    <mergeCell ref="STJ4:STJ5"/>
    <mergeCell ref="STK4:STK5"/>
    <mergeCell ref="STB4:STB5"/>
    <mergeCell ref="STC4:STC5"/>
    <mergeCell ref="STD4:STD5"/>
    <mergeCell ref="STE4:STE5"/>
    <mergeCell ref="STF4:STF5"/>
    <mergeCell ref="SSW4:SSW5"/>
    <mergeCell ref="SSX4:SSX5"/>
    <mergeCell ref="SSY4:SSY5"/>
    <mergeCell ref="SSZ4:SSZ5"/>
    <mergeCell ref="STA4:STA5"/>
    <mergeCell ref="SSR4:SSR5"/>
    <mergeCell ref="SSS4:SSS5"/>
    <mergeCell ref="SST4:SST5"/>
    <mergeCell ref="SSU4:SSU5"/>
    <mergeCell ref="SSV4:SSV5"/>
    <mergeCell ref="SSM4:SSM5"/>
    <mergeCell ref="SSN4:SSN5"/>
    <mergeCell ref="SSO4:SSO5"/>
    <mergeCell ref="SSP4:SSP5"/>
    <mergeCell ref="SSQ4:SSQ5"/>
    <mergeCell ref="SSH4:SSH5"/>
    <mergeCell ref="SSI4:SSI5"/>
    <mergeCell ref="SSJ4:SSJ5"/>
    <mergeCell ref="SSK4:SSK5"/>
    <mergeCell ref="SSL4:SSL5"/>
    <mergeCell ref="SUU4:SUU5"/>
    <mergeCell ref="SUV4:SUV5"/>
    <mergeCell ref="SUW4:SUW5"/>
    <mergeCell ref="SUX4:SUX5"/>
    <mergeCell ref="SUY4:SUY5"/>
    <mergeCell ref="SUP4:SUP5"/>
    <mergeCell ref="SUQ4:SUQ5"/>
    <mergeCell ref="SUR4:SUR5"/>
    <mergeCell ref="SUS4:SUS5"/>
    <mergeCell ref="SUT4:SUT5"/>
    <mergeCell ref="SUK4:SUK5"/>
    <mergeCell ref="SUL4:SUL5"/>
    <mergeCell ref="SUM4:SUM5"/>
    <mergeCell ref="SUN4:SUN5"/>
    <mergeCell ref="SUO4:SUO5"/>
    <mergeCell ref="SUF4:SUF5"/>
    <mergeCell ref="SUG4:SUG5"/>
    <mergeCell ref="SUH4:SUH5"/>
    <mergeCell ref="SUI4:SUI5"/>
    <mergeCell ref="SUJ4:SUJ5"/>
    <mergeCell ref="SUA4:SUA5"/>
    <mergeCell ref="SUB4:SUB5"/>
    <mergeCell ref="SUC4:SUC5"/>
    <mergeCell ref="SUD4:SUD5"/>
    <mergeCell ref="SUE4:SUE5"/>
    <mergeCell ref="STV4:STV5"/>
    <mergeCell ref="STW4:STW5"/>
    <mergeCell ref="STX4:STX5"/>
    <mergeCell ref="STY4:STY5"/>
    <mergeCell ref="STZ4:STZ5"/>
    <mergeCell ref="STQ4:STQ5"/>
    <mergeCell ref="STR4:STR5"/>
    <mergeCell ref="STS4:STS5"/>
    <mergeCell ref="STT4:STT5"/>
    <mergeCell ref="STU4:STU5"/>
    <mergeCell ref="SWD4:SWD5"/>
    <mergeCell ref="SWE4:SWE5"/>
    <mergeCell ref="SWF4:SWF5"/>
    <mergeCell ref="SWG4:SWG5"/>
    <mergeCell ref="SWH4:SWH5"/>
    <mergeCell ref="SVY4:SVY5"/>
    <mergeCell ref="SVZ4:SVZ5"/>
    <mergeCell ref="SWA4:SWA5"/>
    <mergeCell ref="SWB4:SWB5"/>
    <mergeCell ref="SWC4:SWC5"/>
    <mergeCell ref="SVT4:SVT5"/>
    <mergeCell ref="SVU4:SVU5"/>
    <mergeCell ref="SVV4:SVV5"/>
    <mergeCell ref="SVW4:SVW5"/>
    <mergeCell ref="SVX4:SVX5"/>
    <mergeCell ref="SVO4:SVO5"/>
    <mergeCell ref="SVP4:SVP5"/>
    <mergeCell ref="SVQ4:SVQ5"/>
    <mergeCell ref="SVR4:SVR5"/>
    <mergeCell ref="SVS4:SVS5"/>
    <mergeCell ref="SVJ4:SVJ5"/>
    <mergeCell ref="SVK4:SVK5"/>
    <mergeCell ref="SVL4:SVL5"/>
    <mergeCell ref="SVM4:SVM5"/>
    <mergeCell ref="SVN4:SVN5"/>
    <mergeCell ref="SVE4:SVE5"/>
    <mergeCell ref="SVF4:SVF5"/>
    <mergeCell ref="SVG4:SVG5"/>
    <mergeCell ref="SVH4:SVH5"/>
    <mergeCell ref="SVI4:SVI5"/>
    <mergeCell ref="SUZ4:SUZ5"/>
    <mergeCell ref="SVA4:SVA5"/>
    <mergeCell ref="SVB4:SVB5"/>
    <mergeCell ref="SVC4:SVC5"/>
    <mergeCell ref="SVD4:SVD5"/>
    <mergeCell ref="SXM4:SXM5"/>
    <mergeCell ref="SXN4:SXN5"/>
    <mergeCell ref="SXO4:SXO5"/>
    <mergeCell ref="SXP4:SXP5"/>
    <mergeCell ref="SXQ4:SXQ5"/>
    <mergeCell ref="SXH4:SXH5"/>
    <mergeCell ref="SXI4:SXI5"/>
    <mergeCell ref="SXJ4:SXJ5"/>
    <mergeCell ref="SXK4:SXK5"/>
    <mergeCell ref="SXL4:SXL5"/>
    <mergeCell ref="SXC4:SXC5"/>
    <mergeCell ref="SXD4:SXD5"/>
    <mergeCell ref="SXE4:SXE5"/>
    <mergeCell ref="SXF4:SXF5"/>
    <mergeCell ref="SXG4:SXG5"/>
    <mergeCell ref="SWX4:SWX5"/>
    <mergeCell ref="SWY4:SWY5"/>
    <mergeCell ref="SWZ4:SWZ5"/>
    <mergeCell ref="SXA4:SXA5"/>
    <mergeCell ref="SXB4:SXB5"/>
    <mergeCell ref="SWS4:SWS5"/>
    <mergeCell ref="SWT4:SWT5"/>
    <mergeCell ref="SWU4:SWU5"/>
    <mergeCell ref="SWV4:SWV5"/>
    <mergeCell ref="SWW4:SWW5"/>
    <mergeCell ref="SWN4:SWN5"/>
    <mergeCell ref="SWO4:SWO5"/>
    <mergeCell ref="SWP4:SWP5"/>
    <mergeCell ref="SWQ4:SWQ5"/>
    <mergeCell ref="SWR4:SWR5"/>
    <mergeCell ref="SWI4:SWI5"/>
    <mergeCell ref="SWJ4:SWJ5"/>
    <mergeCell ref="SWK4:SWK5"/>
    <mergeCell ref="SWL4:SWL5"/>
    <mergeCell ref="SWM4:SWM5"/>
    <mergeCell ref="SYV4:SYV5"/>
    <mergeCell ref="SYW4:SYW5"/>
    <mergeCell ref="SYX4:SYX5"/>
    <mergeCell ref="SYY4:SYY5"/>
    <mergeCell ref="SYZ4:SYZ5"/>
    <mergeCell ref="SYQ4:SYQ5"/>
    <mergeCell ref="SYR4:SYR5"/>
    <mergeCell ref="SYS4:SYS5"/>
    <mergeCell ref="SYT4:SYT5"/>
    <mergeCell ref="SYU4:SYU5"/>
    <mergeCell ref="SYL4:SYL5"/>
    <mergeCell ref="SYM4:SYM5"/>
    <mergeCell ref="SYN4:SYN5"/>
    <mergeCell ref="SYO4:SYO5"/>
    <mergeCell ref="SYP4:SYP5"/>
    <mergeCell ref="SYG4:SYG5"/>
    <mergeCell ref="SYH4:SYH5"/>
    <mergeCell ref="SYI4:SYI5"/>
    <mergeCell ref="SYJ4:SYJ5"/>
    <mergeCell ref="SYK4:SYK5"/>
    <mergeCell ref="SYB4:SYB5"/>
    <mergeCell ref="SYC4:SYC5"/>
    <mergeCell ref="SYD4:SYD5"/>
    <mergeCell ref="SYE4:SYE5"/>
    <mergeCell ref="SYF4:SYF5"/>
    <mergeCell ref="SXW4:SXW5"/>
    <mergeCell ref="SXX4:SXX5"/>
    <mergeCell ref="SXY4:SXY5"/>
    <mergeCell ref="SXZ4:SXZ5"/>
    <mergeCell ref="SYA4:SYA5"/>
    <mergeCell ref="SXR4:SXR5"/>
    <mergeCell ref="SXS4:SXS5"/>
    <mergeCell ref="SXT4:SXT5"/>
    <mergeCell ref="SXU4:SXU5"/>
    <mergeCell ref="SXV4:SXV5"/>
    <mergeCell ref="TAE4:TAE5"/>
    <mergeCell ref="TAF4:TAF5"/>
    <mergeCell ref="TAG4:TAG5"/>
    <mergeCell ref="TAH4:TAH5"/>
    <mergeCell ref="TAI4:TAI5"/>
    <mergeCell ref="SZZ4:SZZ5"/>
    <mergeCell ref="TAA4:TAA5"/>
    <mergeCell ref="TAB4:TAB5"/>
    <mergeCell ref="TAC4:TAC5"/>
    <mergeCell ref="TAD4:TAD5"/>
    <mergeCell ref="SZU4:SZU5"/>
    <mergeCell ref="SZV4:SZV5"/>
    <mergeCell ref="SZW4:SZW5"/>
    <mergeCell ref="SZX4:SZX5"/>
    <mergeCell ref="SZY4:SZY5"/>
    <mergeCell ref="SZP4:SZP5"/>
    <mergeCell ref="SZQ4:SZQ5"/>
    <mergeCell ref="SZR4:SZR5"/>
    <mergeCell ref="SZS4:SZS5"/>
    <mergeCell ref="SZT4:SZT5"/>
    <mergeCell ref="SZK4:SZK5"/>
    <mergeCell ref="SZL4:SZL5"/>
    <mergeCell ref="SZM4:SZM5"/>
    <mergeCell ref="SZN4:SZN5"/>
    <mergeCell ref="SZO4:SZO5"/>
    <mergeCell ref="SZF4:SZF5"/>
    <mergeCell ref="SZG4:SZG5"/>
    <mergeCell ref="SZH4:SZH5"/>
    <mergeCell ref="SZI4:SZI5"/>
    <mergeCell ref="SZJ4:SZJ5"/>
    <mergeCell ref="SZA4:SZA5"/>
    <mergeCell ref="SZB4:SZB5"/>
    <mergeCell ref="SZC4:SZC5"/>
    <mergeCell ref="SZD4:SZD5"/>
    <mergeCell ref="SZE4:SZE5"/>
    <mergeCell ref="TBN4:TBN5"/>
    <mergeCell ref="TBO4:TBO5"/>
    <mergeCell ref="TBP4:TBP5"/>
    <mergeCell ref="TBQ4:TBQ5"/>
    <mergeCell ref="TBR4:TBR5"/>
    <mergeCell ref="TBI4:TBI5"/>
    <mergeCell ref="TBJ4:TBJ5"/>
    <mergeCell ref="TBK4:TBK5"/>
    <mergeCell ref="TBL4:TBL5"/>
    <mergeCell ref="TBM4:TBM5"/>
    <mergeCell ref="TBD4:TBD5"/>
    <mergeCell ref="TBE4:TBE5"/>
    <mergeCell ref="TBF4:TBF5"/>
    <mergeCell ref="TBG4:TBG5"/>
    <mergeCell ref="TBH4:TBH5"/>
    <mergeCell ref="TAY4:TAY5"/>
    <mergeCell ref="TAZ4:TAZ5"/>
    <mergeCell ref="TBA4:TBA5"/>
    <mergeCell ref="TBB4:TBB5"/>
    <mergeCell ref="TBC4:TBC5"/>
    <mergeCell ref="TAT4:TAT5"/>
    <mergeCell ref="TAU4:TAU5"/>
    <mergeCell ref="TAV4:TAV5"/>
    <mergeCell ref="TAW4:TAW5"/>
    <mergeCell ref="TAX4:TAX5"/>
    <mergeCell ref="TAO4:TAO5"/>
    <mergeCell ref="TAP4:TAP5"/>
    <mergeCell ref="TAQ4:TAQ5"/>
    <mergeCell ref="TAR4:TAR5"/>
    <mergeCell ref="TAS4:TAS5"/>
    <mergeCell ref="TAJ4:TAJ5"/>
    <mergeCell ref="TAK4:TAK5"/>
    <mergeCell ref="TAL4:TAL5"/>
    <mergeCell ref="TAM4:TAM5"/>
    <mergeCell ref="TAN4:TAN5"/>
    <mergeCell ref="TCW4:TCW5"/>
    <mergeCell ref="TCX4:TCX5"/>
    <mergeCell ref="TCY4:TCY5"/>
    <mergeCell ref="TCZ4:TCZ5"/>
    <mergeCell ref="TDA4:TDA5"/>
    <mergeCell ref="TCR4:TCR5"/>
    <mergeCell ref="TCS4:TCS5"/>
    <mergeCell ref="TCT4:TCT5"/>
    <mergeCell ref="TCU4:TCU5"/>
    <mergeCell ref="TCV4:TCV5"/>
    <mergeCell ref="TCM4:TCM5"/>
    <mergeCell ref="TCN4:TCN5"/>
    <mergeCell ref="TCO4:TCO5"/>
    <mergeCell ref="TCP4:TCP5"/>
    <mergeCell ref="TCQ4:TCQ5"/>
    <mergeCell ref="TCH4:TCH5"/>
    <mergeCell ref="TCI4:TCI5"/>
    <mergeCell ref="TCJ4:TCJ5"/>
    <mergeCell ref="TCK4:TCK5"/>
    <mergeCell ref="TCL4:TCL5"/>
    <mergeCell ref="TCC4:TCC5"/>
    <mergeCell ref="TCD4:TCD5"/>
    <mergeCell ref="TCE4:TCE5"/>
    <mergeCell ref="TCF4:TCF5"/>
    <mergeCell ref="TCG4:TCG5"/>
    <mergeCell ref="TBX4:TBX5"/>
    <mergeCell ref="TBY4:TBY5"/>
    <mergeCell ref="TBZ4:TBZ5"/>
    <mergeCell ref="TCA4:TCA5"/>
    <mergeCell ref="TCB4:TCB5"/>
    <mergeCell ref="TBS4:TBS5"/>
    <mergeCell ref="TBT4:TBT5"/>
    <mergeCell ref="TBU4:TBU5"/>
    <mergeCell ref="TBV4:TBV5"/>
    <mergeCell ref="TBW4:TBW5"/>
    <mergeCell ref="TEF4:TEF5"/>
    <mergeCell ref="TEG4:TEG5"/>
    <mergeCell ref="TEH4:TEH5"/>
    <mergeCell ref="TEI4:TEI5"/>
    <mergeCell ref="TEJ4:TEJ5"/>
    <mergeCell ref="TEA4:TEA5"/>
    <mergeCell ref="TEB4:TEB5"/>
    <mergeCell ref="TEC4:TEC5"/>
    <mergeCell ref="TED4:TED5"/>
    <mergeCell ref="TEE4:TEE5"/>
    <mergeCell ref="TDV4:TDV5"/>
    <mergeCell ref="TDW4:TDW5"/>
    <mergeCell ref="TDX4:TDX5"/>
    <mergeCell ref="TDY4:TDY5"/>
    <mergeCell ref="TDZ4:TDZ5"/>
    <mergeCell ref="TDQ4:TDQ5"/>
    <mergeCell ref="TDR4:TDR5"/>
    <mergeCell ref="TDS4:TDS5"/>
    <mergeCell ref="TDT4:TDT5"/>
    <mergeCell ref="TDU4:TDU5"/>
    <mergeCell ref="TDL4:TDL5"/>
    <mergeCell ref="TDM4:TDM5"/>
    <mergeCell ref="TDN4:TDN5"/>
    <mergeCell ref="TDO4:TDO5"/>
    <mergeCell ref="TDP4:TDP5"/>
    <mergeCell ref="TDG4:TDG5"/>
    <mergeCell ref="TDH4:TDH5"/>
    <mergeCell ref="TDI4:TDI5"/>
    <mergeCell ref="TDJ4:TDJ5"/>
    <mergeCell ref="TDK4:TDK5"/>
    <mergeCell ref="TDB4:TDB5"/>
    <mergeCell ref="TDC4:TDC5"/>
    <mergeCell ref="TDD4:TDD5"/>
    <mergeCell ref="TDE4:TDE5"/>
    <mergeCell ref="TDF4:TDF5"/>
    <mergeCell ref="TFO4:TFO5"/>
    <mergeCell ref="TFP4:TFP5"/>
    <mergeCell ref="TFQ4:TFQ5"/>
    <mergeCell ref="TFR4:TFR5"/>
    <mergeCell ref="TFS4:TFS5"/>
    <mergeCell ref="TFJ4:TFJ5"/>
    <mergeCell ref="TFK4:TFK5"/>
    <mergeCell ref="TFL4:TFL5"/>
    <mergeCell ref="TFM4:TFM5"/>
    <mergeCell ref="TFN4:TFN5"/>
    <mergeCell ref="TFE4:TFE5"/>
    <mergeCell ref="TFF4:TFF5"/>
    <mergeCell ref="TFG4:TFG5"/>
    <mergeCell ref="TFH4:TFH5"/>
    <mergeCell ref="TFI4:TFI5"/>
    <mergeCell ref="TEZ4:TEZ5"/>
    <mergeCell ref="TFA4:TFA5"/>
    <mergeCell ref="TFB4:TFB5"/>
    <mergeCell ref="TFC4:TFC5"/>
    <mergeCell ref="TFD4:TFD5"/>
    <mergeCell ref="TEU4:TEU5"/>
    <mergeCell ref="TEV4:TEV5"/>
    <mergeCell ref="TEW4:TEW5"/>
    <mergeCell ref="TEX4:TEX5"/>
    <mergeCell ref="TEY4:TEY5"/>
    <mergeCell ref="TEP4:TEP5"/>
    <mergeCell ref="TEQ4:TEQ5"/>
    <mergeCell ref="TER4:TER5"/>
    <mergeCell ref="TES4:TES5"/>
    <mergeCell ref="TET4:TET5"/>
    <mergeCell ref="TEK4:TEK5"/>
    <mergeCell ref="TEL4:TEL5"/>
    <mergeCell ref="TEM4:TEM5"/>
    <mergeCell ref="TEN4:TEN5"/>
    <mergeCell ref="TEO4:TEO5"/>
    <mergeCell ref="TGX4:TGX5"/>
    <mergeCell ref="TGY4:TGY5"/>
    <mergeCell ref="TGZ4:TGZ5"/>
    <mergeCell ref="THA4:THA5"/>
    <mergeCell ref="THB4:THB5"/>
    <mergeCell ref="TGS4:TGS5"/>
    <mergeCell ref="TGT4:TGT5"/>
    <mergeCell ref="TGU4:TGU5"/>
    <mergeCell ref="TGV4:TGV5"/>
    <mergeCell ref="TGW4:TGW5"/>
    <mergeCell ref="TGN4:TGN5"/>
    <mergeCell ref="TGO4:TGO5"/>
    <mergeCell ref="TGP4:TGP5"/>
    <mergeCell ref="TGQ4:TGQ5"/>
    <mergeCell ref="TGR4:TGR5"/>
    <mergeCell ref="TGI4:TGI5"/>
    <mergeCell ref="TGJ4:TGJ5"/>
    <mergeCell ref="TGK4:TGK5"/>
    <mergeCell ref="TGL4:TGL5"/>
    <mergeCell ref="TGM4:TGM5"/>
    <mergeCell ref="TGD4:TGD5"/>
    <mergeCell ref="TGE4:TGE5"/>
    <mergeCell ref="TGF4:TGF5"/>
    <mergeCell ref="TGG4:TGG5"/>
    <mergeCell ref="TGH4:TGH5"/>
    <mergeCell ref="TFY4:TFY5"/>
    <mergeCell ref="TFZ4:TFZ5"/>
    <mergeCell ref="TGA4:TGA5"/>
    <mergeCell ref="TGB4:TGB5"/>
    <mergeCell ref="TGC4:TGC5"/>
    <mergeCell ref="TFT4:TFT5"/>
    <mergeCell ref="TFU4:TFU5"/>
    <mergeCell ref="TFV4:TFV5"/>
    <mergeCell ref="TFW4:TFW5"/>
    <mergeCell ref="TFX4:TFX5"/>
    <mergeCell ref="TIG4:TIG5"/>
    <mergeCell ref="TIH4:TIH5"/>
    <mergeCell ref="TII4:TII5"/>
    <mergeCell ref="TIJ4:TIJ5"/>
    <mergeCell ref="TIK4:TIK5"/>
    <mergeCell ref="TIB4:TIB5"/>
    <mergeCell ref="TIC4:TIC5"/>
    <mergeCell ref="TID4:TID5"/>
    <mergeCell ref="TIE4:TIE5"/>
    <mergeCell ref="TIF4:TIF5"/>
    <mergeCell ref="THW4:THW5"/>
    <mergeCell ref="THX4:THX5"/>
    <mergeCell ref="THY4:THY5"/>
    <mergeCell ref="THZ4:THZ5"/>
    <mergeCell ref="TIA4:TIA5"/>
    <mergeCell ref="THR4:THR5"/>
    <mergeCell ref="THS4:THS5"/>
    <mergeCell ref="THT4:THT5"/>
    <mergeCell ref="THU4:THU5"/>
    <mergeCell ref="THV4:THV5"/>
    <mergeCell ref="THM4:THM5"/>
    <mergeCell ref="THN4:THN5"/>
    <mergeCell ref="THO4:THO5"/>
    <mergeCell ref="THP4:THP5"/>
    <mergeCell ref="THQ4:THQ5"/>
    <mergeCell ref="THH4:THH5"/>
    <mergeCell ref="THI4:THI5"/>
    <mergeCell ref="THJ4:THJ5"/>
    <mergeCell ref="THK4:THK5"/>
    <mergeCell ref="THL4:THL5"/>
    <mergeCell ref="THC4:THC5"/>
    <mergeCell ref="THD4:THD5"/>
    <mergeCell ref="THE4:THE5"/>
    <mergeCell ref="THF4:THF5"/>
    <mergeCell ref="THG4:THG5"/>
    <mergeCell ref="TJP4:TJP5"/>
    <mergeCell ref="TJQ4:TJQ5"/>
    <mergeCell ref="TJR4:TJR5"/>
    <mergeCell ref="TJS4:TJS5"/>
    <mergeCell ref="TJT4:TJT5"/>
    <mergeCell ref="TJK4:TJK5"/>
    <mergeCell ref="TJL4:TJL5"/>
    <mergeCell ref="TJM4:TJM5"/>
    <mergeCell ref="TJN4:TJN5"/>
    <mergeCell ref="TJO4:TJO5"/>
    <mergeCell ref="TJF4:TJF5"/>
    <mergeCell ref="TJG4:TJG5"/>
    <mergeCell ref="TJH4:TJH5"/>
    <mergeCell ref="TJI4:TJI5"/>
    <mergeCell ref="TJJ4:TJJ5"/>
    <mergeCell ref="TJA4:TJA5"/>
    <mergeCell ref="TJB4:TJB5"/>
    <mergeCell ref="TJC4:TJC5"/>
    <mergeCell ref="TJD4:TJD5"/>
    <mergeCell ref="TJE4:TJE5"/>
    <mergeCell ref="TIV4:TIV5"/>
    <mergeCell ref="TIW4:TIW5"/>
    <mergeCell ref="TIX4:TIX5"/>
    <mergeCell ref="TIY4:TIY5"/>
    <mergeCell ref="TIZ4:TIZ5"/>
    <mergeCell ref="TIQ4:TIQ5"/>
    <mergeCell ref="TIR4:TIR5"/>
    <mergeCell ref="TIS4:TIS5"/>
    <mergeCell ref="TIT4:TIT5"/>
    <mergeCell ref="TIU4:TIU5"/>
    <mergeCell ref="TIL4:TIL5"/>
    <mergeCell ref="TIM4:TIM5"/>
    <mergeCell ref="TIN4:TIN5"/>
    <mergeCell ref="TIO4:TIO5"/>
    <mergeCell ref="TIP4:TIP5"/>
    <mergeCell ref="TKY4:TKY5"/>
    <mergeCell ref="TKZ4:TKZ5"/>
    <mergeCell ref="TLA4:TLA5"/>
    <mergeCell ref="TLB4:TLB5"/>
    <mergeCell ref="TLC4:TLC5"/>
    <mergeCell ref="TKT4:TKT5"/>
    <mergeCell ref="TKU4:TKU5"/>
    <mergeCell ref="TKV4:TKV5"/>
    <mergeCell ref="TKW4:TKW5"/>
    <mergeCell ref="TKX4:TKX5"/>
    <mergeCell ref="TKO4:TKO5"/>
    <mergeCell ref="TKP4:TKP5"/>
    <mergeCell ref="TKQ4:TKQ5"/>
    <mergeCell ref="TKR4:TKR5"/>
    <mergeCell ref="TKS4:TKS5"/>
    <mergeCell ref="TKJ4:TKJ5"/>
    <mergeCell ref="TKK4:TKK5"/>
    <mergeCell ref="TKL4:TKL5"/>
    <mergeCell ref="TKM4:TKM5"/>
    <mergeCell ref="TKN4:TKN5"/>
    <mergeCell ref="TKE4:TKE5"/>
    <mergeCell ref="TKF4:TKF5"/>
    <mergeCell ref="TKG4:TKG5"/>
    <mergeCell ref="TKH4:TKH5"/>
    <mergeCell ref="TKI4:TKI5"/>
    <mergeCell ref="TJZ4:TJZ5"/>
    <mergeCell ref="TKA4:TKA5"/>
    <mergeCell ref="TKB4:TKB5"/>
    <mergeCell ref="TKC4:TKC5"/>
    <mergeCell ref="TKD4:TKD5"/>
    <mergeCell ref="TJU4:TJU5"/>
    <mergeCell ref="TJV4:TJV5"/>
    <mergeCell ref="TJW4:TJW5"/>
    <mergeCell ref="TJX4:TJX5"/>
    <mergeCell ref="TJY4:TJY5"/>
    <mergeCell ref="TMH4:TMH5"/>
    <mergeCell ref="TMI4:TMI5"/>
    <mergeCell ref="TMJ4:TMJ5"/>
    <mergeCell ref="TMK4:TMK5"/>
    <mergeCell ref="TML4:TML5"/>
    <mergeCell ref="TMC4:TMC5"/>
    <mergeCell ref="TMD4:TMD5"/>
    <mergeCell ref="TME4:TME5"/>
    <mergeCell ref="TMF4:TMF5"/>
    <mergeCell ref="TMG4:TMG5"/>
    <mergeCell ref="TLX4:TLX5"/>
    <mergeCell ref="TLY4:TLY5"/>
    <mergeCell ref="TLZ4:TLZ5"/>
    <mergeCell ref="TMA4:TMA5"/>
    <mergeCell ref="TMB4:TMB5"/>
    <mergeCell ref="TLS4:TLS5"/>
    <mergeCell ref="TLT4:TLT5"/>
    <mergeCell ref="TLU4:TLU5"/>
    <mergeCell ref="TLV4:TLV5"/>
    <mergeCell ref="TLW4:TLW5"/>
    <mergeCell ref="TLN4:TLN5"/>
    <mergeCell ref="TLO4:TLO5"/>
    <mergeCell ref="TLP4:TLP5"/>
    <mergeCell ref="TLQ4:TLQ5"/>
    <mergeCell ref="TLR4:TLR5"/>
    <mergeCell ref="TLI4:TLI5"/>
    <mergeCell ref="TLJ4:TLJ5"/>
    <mergeCell ref="TLK4:TLK5"/>
    <mergeCell ref="TLL4:TLL5"/>
    <mergeCell ref="TLM4:TLM5"/>
    <mergeCell ref="TLD4:TLD5"/>
    <mergeCell ref="TLE4:TLE5"/>
    <mergeCell ref="TLF4:TLF5"/>
    <mergeCell ref="TLG4:TLG5"/>
    <mergeCell ref="TLH4:TLH5"/>
    <mergeCell ref="TNQ4:TNQ5"/>
    <mergeCell ref="TNR4:TNR5"/>
    <mergeCell ref="TNS4:TNS5"/>
    <mergeCell ref="TNT4:TNT5"/>
    <mergeCell ref="TNU4:TNU5"/>
    <mergeCell ref="TNL4:TNL5"/>
    <mergeCell ref="TNM4:TNM5"/>
    <mergeCell ref="TNN4:TNN5"/>
    <mergeCell ref="TNO4:TNO5"/>
    <mergeCell ref="TNP4:TNP5"/>
    <mergeCell ref="TNG4:TNG5"/>
    <mergeCell ref="TNH4:TNH5"/>
    <mergeCell ref="TNI4:TNI5"/>
    <mergeCell ref="TNJ4:TNJ5"/>
    <mergeCell ref="TNK4:TNK5"/>
    <mergeCell ref="TNB4:TNB5"/>
    <mergeCell ref="TNC4:TNC5"/>
    <mergeCell ref="TND4:TND5"/>
    <mergeCell ref="TNE4:TNE5"/>
    <mergeCell ref="TNF4:TNF5"/>
    <mergeCell ref="TMW4:TMW5"/>
    <mergeCell ref="TMX4:TMX5"/>
    <mergeCell ref="TMY4:TMY5"/>
    <mergeCell ref="TMZ4:TMZ5"/>
    <mergeCell ref="TNA4:TNA5"/>
    <mergeCell ref="TMR4:TMR5"/>
    <mergeCell ref="TMS4:TMS5"/>
    <mergeCell ref="TMT4:TMT5"/>
    <mergeCell ref="TMU4:TMU5"/>
    <mergeCell ref="TMV4:TMV5"/>
    <mergeCell ref="TMM4:TMM5"/>
    <mergeCell ref="TMN4:TMN5"/>
    <mergeCell ref="TMO4:TMO5"/>
    <mergeCell ref="TMP4:TMP5"/>
    <mergeCell ref="TMQ4:TMQ5"/>
    <mergeCell ref="TOZ4:TOZ5"/>
    <mergeCell ref="TPA4:TPA5"/>
    <mergeCell ref="TPB4:TPB5"/>
    <mergeCell ref="TPC4:TPC5"/>
    <mergeCell ref="TPD4:TPD5"/>
    <mergeCell ref="TOU4:TOU5"/>
    <mergeCell ref="TOV4:TOV5"/>
    <mergeCell ref="TOW4:TOW5"/>
    <mergeCell ref="TOX4:TOX5"/>
    <mergeCell ref="TOY4:TOY5"/>
    <mergeCell ref="TOP4:TOP5"/>
    <mergeCell ref="TOQ4:TOQ5"/>
    <mergeCell ref="TOR4:TOR5"/>
    <mergeCell ref="TOS4:TOS5"/>
    <mergeCell ref="TOT4:TOT5"/>
    <mergeCell ref="TOK4:TOK5"/>
    <mergeCell ref="TOL4:TOL5"/>
    <mergeCell ref="TOM4:TOM5"/>
    <mergeCell ref="TON4:TON5"/>
    <mergeCell ref="TOO4:TOO5"/>
    <mergeCell ref="TOF4:TOF5"/>
    <mergeCell ref="TOG4:TOG5"/>
    <mergeCell ref="TOH4:TOH5"/>
    <mergeCell ref="TOI4:TOI5"/>
    <mergeCell ref="TOJ4:TOJ5"/>
    <mergeCell ref="TOA4:TOA5"/>
    <mergeCell ref="TOB4:TOB5"/>
    <mergeCell ref="TOC4:TOC5"/>
    <mergeCell ref="TOD4:TOD5"/>
    <mergeCell ref="TOE4:TOE5"/>
    <mergeCell ref="TNV4:TNV5"/>
    <mergeCell ref="TNW4:TNW5"/>
    <mergeCell ref="TNX4:TNX5"/>
    <mergeCell ref="TNY4:TNY5"/>
    <mergeCell ref="TNZ4:TNZ5"/>
    <mergeCell ref="TQI4:TQI5"/>
    <mergeCell ref="TQJ4:TQJ5"/>
    <mergeCell ref="TQK4:TQK5"/>
    <mergeCell ref="TQL4:TQL5"/>
    <mergeCell ref="TQM4:TQM5"/>
    <mergeCell ref="TQD4:TQD5"/>
    <mergeCell ref="TQE4:TQE5"/>
    <mergeCell ref="TQF4:TQF5"/>
    <mergeCell ref="TQG4:TQG5"/>
    <mergeCell ref="TQH4:TQH5"/>
    <mergeCell ref="TPY4:TPY5"/>
    <mergeCell ref="TPZ4:TPZ5"/>
    <mergeCell ref="TQA4:TQA5"/>
    <mergeCell ref="TQB4:TQB5"/>
    <mergeCell ref="TQC4:TQC5"/>
    <mergeCell ref="TPT4:TPT5"/>
    <mergeCell ref="TPU4:TPU5"/>
    <mergeCell ref="TPV4:TPV5"/>
    <mergeCell ref="TPW4:TPW5"/>
    <mergeCell ref="TPX4:TPX5"/>
    <mergeCell ref="TPO4:TPO5"/>
    <mergeCell ref="TPP4:TPP5"/>
    <mergeCell ref="TPQ4:TPQ5"/>
    <mergeCell ref="TPR4:TPR5"/>
    <mergeCell ref="TPS4:TPS5"/>
    <mergeCell ref="TPJ4:TPJ5"/>
    <mergeCell ref="TPK4:TPK5"/>
    <mergeCell ref="TPL4:TPL5"/>
    <mergeCell ref="TPM4:TPM5"/>
    <mergeCell ref="TPN4:TPN5"/>
    <mergeCell ref="TPE4:TPE5"/>
    <mergeCell ref="TPF4:TPF5"/>
    <mergeCell ref="TPG4:TPG5"/>
    <mergeCell ref="TPH4:TPH5"/>
    <mergeCell ref="TPI4:TPI5"/>
    <mergeCell ref="TRR4:TRR5"/>
    <mergeCell ref="TRS4:TRS5"/>
    <mergeCell ref="TRT4:TRT5"/>
    <mergeCell ref="TRU4:TRU5"/>
    <mergeCell ref="TRV4:TRV5"/>
    <mergeCell ref="TRM4:TRM5"/>
    <mergeCell ref="TRN4:TRN5"/>
    <mergeCell ref="TRO4:TRO5"/>
    <mergeCell ref="TRP4:TRP5"/>
    <mergeCell ref="TRQ4:TRQ5"/>
    <mergeCell ref="TRH4:TRH5"/>
    <mergeCell ref="TRI4:TRI5"/>
    <mergeCell ref="TRJ4:TRJ5"/>
    <mergeCell ref="TRK4:TRK5"/>
    <mergeCell ref="TRL4:TRL5"/>
    <mergeCell ref="TRC4:TRC5"/>
    <mergeCell ref="TRD4:TRD5"/>
    <mergeCell ref="TRE4:TRE5"/>
    <mergeCell ref="TRF4:TRF5"/>
    <mergeCell ref="TRG4:TRG5"/>
    <mergeCell ref="TQX4:TQX5"/>
    <mergeCell ref="TQY4:TQY5"/>
    <mergeCell ref="TQZ4:TQZ5"/>
    <mergeCell ref="TRA4:TRA5"/>
    <mergeCell ref="TRB4:TRB5"/>
    <mergeCell ref="TQS4:TQS5"/>
    <mergeCell ref="TQT4:TQT5"/>
    <mergeCell ref="TQU4:TQU5"/>
    <mergeCell ref="TQV4:TQV5"/>
    <mergeCell ref="TQW4:TQW5"/>
    <mergeCell ref="TQN4:TQN5"/>
    <mergeCell ref="TQO4:TQO5"/>
    <mergeCell ref="TQP4:TQP5"/>
    <mergeCell ref="TQQ4:TQQ5"/>
    <mergeCell ref="TQR4:TQR5"/>
    <mergeCell ref="TTA4:TTA5"/>
    <mergeCell ref="TTB4:TTB5"/>
    <mergeCell ref="TTC4:TTC5"/>
    <mergeCell ref="TTD4:TTD5"/>
    <mergeCell ref="TTE4:TTE5"/>
    <mergeCell ref="TSV4:TSV5"/>
    <mergeCell ref="TSW4:TSW5"/>
    <mergeCell ref="TSX4:TSX5"/>
    <mergeCell ref="TSY4:TSY5"/>
    <mergeCell ref="TSZ4:TSZ5"/>
    <mergeCell ref="TSQ4:TSQ5"/>
    <mergeCell ref="TSR4:TSR5"/>
    <mergeCell ref="TSS4:TSS5"/>
    <mergeCell ref="TST4:TST5"/>
    <mergeCell ref="TSU4:TSU5"/>
    <mergeCell ref="TSL4:TSL5"/>
    <mergeCell ref="TSM4:TSM5"/>
    <mergeCell ref="TSN4:TSN5"/>
    <mergeCell ref="TSO4:TSO5"/>
    <mergeCell ref="TSP4:TSP5"/>
    <mergeCell ref="TSG4:TSG5"/>
    <mergeCell ref="TSH4:TSH5"/>
    <mergeCell ref="TSI4:TSI5"/>
    <mergeCell ref="TSJ4:TSJ5"/>
    <mergeCell ref="TSK4:TSK5"/>
    <mergeCell ref="TSB4:TSB5"/>
    <mergeCell ref="TSC4:TSC5"/>
    <mergeCell ref="TSD4:TSD5"/>
    <mergeCell ref="TSE4:TSE5"/>
    <mergeCell ref="TSF4:TSF5"/>
    <mergeCell ref="TRW4:TRW5"/>
    <mergeCell ref="TRX4:TRX5"/>
    <mergeCell ref="TRY4:TRY5"/>
    <mergeCell ref="TRZ4:TRZ5"/>
    <mergeCell ref="TSA4:TSA5"/>
    <mergeCell ref="TUJ4:TUJ5"/>
    <mergeCell ref="TUK4:TUK5"/>
    <mergeCell ref="TUL4:TUL5"/>
    <mergeCell ref="TUM4:TUM5"/>
    <mergeCell ref="TUN4:TUN5"/>
    <mergeCell ref="TUE4:TUE5"/>
    <mergeCell ref="TUF4:TUF5"/>
    <mergeCell ref="TUG4:TUG5"/>
    <mergeCell ref="TUH4:TUH5"/>
    <mergeCell ref="TUI4:TUI5"/>
    <mergeCell ref="TTZ4:TTZ5"/>
    <mergeCell ref="TUA4:TUA5"/>
    <mergeCell ref="TUB4:TUB5"/>
    <mergeCell ref="TUC4:TUC5"/>
    <mergeCell ref="TUD4:TUD5"/>
    <mergeCell ref="TTU4:TTU5"/>
    <mergeCell ref="TTV4:TTV5"/>
    <mergeCell ref="TTW4:TTW5"/>
    <mergeCell ref="TTX4:TTX5"/>
    <mergeCell ref="TTY4:TTY5"/>
    <mergeCell ref="TTP4:TTP5"/>
    <mergeCell ref="TTQ4:TTQ5"/>
    <mergeCell ref="TTR4:TTR5"/>
    <mergeCell ref="TTS4:TTS5"/>
    <mergeCell ref="TTT4:TTT5"/>
    <mergeCell ref="TTK4:TTK5"/>
    <mergeCell ref="TTL4:TTL5"/>
    <mergeCell ref="TTM4:TTM5"/>
    <mergeCell ref="TTN4:TTN5"/>
    <mergeCell ref="TTO4:TTO5"/>
    <mergeCell ref="TTF4:TTF5"/>
    <mergeCell ref="TTG4:TTG5"/>
    <mergeCell ref="TTH4:TTH5"/>
    <mergeCell ref="TTI4:TTI5"/>
    <mergeCell ref="TTJ4:TTJ5"/>
    <mergeCell ref="TVS4:TVS5"/>
    <mergeCell ref="TVT4:TVT5"/>
    <mergeCell ref="TVU4:TVU5"/>
    <mergeCell ref="TVV4:TVV5"/>
    <mergeCell ref="TVW4:TVW5"/>
    <mergeCell ref="TVN4:TVN5"/>
    <mergeCell ref="TVO4:TVO5"/>
    <mergeCell ref="TVP4:TVP5"/>
    <mergeCell ref="TVQ4:TVQ5"/>
    <mergeCell ref="TVR4:TVR5"/>
    <mergeCell ref="TVI4:TVI5"/>
    <mergeCell ref="TVJ4:TVJ5"/>
    <mergeCell ref="TVK4:TVK5"/>
    <mergeCell ref="TVL4:TVL5"/>
    <mergeCell ref="TVM4:TVM5"/>
    <mergeCell ref="TVD4:TVD5"/>
    <mergeCell ref="TVE4:TVE5"/>
    <mergeCell ref="TVF4:TVF5"/>
    <mergeCell ref="TVG4:TVG5"/>
    <mergeCell ref="TVH4:TVH5"/>
    <mergeCell ref="TUY4:TUY5"/>
    <mergeCell ref="TUZ4:TUZ5"/>
    <mergeCell ref="TVA4:TVA5"/>
    <mergeCell ref="TVB4:TVB5"/>
    <mergeCell ref="TVC4:TVC5"/>
    <mergeCell ref="TUT4:TUT5"/>
    <mergeCell ref="TUU4:TUU5"/>
    <mergeCell ref="TUV4:TUV5"/>
    <mergeCell ref="TUW4:TUW5"/>
    <mergeCell ref="TUX4:TUX5"/>
    <mergeCell ref="TUO4:TUO5"/>
    <mergeCell ref="TUP4:TUP5"/>
    <mergeCell ref="TUQ4:TUQ5"/>
    <mergeCell ref="TUR4:TUR5"/>
    <mergeCell ref="TUS4:TUS5"/>
    <mergeCell ref="TXB4:TXB5"/>
    <mergeCell ref="TXC4:TXC5"/>
    <mergeCell ref="TXD4:TXD5"/>
    <mergeCell ref="TXE4:TXE5"/>
    <mergeCell ref="TXF4:TXF5"/>
    <mergeCell ref="TWW4:TWW5"/>
    <mergeCell ref="TWX4:TWX5"/>
    <mergeCell ref="TWY4:TWY5"/>
    <mergeCell ref="TWZ4:TWZ5"/>
    <mergeCell ref="TXA4:TXA5"/>
    <mergeCell ref="TWR4:TWR5"/>
    <mergeCell ref="TWS4:TWS5"/>
    <mergeCell ref="TWT4:TWT5"/>
    <mergeCell ref="TWU4:TWU5"/>
    <mergeCell ref="TWV4:TWV5"/>
    <mergeCell ref="TWM4:TWM5"/>
    <mergeCell ref="TWN4:TWN5"/>
    <mergeCell ref="TWO4:TWO5"/>
    <mergeCell ref="TWP4:TWP5"/>
    <mergeCell ref="TWQ4:TWQ5"/>
    <mergeCell ref="TWH4:TWH5"/>
    <mergeCell ref="TWI4:TWI5"/>
    <mergeCell ref="TWJ4:TWJ5"/>
    <mergeCell ref="TWK4:TWK5"/>
    <mergeCell ref="TWL4:TWL5"/>
    <mergeCell ref="TWC4:TWC5"/>
    <mergeCell ref="TWD4:TWD5"/>
    <mergeCell ref="TWE4:TWE5"/>
    <mergeCell ref="TWF4:TWF5"/>
    <mergeCell ref="TWG4:TWG5"/>
    <mergeCell ref="TVX4:TVX5"/>
    <mergeCell ref="TVY4:TVY5"/>
    <mergeCell ref="TVZ4:TVZ5"/>
    <mergeCell ref="TWA4:TWA5"/>
    <mergeCell ref="TWB4:TWB5"/>
    <mergeCell ref="TYK4:TYK5"/>
    <mergeCell ref="TYL4:TYL5"/>
    <mergeCell ref="TYM4:TYM5"/>
    <mergeCell ref="TYN4:TYN5"/>
    <mergeCell ref="TYO4:TYO5"/>
    <mergeCell ref="TYF4:TYF5"/>
    <mergeCell ref="TYG4:TYG5"/>
    <mergeCell ref="TYH4:TYH5"/>
    <mergeCell ref="TYI4:TYI5"/>
    <mergeCell ref="TYJ4:TYJ5"/>
    <mergeCell ref="TYA4:TYA5"/>
    <mergeCell ref="TYB4:TYB5"/>
    <mergeCell ref="TYC4:TYC5"/>
    <mergeCell ref="TYD4:TYD5"/>
    <mergeCell ref="TYE4:TYE5"/>
    <mergeCell ref="TXV4:TXV5"/>
    <mergeCell ref="TXW4:TXW5"/>
    <mergeCell ref="TXX4:TXX5"/>
    <mergeCell ref="TXY4:TXY5"/>
    <mergeCell ref="TXZ4:TXZ5"/>
    <mergeCell ref="TXQ4:TXQ5"/>
    <mergeCell ref="TXR4:TXR5"/>
    <mergeCell ref="TXS4:TXS5"/>
    <mergeCell ref="TXT4:TXT5"/>
    <mergeCell ref="TXU4:TXU5"/>
    <mergeCell ref="TXL4:TXL5"/>
    <mergeCell ref="TXM4:TXM5"/>
    <mergeCell ref="TXN4:TXN5"/>
    <mergeCell ref="TXO4:TXO5"/>
    <mergeCell ref="TXP4:TXP5"/>
    <mergeCell ref="TXG4:TXG5"/>
    <mergeCell ref="TXH4:TXH5"/>
    <mergeCell ref="TXI4:TXI5"/>
    <mergeCell ref="TXJ4:TXJ5"/>
    <mergeCell ref="TXK4:TXK5"/>
    <mergeCell ref="TZT4:TZT5"/>
    <mergeCell ref="TZU4:TZU5"/>
    <mergeCell ref="TZV4:TZV5"/>
    <mergeCell ref="TZW4:TZW5"/>
    <mergeCell ref="TZX4:TZX5"/>
    <mergeCell ref="TZO4:TZO5"/>
    <mergeCell ref="TZP4:TZP5"/>
    <mergeCell ref="TZQ4:TZQ5"/>
    <mergeCell ref="TZR4:TZR5"/>
    <mergeCell ref="TZS4:TZS5"/>
    <mergeCell ref="TZJ4:TZJ5"/>
    <mergeCell ref="TZK4:TZK5"/>
    <mergeCell ref="TZL4:TZL5"/>
    <mergeCell ref="TZM4:TZM5"/>
    <mergeCell ref="TZN4:TZN5"/>
    <mergeCell ref="TZE4:TZE5"/>
    <mergeCell ref="TZF4:TZF5"/>
    <mergeCell ref="TZG4:TZG5"/>
    <mergeCell ref="TZH4:TZH5"/>
    <mergeCell ref="TZI4:TZI5"/>
    <mergeCell ref="TYZ4:TYZ5"/>
    <mergeCell ref="TZA4:TZA5"/>
    <mergeCell ref="TZB4:TZB5"/>
    <mergeCell ref="TZC4:TZC5"/>
    <mergeCell ref="TZD4:TZD5"/>
    <mergeCell ref="TYU4:TYU5"/>
    <mergeCell ref="TYV4:TYV5"/>
    <mergeCell ref="TYW4:TYW5"/>
    <mergeCell ref="TYX4:TYX5"/>
    <mergeCell ref="TYY4:TYY5"/>
    <mergeCell ref="TYP4:TYP5"/>
    <mergeCell ref="TYQ4:TYQ5"/>
    <mergeCell ref="TYR4:TYR5"/>
    <mergeCell ref="TYS4:TYS5"/>
    <mergeCell ref="TYT4:TYT5"/>
    <mergeCell ref="UBC4:UBC5"/>
    <mergeCell ref="UBD4:UBD5"/>
    <mergeCell ref="UBE4:UBE5"/>
    <mergeCell ref="UBF4:UBF5"/>
    <mergeCell ref="UBG4:UBG5"/>
    <mergeCell ref="UAX4:UAX5"/>
    <mergeCell ref="UAY4:UAY5"/>
    <mergeCell ref="UAZ4:UAZ5"/>
    <mergeCell ref="UBA4:UBA5"/>
    <mergeCell ref="UBB4:UBB5"/>
    <mergeCell ref="UAS4:UAS5"/>
    <mergeCell ref="UAT4:UAT5"/>
    <mergeCell ref="UAU4:UAU5"/>
    <mergeCell ref="UAV4:UAV5"/>
    <mergeCell ref="UAW4:UAW5"/>
    <mergeCell ref="UAN4:UAN5"/>
    <mergeCell ref="UAO4:UAO5"/>
    <mergeCell ref="UAP4:UAP5"/>
    <mergeCell ref="UAQ4:UAQ5"/>
    <mergeCell ref="UAR4:UAR5"/>
    <mergeCell ref="UAI4:UAI5"/>
    <mergeCell ref="UAJ4:UAJ5"/>
    <mergeCell ref="UAK4:UAK5"/>
    <mergeCell ref="UAL4:UAL5"/>
    <mergeCell ref="UAM4:UAM5"/>
    <mergeCell ref="UAD4:UAD5"/>
    <mergeCell ref="UAE4:UAE5"/>
    <mergeCell ref="UAF4:UAF5"/>
    <mergeCell ref="UAG4:UAG5"/>
    <mergeCell ref="UAH4:UAH5"/>
    <mergeCell ref="TZY4:TZY5"/>
    <mergeCell ref="TZZ4:TZZ5"/>
    <mergeCell ref="UAA4:UAA5"/>
    <mergeCell ref="UAB4:UAB5"/>
    <mergeCell ref="UAC4:UAC5"/>
    <mergeCell ref="UCL4:UCL5"/>
    <mergeCell ref="UCM4:UCM5"/>
    <mergeCell ref="UCN4:UCN5"/>
    <mergeCell ref="UCO4:UCO5"/>
    <mergeCell ref="UCP4:UCP5"/>
    <mergeCell ref="UCG4:UCG5"/>
    <mergeCell ref="UCH4:UCH5"/>
    <mergeCell ref="UCI4:UCI5"/>
    <mergeCell ref="UCJ4:UCJ5"/>
    <mergeCell ref="UCK4:UCK5"/>
    <mergeCell ref="UCB4:UCB5"/>
    <mergeCell ref="UCC4:UCC5"/>
    <mergeCell ref="UCD4:UCD5"/>
    <mergeCell ref="UCE4:UCE5"/>
    <mergeCell ref="UCF4:UCF5"/>
    <mergeCell ref="UBW4:UBW5"/>
    <mergeCell ref="UBX4:UBX5"/>
    <mergeCell ref="UBY4:UBY5"/>
    <mergeCell ref="UBZ4:UBZ5"/>
    <mergeCell ref="UCA4:UCA5"/>
    <mergeCell ref="UBR4:UBR5"/>
    <mergeCell ref="UBS4:UBS5"/>
    <mergeCell ref="UBT4:UBT5"/>
    <mergeCell ref="UBU4:UBU5"/>
    <mergeCell ref="UBV4:UBV5"/>
    <mergeCell ref="UBM4:UBM5"/>
    <mergeCell ref="UBN4:UBN5"/>
    <mergeCell ref="UBO4:UBO5"/>
    <mergeCell ref="UBP4:UBP5"/>
    <mergeCell ref="UBQ4:UBQ5"/>
    <mergeCell ref="UBH4:UBH5"/>
    <mergeCell ref="UBI4:UBI5"/>
    <mergeCell ref="UBJ4:UBJ5"/>
    <mergeCell ref="UBK4:UBK5"/>
    <mergeCell ref="UBL4:UBL5"/>
    <mergeCell ref="UDU4:UDU5"/>
    <mergeCell ref="UDV4:UDV5"/>
    <mergeCell ref="UDW4:UDW5"/>
    <mergeCell ref="UDX4:UDX5"/>
    <mergeCell ref="UDY4:UDY5"/>
    <mergeCell ref="UDP4:UDP5"/>
    <mergeCell ref="UDQ4:UDQ5"/>
    <mergeCell ref="UDR4:UDR5"/>
    <mergeCell ref="UDS4:UDS5"/>
    <mergeCell ref="UDT4:UDT5"/>
    <mergeCell ref="UDK4:UDK5"/>
    <mergeCell ref="UDL4:UDL5"/>
    <mergeCell ref="UDM4:UDM5"/>
    <mergeCell ref="UDN4:UDN5"/>
    <mergeCell ref="UDO4:UDO5"/>
    <mergeCell ref="UDF4:UDF5"/>
    <mergeCell ref="UDG4:UDG5"/>
    <mergeCell ref="UDH4:UDH5"/>
    <mergeCell ref="UDI4:UDI5"/>
    <mergeCell ref="UDJ4:UDJ5"/>
    <mergeCell ref="UDA4:UDA5"/>
    <mergeCell ref="UDB4:UDB5"/>
    <mergeCell ref="UDC4:UDC5"/>
    <mergeCell ref="UDD4:UDD5"/>
    <mergeCell ref="UDE4:UDE5"/>
    <mergeCell ref="UCV4:UCV5"/>
    <mergeCell ref="UCW4:UCW5"/>
    <mergeCell ref="UCX4:UCX5"/>
    <mergeCell ref="UCY4:UCY5"/>
    <mergeCell ref="UCZ4:UCZ5"/>
    <mergeCell ref="UCQ4:UCQ5"/>
    <mergeCell ref="UCR4:UCR5"/>
    <mergeCell ref="UCS4:UCS5"/>
    <mergeCell ref="UCT4:UCT5"/>
    <mergeCell ref="UCU4:UCU5"/>
    <mergeCell ref="UFD4:UFD5"/>
    <mergeCell ref="UFE4:UFE5"/>
    <mergeCell ref="UFF4:UFF5"/>
    <mergeCell ref="UFG4:UFG5"/>
    <mergeCell ref="UFH4:UFH5"/>
    <mergeCell ref="UEY4:UEY5"/>
    <mergeCell ref="UEZ4:UEZ5"/>
    <mergeCell ref="UFA4:UFA5"/>
    <mergeCell ref="UFB4:UFB5"/>
    <mergeCell ref="UFC4:UFC5"/>
    <mergeCell ref="UET4:UET5"/>
    <mergeCell ref="UEU4:UEU5"/>
    <mergeCell ref="UEV4:UEV5"/>
    <mergeCell ref="UEW4:UEW5"/>
    <mergeCell ref="UEX4:UEX5"/>
    <mergeCell ref="UEO4:UEO5"/>
    <mergeCell ref="UEP4:UEP5"/>
    <mergeCell ref="UEQ4:UEQ5"/>
    <mergeCell ref="UER4:UER5"/>
    <mergeCell ref="UES4:UES5"/>
    <mergeCell ref="UEJ4:UEJ5"/>
    <mergeCell ref="UEK4:UEK5"/>
    <mergeCell ref="UEL4:UEL5"/>
    <mergeCell ref="UEM4:UEM5"/>
    <mergeCell ref="UEN4:UEN5"/>
    <mergeCell ref="UEE4:UEE5"/>
    <mergeCell ref="UEF4:UEF5"/>
    <mergeCell ref="UEG4:UEG5"/>
    <mergeCell ref="UEH4:UEH5"/>
    <mergeCell ref="UEI4:UEI5"/>
    <mergeCell ref="UDZ4:UDZ5"/>
    <mergeCell ref="UEA4:UEA5"/>
    <mergeCell ref="UEB4:UEB5"/>
    <mergeCell ref="UEC4:UEC5"/>
    <mergeCell ref="UED4:UED5"/>
    <mergeCell ref="UGM4:UGM5"/>
    <mergeCell ref="UGN4:UGN5"/>
    <mergeCell ref="UGO4:UGO5"/>
    <mergeCell ref="UGP4:UGP5"/>
    <mergeCell ref="UGQ4:UGQ5"/>
    <mergeCell ref="UGH4:UGH5"/>
    <mergeCell ref="UGI4:UGI5"/>
    <mergeCell ref="UGJ4:UGJ5"/>
    <mergeCell ref="UGK4:UGK5"/>
    <mergeCell ref="UGL4:UGL5"/>
    <mergeCell ref="UGC4:UGC5"/>
    <mergeCell ref="UGD4:UGD5"/>
    <mergeCell ref="UGE4:UGE5"/>
    <mergeCell ref="UGF4:UGF5"/>
    <mergeCell ref="UGG4:UGG5"/>
    <mergeCell ref="UFX4:UFX5"/>
    <mergeCell ref="UFY4:UFY5"/>
    <mergeCell ref="UFZ4:UFZ5"/>
    <mergeCell ref="UGA4:UGA5"/>
    <mergeCell ref="UGB4:UGB5"/>
    <mergeCell ref="UFS4:UFS5"/>
    <mergeCell ref="UFT4:UFT5"/>
    <mergeCell ref="UFU4:UFU5"/>
    <mergeCell ref="UFV4:UFV5"/>
    <mergeCell ref="UFW4:UFW5"/>
    <mergeCell ref="UFN4:UFN5"/>
    <mergeCell ref="UFO4:UFO5"/>
    <mergeCell ref="UFP4:UFP5"/>
    <mergeCell ref="UFQ4:UFQ5"/>
    <mergeCell ref="UFR4:UFR5"/>
    <mergeCell ref="UFI4:UFI5"/>
    <mergeCell ref="UFJ4:UFJ5"/>
    <mergeCell ref="UFK4:UFK5"/>
    <mergeCell ref="UFL4:UFL5"/>
    <mergeCell ref="UFM4:UFM5"/>
    <mergeCell ref="UHV4:UHV5"/>
    <mergeCell ref="UHW4:UHW5"/>
    <mergeCell ref="UHX4:UHX5"/>
    <mergeCell ref="UHY4:UHY5"/>
    <mergeCell ref="UHZ4:UHZ5"/>
    <mergeCell ref="UHQ4:UHQ5"/>
    <mergeCell ref="UHR4:UHR5"/>
    <mergeCell ref="UHS4:UHS5"/>
    <mergeCell ref="UHT4:UHT5"/>
    <mergeCell ref="UHU4:UHU5"/>
    <mergeCell ref="UHL4:UHL5"/>
    <mergeCell ref="UHM4:UHM5"/>
    <mergeCell ref="UHN4:UHN5"/>
    <mergeCell ref="UHO4:UHO5"/>
    <mergeCell ref="UHP4:UHP5"/>
    <mergeCell ref="UHG4:UHG5"/>
    <mergeCell ref="UHH4:UHH5"/>
    <mergeCell ref="UHI4:UHI5"/>
    <mergeCell ref="UHJ4:UHJ5"/>
    <mergeCell ref="UHK4:UHK5"/>
    <mergeCell ref="UHB4:UHB5"/>
    <mergeCell ref="UHC4:UHC5"/>
    <mergeCell ref="UHD4:UHD5"/>
    <mergeCell ref="UHE4:UHE5"/>
    <mergeCell ref="UHF4:UHF5"/>
    <mergeCell ref="UGW4:UGW5"/>
    <mergeCell ref="UGX4:UGX5"/>
    <mergeCell ref="UGY4:UGY5"/>
    <mergeCell ref="UGZ4:UGZ5"/>
    <mergeCell ref="UHA4:UHA5"/>
    <mergeCell ref="UGR4:UGR5"/>
    <mergeCell ref="UGS4:UGS5"/>
    <mergeCell ref="UGT4:UGT5"/>
    <mergeCell ref="UGU4:UGU5"/>
    <mergeCell ref="UGV4:UGV5"/>
    <mergeCell ref="UJE4:UJE5"/>
    <mergeCell ref="UJF4:UJF5"/>
    <mergeCell ref="UJG4:UJG5"/>
    <mergeCell ref="UJH4:UJH5"/>
    <mergeCell ref="UJI4:UJI5"/>
    <mergeCell ref="UIZ4:UIZ5"/>
    <mergeCell ref="UJA4:UJA5"/>
    <mergeCell ref="UJB4:UJB5"/>
    <mergeCell ref="UJC4:UJC5"/>
    <mergeCell ref="UJD4:UJD5"/>
    <mergeCell ref="UIU4:UIU5"/>
    <mergeCell ref="UIV4:UIV5"/>
    <mergeCell ref="UIW4:UIW5"/>
    <mergeCell ref="UIX4:UIX5"/>
    <mergeCell ref="UIY4:UIY5"/>
    <mergeCell ref="UIP4:UIP5"/>
    <mergeCell ref="UIQ4:UIQ5"/>
    <mergeCell ref="UIR4:UIR5"/>
    <mergeCell ref="UIS4:UIS5"/>
    <mergeCell ref="UIT4:UIT5"/>
    <mergeCell ref="UIK4:UIK5"/>
    <mergeCell ref="UIL4:UIL5"/>
    <mergeCell ref="UIM4:UIM5"/>
    <mergeCell ref="UIN4:UIN5"/>
    <mergeCell ref="UIO4:UIO5"/>
    <mergeCell ref="UIF4:UIF5"/>
    <mergeCell ref="UIG4:UIG5"/>
    <mergeCell ref="UIH4:UIH5"/>
    <mergeCell ref="UII4:UII5"/>
    <mergeCell ref="UIJ4:UIJ5"/>
    <mergeCell ref="UIA4:UIA5"/>
    <mergeCell ref="UIB4:UIB5"/>
    <mergeCell ref="UIC4:UIC5"/>
    <mergeCell ref="UID4:UID5"/>
    <mergeCell ref="UIE4:UIE5"/>
    <mergeCell ref="UKN4:UKN5"/>
    <mergeCell ref="UKO4:UKO5"/>
    <mergeCell ref="UKP4:UKP5"/>
    <mergeCell ref="UKQ4:UKQ5"/>
    <mergeCell ref="UKR4:UKR5"/>
    <mergeCell ref="UKI4:UKI5"/>
    <mergeCell ref="UKJ4:UKJ5"/>
    <mergeCell ref="UKK4:UKK5"/>
    <mergeCell ref="UKL4:UKL5"/>
    <mergeCell ref="UKM4:UKM5"/>
    <mergeCell ref="UKD4:UKD5"/>
    <mergeCell ref="UKE4:UKE5"/>
    <mergeCell ref="UKF4:UKF5"/>
    <mergeCell ref="UKG4:UKG5"/>
    <mergeCell ref="UKH4:UKH5"/>
    <mergeCell ref="UJY4:UJY5"/>
    <mergeCell ref="UJZ4:UJZ5"/>
    <mergeCell ref="UKA4:UKA5"/>
    <mergeCell ref="UKB4:UKB5"/>
    <mergeCell ref="UKC4:UKC5"/>
    <mergeCell ref="UJT4:UJT5"/>
    <mergeCell ref="UJU4:UJU5"/>
    <mergeCell ref="UJV4:UJV5"/>
    <mergeCell ref="UJW4:UJW5"/>
    <mergeCell ref="UJX4:UJX5"/>
    <mergeCell ref="UJO4:UJO5"/>
    <mergeCell ref="UJP4:UJP5"/>
    <mergeCell ref="UJQ4:UJQ5"/>
    <mergeCell ref="UJR4:UJR5"/>
    <mergeCell ref="UJS4:UJS5"/>
    <mergeCell ref="UJJ4:UJJ5"/>
    <mergeCell ref="UJK4:UJK5"/>
    <mergeCell ref="UJL4:UJL5"/>
    <mergeCell ref="UJM4:UJM5"/>
    <mergeCell ref="UJN4:UJN5"/>
    <mergeCell ref="ULW4:ULW5"/>
    <mergeCell ref="ULX4:ULX5"/>
    <mergeCell ref="ULY4:ULY5"/>
    <mergeCell ref="ULZ4:ULZ5"/>
    <mergeCell ref="UMA4:UMA5"/>
    <mergeCell ref="ULR4:ULR5"/>
    <mergeCell ref="ULS4:ULS5"/>
    <mergeCell ref="ULT4:ULT5"/>
    <mergeCell ref="ULU4:ULU5"/>
    <mergeCell ref="ULV4:ULV5"/>
    <mergeCell ref="ULM4:ULM5"/>
    <mergeCell ref="ULN4:ULN5"/>
    <mergeCell ref="ULO4:ULO5"/>
    <mergeCell ref="ULP4:ULP5"/>
    <mergeCell ref="ULQ4:ULQ5"/>
    <mergeCell ref="ULH4:ULH5"/>
    <mergeCell ref="ULI4:ULI5"/>
    <mergeCell ref="ULJ4:ULJ5"/>
    <mergeCell ref="ULK4:ULK5"/>
    <mergeCell ref="ULL4:ULL5"/>
    <mergeCell ref="ULC4:ULC5"/>
    <mergeCell ref="ULD4:ULD5"/>
    <mergeCell ref="ULE4:ULE5"/>
    <mergeCell ref="ULF4:ULF5"/>
    <mergeCell ref="ULG4:ULG5"/>
    <mergeCell ref="UKX4:UKX5"/>
    <mergeCell ref="UKY4:UKY5"/>
    <mergeCell ref="UKZ4:UKZ5"/>
    <mergeCell ref="ULA4:ULA5"/>
    <mergeCell ref="ULB4:ULB5"/>
    <mergeCell ref="UKS4:UKS5"/>
    <mergeCell ref="UKT4:UKT5"/>
    <mergeCell ref="UKU4:UKU5"/>
    <mergeCell ref="UKV4:UKV5"/>
    <mergeCell ref="UKW4:UKW5"/>
    <mergeCell ref="UNF4:UNF5"/>
    <mergeCell ref="UNG4:UNG5"/>
    <mergeCell ref="UNH4:UNH5"/>
    <mergeCell ref="UNI4:UNI5"/>
    <mergeCell ref="UNJ4:UNJ5"/>
    <mergeCell ref="UNA4:UNA5"/>
    <mergeCell ref="UNB4:UNB5"/>
    <mergeCell ref="UNC4:UNC5"/>
    <mergeCell ref="UND4:UND5"/>
    <mergeCell ref="UNE4:UNE5"/>
    <mergeCell ref="UMV4:UMV5"/>
    <mergeCell ref="UMW4:UMW5"/>
    <mergeCell ref="UMX4:UMX5"/>
    <mergeCell ref="UMY4:UMY5"/>
    <mergeCell ref="UMZ4:UMZ5"/>
    <mergeCell ref="UMQ4:UMQ5"/>
    <mergeCell ref="UMR4:UMR5"/>
    <mergeCell ref="UMS4:UMS5"/>
    <mergeCell ref="UMT4:UMT5"/>
    <mergeCell ref="UMU4:UMU5"/>
    <mergeCell ref="UML4:UML5"/>
    <mergeCell ref="UMM4:UMM5"/>
    <mergeCell ref="UMN4:UMN5"/>
    <mergeCell ref="UMO4:UMO5"/>
    <mergeCell ref="UMP4:UMP5"/>
    <mergeCell ref="UMG4:UMG5"/>
    <mergeCell ref="UMH4:UMH5"/>
    <mergeCell ref="UMI4:UMI5"/>
    <mergeCell ref="UMJ4:UMJ5"/>
    <mergeCell ref="UMK4:UMK5"/>
    <mergeCell ref="UMB4:UMB5"/>
    <mergeCell ref="UMC4:UMC5"/>
    <mergeCell ref="UMD4:UMD5"/>
    <mergeCell ref="UME4:UME5"/>
    <mergeCell ref="UMF4:UMF5"/>
    <mergeCell ref="UOO4:UOO5"/>
    <mergeCell ref="UOP4:UOP5"/>
    <mergeCell ref="UOQ4:UOQ5"/>
    <mergeCell ref="UOR4:UOR5"/>
    <mergeCell ref="UOS4:UOS5"/>
    <mergeCell ref="UOJ4:UOJ5"/>
    <mergeCell ref="UOK4:UOK5"/>
    <mergeCell ref="UOL4:UOL5"/>
    <mergeCell ref="UOM4:UOM5"/>
    <mergeCell ref="UON4:UON5"/>
    <mergeCell ref="UOE4:UOE5"/>
    <mergeCell ref="UOF4:UOF5"/>
    <mergeCell ref="UOG4:UOG5"/>
    <mergeCell ref="UOH4:UOH5"/>
    <mergeCell ref="UOI4:UOI5"/>
    <mergeCell ref="UNZ4:UNZ5"/>
    <mergeCell ref="UOA4:UOA5"/>
    <mergeCell ref="UOB4:UOB5"/>
    <mergeCell ref="UOC4:UOC5"/>
    <mergeCell ref="UOD4:UOD5"/>
    <mergeCell ref="UNU4:UNU5"/>
    <mergeCell ref="UNV4:UNV5"/>
    <mergeCell ref="UNW4:UNW5"/>
    <mergeCell ref="UNX4:UNX5"/>
    <mergeCell ref="UNY4:UNY5"/>
    <mergeCell ref="UNP4:UNP5"/>
    <mergeCell ref="UNQ4:UNQ5"/>
    <mergeCell ref="UNR4:UNR5"/>
    <mergeCell ref="UNS4:UNS5"/>
    <mergeCell ref="UNT4:UNT5"/>
    <mergeCell ref="UNK4:UNK5"/>
    <mergeCell ref="UNL4:UNL5"/>
    <mergeCell ref="UNM4:UNM5"/>
    <mergeCell ref="UNN4:UNN5"/>
    <mergeCell ref="UNO4:UNO5"/>
    <mergeCell ref="UPX4:UPX5"/>
    <mergeCell ref="UPY4:UPY5"/>
    <mergeCell ref="UPZ4:UPZ5"/>
    <mergeCell ref="UQA4:UQA5"/>
    <mergeCell ref="UQB4:UQB5"/>
    <mergeCell ref="UPS4:UPS5"/>
    <mergeCell ref="UPT4:UPT5"/>
    <mergeCell ref="UPU4:UPU5"/>
    <mergeCell ref="UPV4:UPV5"/>
    <mergeCell ref="UPW4:UPW5"/>
    <mergeCell ref="UPN4:UPN5"/>
    <mergeCell ref="UPO4:UPO5"/>
    <mergeCell ref="UPP4:UPP5"/>
    <mergeCell ref="UPQ4:UPQ5"/>
    <mergeCell ref="UPR4:UPR5"/>
    <mergeCell ref="UPI4:UPI5"/>
    <mergeCell ref="UPJ4:UPJ5"/>
    <mergeCell ref="UPK4:UPK5"/>
    <mergeCell ref="UPL4:UPL5"/>
    <mergeCell ref="UPM4:UPM5"/>
    <mergeCell ref="UPD4:UPD5"/>
    <mergeCell ref="UPE4:UPE5"/>
    <mergeCell ref="UPF4:UPF5"/>
    <mergeCell ref="UPG4:UPG5"/>
    <mergeCell ref="UPH4:UPH5"/>
    <mergeCell ref="UOY4:UOY5"/>
    <mergeCell ref="UOZ4:UOZ5"/>
    <mergeCell ref="UPA4:UPA5"/>
    <mergeCell ref="UPB4:UPB5"/>
    <mergeCell ref="UPC4:UPC5"/>
    <mergeCell ref="UOT4:UOT5"/>
    <mergeCell ref="UOU4:UOU5"/>
    <mergeCell ref="UOV4:UOV5"/>
    <mergeCell ref="UOW4:UOW5"/>
    <mergeCell ref="UOX4:UOX5"/>
    <mergeCell ref="URG4:URG5"/>
    <mergeCell ref="URH4:URH5"/>
    <mergeCell ref="URI4:URI5"/>
    <mergeCell ref="URJ4:URJ5"/>
    <mergeCell ref="URK4:URK5"/>
    <mergeCell ref="URB4:URB5"/>
    <mergeCell ref="URC4:URC5"/>
    <mergeCell ref="URD4:URD5"/>
    <mergeCell ref="URE4:URE5"/>
    <mergeCell ref="URF4:URF5"/>
    <mergeCell ref="UQW4:UQW5"/>
    <mergeCell ref="UQX4:UQX5"/>
    <mergeCell ref="UQY4:UQY5"/>
    <mergeCell ref="UQZ4:UQZ5"/>
    <mergeCell ref="URA4:URA5"/>
    <mergeCell ref="UQR4:UQR5"/>
    <mergeCell ref="UQS4:UQS5"/>
    <mergeCell ref="UQT4:UQT5"/>
    <mergeCell ref="UQU4:UQU5"/>
    <mergeCell ref="UQV4:UQV5"/>
    <mergeCell ref="UQM4:UQM5"/>
    <mergeCell ref="UQN4:UQN5"/>
    <mergeCell ref="UQO4:UQO5"/>
    <mergeCell ref="UQP4:UQP5"/>
    <mergeCell ref="UQQ4:UQQ5"/>
    <mergeCell ref="UQH4:UQH5"/>
    <mergeCell ref="UQI4:UQI5"/>
    <mergeCell ref="UQJ4:UQJ5"/>
    <mergeCell ref="UQK4:UQK5"/>
    <mergeCell ref="UQL4:UQL5"/>
    <mergeCell ref="UQC4:UQC5"/>
    <mergeCell ref="UQD4:UQD5"/>
    <mergeCell ref="UQE4:UQE5"/>
    <mergeCell ref="UQF4:UQF5"/>
    <mergeCell ref="UQG4:UQG5"/>
    <mergeCell ref="USP4:USP5"/>
    <mergeCell ref="USQ4:USQ5"/>
    <mergeCell ref="USR4:USR5"/>
    <mergeCell ref="USS4:USS5"/>
    <mergeCell ref="UST4:UST5"/>
    <mergeCell ref="USK4:USK5"/>
    <mergeCell ref="USL4:USL5"/>
    <mergeCell ref="USM4:USM5"/>
    <mergeCell ref="USN4:USN5"/>
    <mergeCell ref="USO4:USO5"/>
    <mergeCell ref="USF4:USF5"/>
    <mergeCell ref="USG4:USG5"/>
    <mergeCell ref="USH4:USH5"/>
    <mergeCell ref="USI4:USI5"/>
    <mergeCell ref="USJ4:USJ5"/>
    <mergeCell ref="USA4:USA5"/>
    <mergeCell ref="USB4:USB5"/>
    <mergeCell ref="USC4:USC5"/>
    <mergeCell ref="USD4:USD5"/>
    <mergeCell ref="USE4:USE5"/>
    <mergeCell ref="URV4:URV5"/>
    <mergeCell ref="URW4:URW5"/>
    <mergeCell ref="URX4:URX5"/>
    <mergeCell ref="URY4:URY5"/>
    <mergeCell ref="URZ4:URZ5"/>
    <mergeCell ref="URQ4:URQ5"/>
    <mergeCell ref="URR4:URR5"/>
    <mergeCell ref="URS4:URS5"/>
    <mergeCell ref="URT4:URT5"/>
    <mergeCell ref="URU4:URU5"/>
    <mergeCell ref="URL4:URL5"/>
    <mergeCell ref="URM4:URM5"/>
    <mergeCell ref="URN4:URN5"/>
    <mergeCell ref="URO4:URO5"/>
    <mergeCell ref="URP4:URP5"/>
    <mergeCell ref="UTY4:UTY5"/>
    <mergeCell ref="UTZ4:UTZ5"/>
    <mergeCell ref="UUA4:UUA5"/>
    <mergeCell ref="UUB4:UUB5"/>
    <mergeCell ref="UUC4:UUC5"/>
    <mergeCell ref="UTT4:UTT5"/>
    <mergeCell ref="UTU4:UTU5"/>
    <mergeCell ref="UTV4:UTV5"/>
    <mergeCell ref="UTW4:UTW5"/>
    <mergeCell ref="UTX4:UTX5"/>
    <mergeCell ref="UTO4:UTO5"/>
    <mergeCell ref="UTP4:UTP5"/>
    <mergeCell ref="UTQ4:UTQ5"/>
    <mergeCell ref="UTR4:UTR5"/>
    <mergeCell ref="UTS4:UTS5"/>
    <mergeCell ref="UTJ4:UTJ5"/>
    <mergeCell ref="UTK4:UTK5"/>
    <mergeCell ref="UTL4:UTL5"/>
    <mergeCell ref="UTM4:UTM5"/>
    <mergeCell ref="UTN4:UTN5"/>
    <mergeCell ref="UTE4:UTE5"/>
    <mergeCell ref="UTF4:UTF5"/>
    <mergeCell ref="UTG4:UTG5"/>
    <mergeCell ref="UTH4:UTH5"/>
    <mergeCell ref="UTI4:UTI5"/>
    <mergeCell ref="USZ4:USZ5"/>
    <mergeCell ref="UTA4:UTA5"/>
    <mergeCell ref="UTB4:UTB5"/>
    <mergeCell ref="UTC4:UTC5"/>
    <mergeCell ref="UTD4:UTD5"/>
    <mergeCell ref="USU4:USU5"/>
    <mergeCell ref="USV4:USV5"/>
    <mergeCell ref="USW4:USW5"/>
    <mergeCell ref="USX4:USX5"/>
    <mergeCell ref="USY4:USY5"/>
    <mergeCell ref="UVH4:UVH5"/>
    <mergeCell ref="UVI4:UVI5"/>
    <mergeCell ref="UVJ4:UVJ5"/>
    <mergeCell ref="UVK4:UVK5"/>
    <mergeCell ref="UVL4:UVL5"/>
    <mergeCell ref="UVC4:UVC5"/>
    <mergeCell ref="UVD4:UVD5"/>
    <mergeCell ref="UVE4:UVE5"/>
    <mergeCell ref="UVF4:UVF5"/>
    <mergeCell ref="UVG4:UVG5"/>
    <mergeCell ref="UUX4:UUX5"/>
    <mergeCell ref="UUY4:UUY5"/>
    <mergeCell ref="UUZ4:UUZ5"/>
    <mergeCell ref="UVA4:UVA5"/>
    <mergeCell ref="UVB4:UVB5"/>
    <mergeCell ref="UUS4:UUS5"/>
    <mergeCell ref="UUT4:UUT5"/>
    <mergeCell ref="UUU4:UUU5"/>
    <mergeCell ref="UUV4:UUV5"/>
    <mergeCell ref="UUW4:UUW5"/>
    <mergeCell ref="UUN4:UUN5"/>
    <mergeCell ref="UUO4:UUO5"/>
    <mergeCell ref="UUP4:UUP5"/>
    <mergeCell ref="UUQ4:UUQ5"/>
    <mergeCell ref="UUR4:UUR5"/>
    <mergeCell ref="UUI4:UUI5"/>
    <mergeCell ref="UUJ4:UUJ5"/>
    <mergeCell ref="UUK4:UUK5"/>
    <mergeCell ref="UUL4:UUL5"/>
    <mergeCell ref="UUM4:UUM5"/>
    <mergeCell ref="UUD4:UUD5"/>
    <mergeCell ref="UUE4:UUE5"/>
    <mergeCell ref="UUF4:UUF5"/>
    <mergeCell ref="UUG4:UUG5"/>
    <mergeCell ref="UUH4:UUH5"/>
    <mergeCell ref="UWQ4:UWQ5"/>
    <mergeCell ref="UWR4:UWR5"/>
    <mergeCell ref="UWS4:UWS5"/>
    <mergeCell ref="UWT4:UWT5"/>
    <mergeCell ref="UWU4:UWU5"/>
    <mergeCell ref="UWL4:UWL5"/>
    <mergeCell ref="UWM4:UWM5"/>
    <mergeCell ref="UWN4:UWN5"/>
    <mergeCell ref="UWO4:UWO5"/>
    <mergeCell ref="UWP4:UWP5"/>
    <mergeCell ref="UWG4:UWG5"/>
    <mergeCell ref="UWH4:UWH5"/>
    <mergeCell ref="UWI4:UWI5"/>
    <mergeCell ref="UWJ4:UWJ5"/>
    <mergeCell ref="UWK4:UWK5"/>
    <mergeCell ref="UWB4:UWB5"/>
    <mergeCell ref="UWC4:UWC5"/>
    <mergeCell ref="UWD4:UWD5"/>
    <mergeCell ref="UWE4:UWE5"/>
    <mergeCell ref="UWF4:UWF5"/>
    <mergeCell ref="UVW4:UVW5"/>
    <mergeCell ref="UVX4:UVX5"/>
    <mergeCell ref="UVY4:UVY5"/>
    <mergeCell ref="UVZ4:UVZ5"/>
    <mergeCell ref="UWA4:UWA5"/>
    <mergeCell ref="UVR4:UVR5"/>
    <mergeCell ref="UVS4:UVS5"/>
    <mergeCell ref="UVT4:UVT5"/>
    <mergeCell ref="UVU4:UVU5"/>
    <mergeCell ref="UVV4:UVV5"/>
    <mergeCell ref="UVM4:UVM5"/>
    <mergeCell ref="UVN4:UVN5"/>
    <mergeCell ref="UVO4:UVO5"/>
    <mergeCell ref="UVP4:UVP5"/>
    <mergeCell ref="UVQ4:UVQ5"/>
    <mergeCell ref="UXZ4:UXZ5"/>
    <mergeCell ref="UYA4:UYA5"/>
    <mergeCell ref="UYB4:UYB5"/>
    <mergeCell ref="UYC4:UYC5"/>
    <mergeCell ref="UYD4:UYD5"/>
    <mergeCell ref="UXU4:UXU5"/>
    <mergeCell ref="UXV4:UXV5"/>
    <mergeCell ref="UXW4:UXW5"/>
    <mergeCell ref="UXX4:UXX5"/>
    <mergeCell ref="UXY4:UXY5"/>
    <mergeCell ref="UXP4:UXP5"/>
    <mergeCell ref="UXQ4:UXQ5"/>
    <mergeCell ref="UXR4:UXR5"/>
    <mergeCell ref="UXS4:UXS5"/>
    <mergeCell ref="UXT4:UXT5"/>
    <mergeCell ref="UXK4:UXK5"/>
    <mergeCell ref="UXL4:UXL5"/>
    <mergeCell ref="UXM4:UXM5"/>
    <mergeCell ref="UXN4:UXN5"/>
    <mergeCell ref="UXO4:UXO5"/>
    <mergeCell ref="UXF4:UXF5"/>
    <mergeCell ref="UXG4:UXG5"/>
    <mergeCell ref="UXH4:UXH5"/>
    <mergeCell ref="UXI4:UXI5"/>
    <mergeCell ref="UXJ4:UXJ5"/>
    <mergeCell ref="UXA4:UXA5"/>
    <mergeCell ref="UXB4:UXB5"/>
    <mergeCell ref="UXC4:UXC5"/>
    <mergeCell ref="UXD4:UXD5"/>
    <mergeCell ref="UXE4:UXE5"/>
    <mergeCell ref="UWV4:UWV5"/>
    <mergeCell ref="UWW4:UWW5"/>
    <mergeCell ref="UWX4:UWX5"/>
    <mergeCell ref="UWY4:UWY5"/>
    <mergeCell ref="UWZ4:UWZ5"/>
    <mergeCell ref="UZI4:UZI5"/>
    <mergeCell ref="UZJ4:UZJ5"/>
    <mergeCell ref="UZK4:UZK5"/>
    <mergeCell ref="UZL4:UZL5"/>
    <mergeCell ref="UZM4:UZM5"/>
    <mergeCell ref="UZD4:UZD5"/>
    <mergeCell ref="UZE4:UZE5"/>
    <mergeCell ref="UZF4:UZF5"/>
    <mergeCell ref="UZG4:UZG5"/>
    <mergeCell ref="UZH4:UZH5"/>
    <mergeCell ref="UYY4:UYY5"/>
    <mergeCell ref="UYZ4:UYZ5"/>
    <mergeCell ref="UZA4:UZA5"/>
    <mergeCell ref="UZB4:UZB5"/>
    <mergeCell ref="UZC4:UZC5"/>
    <mergeCell ref="UYT4:UYT5"/>
    <mergeCell ref="UYU4:UYU5"/>
    <mergeCell ref="UYV4:UYV5"/>
    <mergeCell ref="UYW4:UYW5"/>
    <mergeCell ref="UYX4:UYX5"/>
    <mergeCell ref="UYO4:UYO5"/>
    <mergeCell ref="UYP4:UYP5"/>
    <mergeCell ref="UYQ4:UYQ5"/>
    <mergeCell ref="UYR4:UYR5"/>
    <mergeCell ref="UYS4:UYS5"/>
    <mergeCell ref="UYJ4:UYJ5"/>
    <mergeCell ref="UYK4:UYK5"/>
    <mergeCell ref="UYL4:UYL5"/>
    <mergeCell ref="UYM4:UYM5"/>
    <mergeCell ref="UYN4:UYN5"/>
    <mergeCell ref="UYE4:UYE5"/>
    <mergeCell ref="UYF4:UYF5"/>
    <mergeCell ref="UYG4:UYG5"/>
    <mergeCell ref="UYH4:UYH5"/>
    <mergeCell ref="UYI4:UYI5"/>
    <mergeCell ref="VAR4:VAR5"/>
    <mergeCell ref="VAS4:VAS5"/>
    <mergeCell ref="VAT4:VAT5"/>
    <mergeCell ref="VAU4:VAU5"/>
    <mergeCell ref="VAV4:VAV5"/>
    <mergeCell ref="VAM4:VAM5"/>
    <mergeCell ref="VAN4:VAN5"/>
    <mergeCell ref="VAO4:VAO5"/>
    <mergeCell ref="VAP4:VAP5"/>
    <mergeCell ref="VAQ4:VAQ5"/>
    <mergeCell ref="VAH4:VAH5"/>
    <mergeCell ref="VAI4:VAI5"/>
    <mergeCell ref="VAJ4:VAJ5"/>
    <mergeCell ref="VAK4:VAK5"/>
    <mergeCell ref="VAL4:VAL5"/>
    <mergeCell ref="VAC4:VAC5"/>
    <mergeCell ref="VAD4:VAD5"/>
    <mergeCell ref="VAE4:VAE5"/>
    <mergeCell ref="VAF4:VAF5"/>
    <mergeCell ref="VAG4:VAG5"/>
    <mergeCell ref="UZX4:UZX5"/>
    <mergeCell ref="UZY4:UZY5"/>
    <mergeCell ref="UZZ4:UZZ5"/>
    <mergeCell ref="VAA4:VAA5"/>
    <mergeCell ref="VAB4:VAB5"/>
    <mergeCell ref="UZS4:UZS5"/>
    <mergeCell ref="UZT4:UZT5"/>
    <mergeCell ref="UZU4:UZU5"/>
    <mergeCell ref="UZV4:UZV5"/>
    <mergeCell ref="UZW4:UZW5"/>
    <mergeCell ref="UZN4:UZN5"/>
    <mergeCell ref="UZO4:UZO5"/>
    <mergeCell ref="UZP4:UZP5"/>
    <mergeCell ref="UZQ4:UZQ5"/>
    <mergeCell ref="UZR4:UZR5"/>
    <mergeCell ref="VCA4:VCA5"/>
    <mergeCell ref="VCB4:VCB5"/>
    <mergeCell ref="VCC4:VCC5"/>
    <mergeCell ref="VCD4:VCD5"/>
    <mergeCell ref="VCE4:VCE5"/>
    <mergeCell ref="VBV4:VBV5"/>
    <mergeCell ref="VBW4:VBW5"/>
    <mergeCell ref="VBX4:VBX5"/>
    <mergeCell ref="VBY4:VBY5"/>
    <mergeCell ref="VBZ4:VBZ5"/>
    <mergeCell ref="VBQ4:VBQ5"/>
    <mergeCell ref="VBR4:VBR5"/>
    <mergeCell ref="VBS4:VBS5"/>
    <mergeCell ref="VBT4:VBT5"/>
    <mergeCell ref="VBU4:VBU5"/>
    <mergeCell ref="VBL4:VBL5"/>
    <mergeCell ref="VBM4:VBM5"/>
    <mergeCell ref="VBN4:VBN5"/>
    <mergeCell ref="VBO4:VBO5"/>
    <mergeCell ref="VBP4:VBP5"/>
    <mergeCell ref="VBG4:VBG5"/>
    <mergeCell ref="VBH4:VBH5"/>
    <mergeCell ref="VBI4:VBI5"/>
    <mergeCell ref="VBJ4:VBJ5"/>
    <mergeCell ref="VBK4:VBK5"/>
    <mergeCell ref="VBB4:VBB5"/>
    <mergeCell ref="VBC4:VBC5"/>
    <mergeCell ref="VBD4:VBD5"/>
    <mergeCell ref="VBE4:VBE5"/>
    <mergeCell ref="VBF4:VBF5"/>
    <mergeCell ref="VAW4:VAW5"/>
    <mergeCell ref="VAX4:VAX5"/>
    <mergeCell ref="VAY4:VAY5"/>
    <mergeCell ref="VAZ4:VAZ5"/>
    <mergeCell ref="VBA4:VBA5"/>
    <mergeCell ref="VDJ4:VDJ5"/>
    <mergeCell ref="VDK4:VDK5"/>
    <mergeCell ref="VDL4:VDL5"/>
    <mergeCell ref="VDM4:VDM5"/>
    <mergeCell ref="VDN4:VDN5"/>
    <mergeCell ref="VDE4:VDE5"/>
    <mergeCell ref="VDF4:VDF5"/>
    <mergeCell ref="VDG4:VDG5"/>
    <mergeCell ref="VDH4:VDH5"/>
    <mergeCell ref="VDI4:VDI5"/>
    <mergeCell ref="VCZ4:VCZ5"/>
    <mergeCell ref="VDA4:VDA5"/>
    <mergeCell ref="VDB4:VDB5"/>
    <mergeCell ref="VDC4:VDC5"/>
    <mergeCell ref="VDD4:VDD5"/>
    <mergeCell ref="VCU4:VCU5"/>
    <mergeCell ref="VCV4:VCV5"/>
    <mergeCell ref="VCW4:VCW5"/>
    <mergeCell ref="VCX4:VCX5"/>
    <mergeCell ref="VCY4:VCY5"/>
    <mergeCell ref="VCP4:VCP5"/>
    <mergeCell ref="VCQ4:VCQ5"/>
    <mergeCell ref="VCR4:VCR5"/>
    <mergeCell ref="VCS4:VCS5"/>
    <mergeCell ref="VCT4:VCT5"/>
    <mergeCell ref="VCK4:VCK5"/>
    <mergeCell ref="VCL4:VCL5"/>
    <mergeCell ref="VCM4:VCM5"/>
    <mergeCell ref="VCN4:VCN5"/>
    <mergeCell ref="VCO4:VCO5"/>
    <mergeCell ref="VCF4:VCF5"/>
    <mergeCell ref="VCG4:VCG5"/>
    <mergeCell ref="VCH4:VCH5"/>
    <mergeCell ref="VCI4:VCI5"/>
    <mergeCell ref="VCJ4:VCJ5"/>
    <mergeCell ref="VES4:VES5"/>
    <mergeCell ref="VET4:VET5"/>
    <mergeCell ref="VEU4:VEU5"/>
    <mergeCell ref="VEV4:VEV5"/>
    <mergeCell ref="VEW4:VEW5"/>
    <mergeCell ref="VEN4:VEN5"/>
    <mergeCell ref="VEO4:VEO5"/>
    <mergeCell ref="VEP4:VEP5"/>
    <mergeCell ref="VEQ4:VEQ5"/>
    <mergeCell ref="VER4:VER5"/>
    <mergeCell ref="VEI4:VEI5"/>
    <mergeCell ref="VEJ4:VEJ5"/>
    <mergeCell ref="VEK4:VEK5"/>
    <mergeCell ref="VEL4:VEL5"/>
    <mergeCell ref="VEM4:VEM5"/>
    <mergeCell ref="VED4:VED5"/>
    <mergeCell ref="VEE4:VEE5"/>
    <mergeCell ref="VEF4:VEF5"/>
    <mergeCell ref="VEG4:VEG5"/>
    <mergeCell ref="VEH4:VEH5"/>
    <mergeCell ref="VDY4:VDY5"/>
    <mergeCell ref="VDZ4:VDZ5"/>
    <mergeCell ref="VEA4:VEA5"/>
    <mergeCell ref="VEB4:VEB5"/>
    <mergeCell ref="VEC4:VEC5"/>
    <mergeCell ref="VDT4:VDT5"/>
    <mergeCell ref="VDU4:VDU5"/>
    <mergeCell ref="VDV4:VDV5"/>
    <mergeCell ref="VDW4:VDW5"/>
    <mergeCell ref="VDX4:VDX5"/>
    <mergeCell ref="VDO4:VDO5"/>
    <mergeCell ref="VDP4:VDP5"/>
    <mergeCell ref="VDQ4:VDQ5"/>
    <mergeCell ref="VDR4:VDR5"/>
    <mergeCell ref="VDS4:VDS5"/>
    <mergeCell ref="VGB4:VGB5"/>
    <mergeCell ref="VGC4:VGC5"/>
    <mergeCell ref="VGD4:VGD5"/>
    <mergeCell ref="VGE4:VGE5"/>
    <mergeCell ref="VGF4:VGF5"/>
    <mergeCell ref="VFW4:VFW5"/>
    <mergeCell ref="VFX4:VFX5"/>
    <mergeCell ref="VFY4:VFY5"/>
    <mergeCell ref="VFZ4:VFZ5"/>
    <mergeCell ref="VGA4:VGA5"/>
    <mergeCell ref="VFR4:VFR5"/>
    <mergeCell ref="VFS4:VFS5"/>
    <mergeCell ref="VFT4:VFT5"/>
    <mergeCell ref="VFU4:VFU5"/>
    <mergeCell ref="VFV4:VFV5"/>
    <mergeCell ref="VFM4:VFM5"/>
    <mergeCell ref="VFN4:VFN5"/>
    <mergeCell ref="VFO4:VFO5"/>
    <mergeCell ref="VFP4:VFP5"/>
    <mergeCell ref="VFQ4:VFQ5"/>
    <mergeCell ref="VFH4:VFH5"/>
    <mergeCell ref="VFI4:VFI5"/>
    <mergeCell ref="VFJ4:VFJ5"/>
    <mergeCell ref="VFK4:VFK5"/>
    <mergeCell ref="VFL4:VFL5"/>
    <mergeCell ref="VFC4:VFC5"/>
    <mergeCell ref="VFD4:VFD5"/>
    <mergeCell ref="VFE4:VFE5"/>
    <mergeCell ref="VFF4:VFF5"/>
    <mergeCell ref="VFG4:VFG5"/>
    <mergeCell ref="VEX4:VEX5"/>
    <mergeCell ref="VEY4:VEY5"/>
    <mergeCell ref="VEZ4:VEZ5"/>
    <mergeCell ref="VFA4:VFA5"/>
    <mergeCell ref="VFB4:VFB5"/>
    <mergeCell ref="VHK4:VHK5"/>
    <mergeCell ref="VHL4:VHL5"/>
    <mergeCell ref="VHM4:VHM5"/>
    <mergeCell ref="VHN4:VHN5"/>
    <mergeCell ref="VHO4:VHO5"/>
    <mergeCell ref="VHF4:VHF5"/>
    <mergeCell ref="VHG4:VHG5"/>
    <mergeCell ref="VHH4:VHH5"/>
    <mergeCell ref="VHI4:VHI5"/>
    <mergeCell ref="VHJ4:VHJ5"/>
    <mergeCell ref="VHA4:VHA5"/>
    <mergeCell ref="VHB4:VHB5"/>
    <mergeCell ref="VHC4:VHC5"/>
    <mergeCell ref="VHD4:VHD5"/>
    <mergeCell ref="VHE4:VHE5"/>
    <mergeCell ref="VGV4:VGV5"/>
    <mergeCell ref="VGW4:VGW5"/>
    <mergeCell ref="VGX4:VGX5"/>
    <mergeCell ref="VGY4:VGY5"/>
    <mergeCell ref="VGZ4:VGZ5"/>
    <mergeCell ref="VGQ4:VGQ5"/>
    <mergeCell ref="VGR4:VGR5"/>
    <mergeCell ref="VGS4:VGS5"/>
    <mergeCell ref="VGT4:VGT5"/>
    <mergeCell ref="VGU4:VGU5"/>
    <mergeCell ref="VGL4:VGL5"/>
    <mergeCell ref="VGM4:VGM5"/>
    <mergeCell ref="VGN4:VGN5"/>
    <mergeCell ref="VGO4:VGO5"/>
    <mergeCell ref="VGP4:VGP5"/>
    <mergeCell ref="VGG4:VGG5"/>
    <mergeCell ref="VGH4:VGH5"/>
    <mergeCell ref="VGI4:VGI5"/>
    <mergeCell ref="VGJ4:VGJ5"/>
    <mergeCell ref="VGK4:VGK5"/>
    <mergeCell ref="VIT4:VIT5"/>
    <mergeCell ref="VIU4:VIU5"/>
    <mergeCell ref="VIV4:VIV5"/>
    <mergeCell ref="VIW4:VIW5"/>
    <mergeCell ref="VIX4:VIX5"/>
    <mergeCell ref="VIO4:VIO5"/>
    <mergeCell ref="VIP4:VIP5"/>
    <mergeCell ref="VIQ4:VIQ5"/>
    <mergeCell ref="VIR4:VIR5"/>
    <mergeCell ref="VIS4:VIS5"/>
    <mergeCell ref="VIJ4:VIJ5"/>
    <mergeCell ref="VIK4:VIK5"/>
    <mergeCell ref="VIL4:VIL5"/>
    <mergeCell ref="VIM4:VIM5"/>
    <mergeCell ref="VIN4:VIN5"/>
    <mergeCell ref="VIE4:VIE5"/>
    <mergeCell ref="VIF4:VIF5"/>
    <mergeCell ref="VIG4:VIG5"/>
    <mergeCell ref="VIH4:VIH5"/>
    <mergeCell ref="VII4:VII5"/>
    <mergeCell ref="VHZ4:VHZ5"/>
    <mergeCell ref="VIA4:VIA5"/>
    <mergeCell ref="VIB4:VIB5"/>
    <mergeCell ref="VIC4:VIC5"/>
    <mergeCell ref="VID4:VID5"/>
    <mergeCell ref="VHU4:VHU5"/>
    <mergeCell ref="VHV4:VHV5"/>
    <mergeCell ref="VHW4:VHW5"/>
    <mergeCell ref="VHX4:VHX5"/>
    <mergeCell ref="VHY4:VHY5"/>
    <mergeCell ref="VHP4:VHP5"/>
    <mergeCell ref="VHQ4:VHQ5"/>
    <mergeCell ref="VHR4:VHR5"/>
    <mergeCell ref="VHS4:VHS5"/>
    <mergeCell ref="VHT4:VHT5"/>
    <mergeCell ref="VKC4:VKC5"/>
    <mergeCell ref="VKD4:VKD5"/>
    <mergeCell ref="VKE4:VKE5"/>
    <mergeCell ref="VKF4:VKF5"/>
    <mergeCell ref="VKG4:VKG5"/>
    <mergeCell ref="VJX4:VJX5"/>
    <mergeCell ref="VJY4:VJY5"/>
    <mergeCell ref="VJZ4:VJZ5"/>
    <mergeCell ref="VKA4:VKA5"/>
    <mergeCell ref="VKB4:VKB5"/>
    <mergeCell ref="VJS4:VJS5"/>
    <mergeCell ref="VJT4:VJT5"/>
    <mergeCell ref="VJU4:VJU5"/>
    <mergeCell ref="VJV4:VJV5"/>
    <mergeCell ref="VJW4:VJW5"/>
    <mergeCell ref="VJN4:VJN5"/>
    <mergeCell ref="VJO4:VJO5"/>
    <mergeCell ref="VJP4:VJP5"/>
    <mergeCell ref="VJQ4:VJQ5"/>
    <mergeCell ref="VJR4:VJR5"/>
    <mergeCell ref="VJI4:VJI5"/>
    <mergeCell ref="VJJ4:VJJ5"/>
    <mergeCell ref="VJK4:VJK5"/>
    <mergeCell ref="VJL4:VJL5"/>
    <mergeCell ref="VJM4:VJM5"/>
    <mergeCell ref="VJD4:VJD5"/>
    <mergeCell ref="VJE4:VJE5"/>
    <mergeCell ref="VJF4:VJF5"/>
    <mergeCell ref="VJG4:VJG5"/>
    <mergeCell ref="VJH4:VJH5"/>
    <mergeCell ref="VIY4:VIY5"/>
    <mergeCell ref="VIZ4:VIZ5"/>
    <mergeCell ref="VJA4:VJA5"/>
    <mergeCell ref="VJB4:VJB5"/>
    <mergeCell ref="VJC4:VJC5"/>
    <mergeCell ref="VLL4:VLL5"/>
    <mergeCell ref="VLM4:VLM5"/>
    <mergeCell ref="VLN4:VLN5"/>
    <mergeCell ref="VLO4:VLO5"/>
    <mergeCell ref="VLP4:VLP5"/>
    <mergeCell ref="VLG4:VLG5"/>
    <mergeCell ref="VLH4:VLH5"/>
    <mergeCell ref="VLI4:VLI5"/>
    <mergeCell ref="VLJ4:VLJ5"/>
    <mergeCell ref="VLK4:VLK5"/>
    <mergeCell ref="VLB4:VLB5"/>
    <mergeCell ref="VLC4:VLC5"/>
    <mergeCell ref="VLD4:VLD5"/>
    <mergeCell ref="VLE4:VLE5"/>
    <mergeCell ref="VLF4:VLF5"/>
    <mergeCell ref="VKW4:VKW5"/>
    <mergeCell ref="VKX4:VKX5"/>
    <mergeCell ref="VKY4:VKY5"/>
    <mergeCell ref="VKZ4:VKZ5"/>
    <mergeCell ref="VLA4:VLA5"/>
    <mergeCell ref="VKR4:VKR5"/>
    <mergeCell ref="VKS4:VKS5"/>
    <mergeCell ref="VKT4:VKT5"/>
    <mergeCell ref="VKU4:VKU5"/>
    <mergeCell ref="VKV4:VKV5"/>
    <mergeCell ref="VKM4:VKM5"/>
    <mergeCell ref="VKN4:VKN5"/>
    <mergeCell ref="VKO4:VKO5"/>
    <mergeCell ref="VKP4:VKP5"/>
    <mergeCell ref="VKQ4:VKQ5"/>
    <mergeCell ref="VKH4:VKH5"/>
    <mergeCell ref="VKI4:VKI5"/>
    <mergeCell ref="VKJ4:VKJ5"/>
    <mergeCell ref="VKK4:VKK5"/>
    <mergeCell ref="VKL4:VKL5"/>
    <mergeCell ref="VMU4:VMU5"/>
    <mergeCell ref="VMV4:VMV5"/>
    <mergeCell ref="VMW4:VMW5"/>
    <mergeCell ref="VMX4:VMX5"/>
    <mergeCell ref="VMY4:VMY5"/>
    <mergeCell ref="VMP4:VMP5"/>
    <mergeCell ref="VMQ4:VMQ5"/>
    <mergeCell ref="VMR4:VMR5"/>
    <mergeCell ref="VMS4:VMS5"/>
    <mergeCell ref="VMT4:VMT5"/>
    <mergeCell ref="VMK4:VMK5"/>
    <mergeCell ref="VML4:VML5"/>
    <mergeCell ref="VMM4:VMM5"/>
    <mergeCell ref="VMN4:VMN5"/>
    <mergeCell ref="VMO4:VMO5"/>
    <mergeCell ref="VMF4:VMF5"/>
    <mergeCell ref="VMG4:VMG5"/>
    <mergeCell ref="VMH4:VMH5"/>
    <mergeCell ref="VMI4:VMI5"/>
    <mergeCell ref="VMJ4:VMJ5"/>
    <mergeCell ref="VMA4:VMA5"/>
    <mergeCell ref="VMB4:VMB5"/>
    <mergeCell ref="VMC4:VMC5"/>
    <mergeCell ref="VMD4:VMD5"/>
    <mergeCell ref="VME4:VME5"/>
    <mergeCell ref="VLV4:VLV5"/>
    <mergeCell ref="VLW4:VLW5"/>
    <mergeCell ref="VLX4:VLX5"/>
    <mergeCell ref="VLY4:VLY5"/>
    <mergeCell ref="VLZ4:VLZ5"/>
    <mergeCell ref="VLQ4:VLQ5"/>
    <mergeCell ref="VLR4:VLR5"/>
    <mergeCell ref="VLS4:VLS5"/>
    <mergeCell ref="VLT4:VLT5"/>
    <mergeCell ref="VLU4:VLU5"/>
    <mergeCell ref="VOD4:VOD5"/>
    <mergeCell ref="VOE4:VOE5"/>
    <mergeCell ref="VOF4:VOF5"/>
    <mergeCell ref="VOG4:VOG5"/>
    <mergeCell ref="VOH4:VOH5"/>
    <mergeCell ref="VNY4:VNY5"/>
    <mergeCell ref="VNZ4:VNZ5"/>
    <mergeCell ref="VOA4:VOA5"/>
    <mergeCell ref="VOB4:VOB5"/>
    <mergeCell ref="VOC4:VOC5"/>
    <mergeCell ref="VNT4:VNT5"/>
    <mergeCell ref="VNU4:VNU5"/>
    <mergeCell ref="VNV4:VNV5"/>
    <mergeCell ref="VNW4:VNW5"/>
    <mergeCell ref="VNX4:VNX5"/>
    <mergeCell ref="VNO4:VNO5"/>
    <mergeCell ref="VNP4:VNP5"/>
    <mergeCell ref="VNQ4:VNQ5"/>
    <mergeCell ref="VNR4:VNR5"/>
    <mergeCell ref="VNS4:VNS5"/>
    <mergeCell ref="VNJ4:VNJ5"/>
    <mergeCell ref="VNK4:VNK5"/>
    <mergeCell ref="VNL4:VNL5"/>
    <mergeCell ref="VNM4:VNM5"/>
    <mergeCell ref="VNN4:VNN5"/>
    <mergeCell ref="VNE4:VNE5"/>
    <mergeCell ref="VNF4:VNF5"/>
    <mergeCell ref="VNG4:VNG5"/>
    <mergeCell ref="VNH4:VNH5"/>
    <mergeCell ref="VNI4:VNI5"/>
    <mergeCell ref="VMZ4:VMZ5"/>
    <mergeCell ref="VNA4:VNA5"/>
    <mergeCell ref="VNB4:VNB5"/>
    <mergeCell ref="VNC4:VNC5"/>
    <mergeCell ref="VND4:VND5"/>
    <mergeCell ref="VPM4:VPM5"/>
    <mergeCell ref="VPN4:VPN5"/>
    <mergeCell ref="VPO4:VPO5"/>
    <mergeCell ref="VPP4:VPP5"/>
    <mergeCell ref="VPQ4:VPQ5"/>
    <mergeCell ref="VPH4:VPH5"/>
    <mergeCell ref="VPI4:VPI5"/>
    <mergeCell ref="VPJ4:VPJ5"/>
    <mergeCell ref="VPK4:VPK5"/>
    <mergeCell ref="VPL4:VPL5"/>
    <mergeCell ref="VPC4:VPC5"/>
    <mergeCell ref="VPD4:VPD5"/>
    <mergeCell ref="VPE4:VPE5"/>
    <mergeCell ref="VPF4:VPF5"/>
    <mergeCell ref="VPG4:VPG5"/>
    <mergeCell ref="VOX4:VOX5"/>
    <mergeCell ref="VOY4:VOY5"/>
    <mergeCell ref="VOZ4:VOZ5"/>
    <mergeCell ref="VPA4:VPA5"/>
    <mergeCell ref="VPB4:VPB5"/>
    <mergeCell ref="VOS4:VOS5"/>
    <mergeCell ref="VOT4:VOT5"/>
    <mergeCell ref="VOU4:VOU5"/>
    <mergeCell ref="VOV4:VOV5"/>
    <mergeCell ref="VOW4:VOW5"/>
    <mergeCell ref="VON4:VON5"/>
    <mergeCell ref="VOO4:VOO5"/>
    <mergeCell ref="VOP4:VOP5"/>
    <mergeCell ref="VOQ4:VOQ5"/>
    <mergeCell ref="VOR4:VOR5"/>
    <mergeCell ref="VOI4:VOI5"/>
    <mergeCell ref="VOJ4:VOJ5"/>
    <mergeCell ref="VOK4:VOK5"/>
    <mergeCell ref="VOL4:VOL5"/>
    <mergeCell ref="VOM4:VOM5"/>
    <mergeCell ref="VQV4:VQV5"/>
    <mergeCell ref="VQW4:VQW5"/>
    <mergeCell ref="VQX4:VQX5"/>
    <mergeCell ref="VQY4:VQY5"/>
    <mergeCell ref="VQZ4:VQZ5"/>
    <mergeCell ref="VQQ4:VQQ5"/>
    <mergeCell ref="VQR4:VQR5"/>
    <mergeCell ref="VQS4:VQS5"/>
    <mergeCell ref="VQT4:VQT5"/>
    <mergeCell ref="VQU4:VQU5"/>
    <mergeCell ref="VQL4:VQL5"/>
    <mergeCell ref="VQM4:VQM5"/>
    <mergeCell ref="VQN4:VQN5"/>
    <mergeCell ref="VQO4:VQO5"/>
    <mergeCell ref="VQP4:VQP5"/>
    <mergeCell ref="VQG4:VQG5"/>
    <mergeCell ref="VQH4:VQH5"/>
    <mergeCell ref="VQI4:VQI5"/>
    <mergeCell ref="VQJ4:VQJ5"/>
    <mergeCell ref="VQK4:VQK5"/>
    <mergeCell ref="VQB4:VQB5"/>
    <mergeCell ref="VQC4:VQC5"/>
    <mergeCell ref="VQD4:VQD5"/>
    <mergeCell ref="VQE4:VQE5"/>
    <mergeCell ref="VQF4:VQF5"/>
    <mergeCell ref="VPW4:VPW5"/>
    <mergeCell ref="VPX4:VPX5"/>
    <mergeCell ref="VPY4:VPY5"/>
    <mergeCell ref="VPZ4:VPZ5"/>
    <mergeCell ref="VQA4:VQA5"/>
    <mergeCell ref="VPR4:VPR5"/>
    <mergeCell ref="VPS4:VPS5"/>
    <mergeCell ref="VPT4:VPT5"/>
    <mergeCell ref="VPU4:VPU5"/>
    <mergeCell ref="VPV4:VPV5"/>
    <mergeCell ref="VSE4:VSE5"/>
    <mergeCell ref="VSF4:VSF5"/>
    <mergeCell ref="VSG4:VSG5"/>
    <mergeCell ref="VSH4:VSH5"/>
    <mergeCell ref="VSI4:VSI5"/>
    <mergeCell ref="VRZ4:VRZ5"/>
    <mergeCell ref="VSA4:VSA5"/>
    <mergeCell ref="VSB4:VSB5"/>
    <mergeCell ref="VSC4:VSC5"/>
    <mergeCell ref="VSD4:VSD5"/>
    <mergeCell ref="VRU4:VRU5"/>
    <mergeCell ref="VRV4:VRV5"/>
    <mergeCell ref="VRW4:VRW5"/>
    <mergeCell ref="VRX4:VRX5"/>
    <mergeCell ref="VRY4:VRY5"/>
    <mergeCell ref="VRP4:VRP5"/>
    <mergeCell ref="VRQ4:VRQ5"/>
    <mergeCell ref="VRR4:VRR5"/>
    <mergeCell ref="VRS4:VRS5"/>
    <mergeCell ref="VRT4:VRT5"/>
    <mergeCell ref="VRK4:VRK5"/>
    <mergeCell ref="VRL4:VRL5"/>
    <mergeCell ref="VRM4:VRM5"/>
    <mergeCell ref="VRN4:VRN5"/>
    <mergeCell ref="VRO4:VRO5"/>
    <mergeCell ref="VRF4:VRF5"/>
    <mergeCell ref="VRG4:VRG5"/>
    <mergeCell ref="VRH4:VRH5"/>
    <mergeCell ref="VRI4:VRI5"/>
    <mergeCell ref="VRJ4:VRJ5"/>
    <mergeCell ref="VRA4:VRA5"/>
    <mergeCell ref="VRB4:VRB5"/>
    <mergeCell ref="VRC4:VRC5"/>
    <mergeCell ref="VRD4:VRD5"/>
    <mergeCell ref="VRE4:VRE5"/>
    <mergeCell ref="VTN4:VTN5"/>
    <mergeCell ref="VTO4:VTO5"/>
    <mergeCell ref="VTP4:VTP5"/>
    <mergeCell ref="VTQ4:VTQ5"/>
    <mergeCell ref="VTR4:VTR5"/>
    <mergeCell ref="VTI4:VTI5"/>
    <mergeCell ref="VTJ4:VTJ5"/>
    <mergeCell ref="VTK4:VTK5"/>
    <mergeCell ref="VTL4:VTL5"/>
    <mergeCell ref="VTM4:VTM5"/>
    <mergeCell ref="VTD4:VTD5"/>
    <mergeCell ref="VTE4:VTE5"/>
    <mergeCell ref="VTF4:VTF5"/>
    <mergeCell ref="VTG4:VTG5"/>
    <mergeCell ref="VTH4:VTH5"/>
    <mergeCell ref="VSY4:VSY5"/>
    <mergeCell ref="VSZ4:VSZ5"/>
    <mergeCell ref="VTA4:VTA5"/>
    <mergeCell ref="VTB4:VTB5"/>
    <mergeCell ref="VTC4:VTC5"/>
    <mergeCell ref="VST4:VST5"/>
    <mergeCell ref="VSU4:VSU5"/>
    <mergeCell ref="VSV4:VSV5"/>
    <mergeCell ref="VSW4:VSW5"/>
    <mergeCell ref="VSX4:VSX5"/>
    <mergeCell ref="VSO4:VSO5"/>
    <mergeCell ref="VSP4:VSP5"/>
    <mergeCell ref="VSQ4:VSQ5"/>
    <mergeCell ref="VSR4:VSR5"/>
    <mergeCell ref="VSS4:VSS5"/>
    <mergeCell ref="VSJ4:VSJ5"/>
    <mergeCell ref="VSK4:VSK5"/>
    <mergeCell ref="VSL4:VSL5"/>
    <mergeCell ref="VSM4:VSM5"/>
    <mergeCell ref="VSN4:VSN5"/>
    <mergeCell ref="VUW4:VUW5"/>
    <mergeCell ref="VUX4:VUX5"/>
    <mergeCell ref="VUY4:VUY5"/>
    <mergeCell ref="VUZ4:VUZ5"/>
    <mergeCell ref="VVA4:VVA5"/>
    <mergeCell ref="VUR4:VUR5"/>
    <mergeCell ref="VUS4:VUS5"/>
    <mergeCell ref="VUT4:VUT5"/>
    <mergeCell ref="VUU4:VUU5"/>
    <mergeCell ref="VUV4:VUV5"/>
    <mergeCell ref="VUM4:VUM5"/>
    <mergeCell ref="VUN4:VUN5"/>
    <mergeCell ref="VUO4:VUO5"/>
    <mergeCell ref="VUP4:VUP5"/>
    <mergeCell ref="VUQ4:VUQ5"/>
    <mergeCell ref="VUH4:VUH5"/>
    <mergeCell ref="VUI4:VUI5"/>
    <mergeCell ref="VUJ4:VUJ5"/>
    <mergeCell ref="VUK4:VUK5"/>
    <mergeCell ref="VUL4:VUL5"/>
    <mergeCell ref="VUC4:VUC5"/>
    <mergeCell ref="VUD4:VUD5"/>
    <mergeCell ref="VUE4:VUE5"/>
    <mergeCell ref="VUF4:VUF5"/>
    <mergeCell ref="VUG4:VUG5"/>
    <mergeCell ref="VTX4:VTX5"/>
    <mergeCell ref="VTY4:VTY5"/>
    <mergeCell ref="VTZ4:VTZ5"/>
    <mergeCell ref="VUA4:VUA5"/>
    <mergeCell ref="VUB4:VUB5"/>
    <mergeCell ref="VTS4:VTS5"/>
    <mergeCell ref="VTT4:VTT5"/>
    <mergeCell ref="VTU4:VTU5"/>
    <mergeCell ref="VTV4:VTV5"/>
    <mergeCell ref="VTW4:VTW5"/>
    <mergeCell ref="VWF4:VWF5"/>
    <mergeCell ref="VWG4:VWG5"/>
    <mergeCell ref="VWH4:VWH5"/>
    <mergeCell ref="VWI4:VWI5"/>
    <mergeCell ref="VWJ4:VWJ5"/>
    <mergeCell ref="VWA4:VWA5"/>
    <mergeCell ref="VWB4:VWB5"/>
    <mergeCell ref="VWC4:VWC5"/>
    <mergeCell ref="VWD4:VWD5"/>
    <mergeCell ref="VWE4:VWE5"/>
    <mergeCell ref="VVV4:VVV5"/>
    <mergeCell ref="VVW4:VVW5"/>
    <mergeCell ref="VVX4:VVX5"/>
    <mergeCell ref="VVY4:VVY5"/>
    <mergeCell ref="VVZ4:VVZ5"/>
    <mergeCell ref="VVQ4:VVQ5"/>
    <mergeCell ref="VVR4:VVR5"/>
    <mergeCell ref="VVS4:VVS5"/>
    <mergeCell ref="VVT4:VVT5"/>
    <mergeCell ref="VVU4:VVU5"/>
    <mergeCell ref="VVL4:VVL5"/>
    <mergeCell ref="VVM4:VVM5"/>
    <mergeCell ref="VVN4:VVN5"/>
    <mergeCell ref="VVO4:VVO5"/>
    <mergeCell ref="VVP4:VVP5"/>
    <mergeCell ref="VVG4:VVG5"/>
    <mergeCell ref="VVH4:VVH5"/>
    <mergeCell ref="VVI4:VVI5"/>
    <mergeCell ref="VVJ4:VVJ5"/>
    <mergeCell ref="VVK4:VVK5"/>
    <mergeCell ref="VVB4:VVB5"/>
    <mergeCell ref="VVC4:VVC5"/>
    <mergeCell ref="VVD4:VVD5"/>
    <mergeCell ref="VVE4:VVE5"/>
    <mergeCell ref="VVF4:VVF5"/>
    <mergeCell ref="VXO4:VXO5"/>
    <mergeCell ref="VXP4:VXP5"/>
    <mergeCell ref="VXQ4:VXQ5"/>
    <mergeCell ref="VXR4:VXR5"/>
    <mergeCell ref="VXS4:VXS5"/>
    <mergeCell ref="VXJ4:VXJ5"/>
    <mergeCell ref="VXK4:VXK5"/>
    <mergeCell ref="VXL4:VXL5"/>
    <mergeCell ref="VXM4:VXM5"/>
    <mergeCell ref="VXN4:VXN5"/>
    <mergeCell ref="VXE4:VXE5"/>
    <mergeCell ref="VXF4:VXF5"/>
    <mergeCell ref="VXG4:VXG5"/>
    <mergeCell ref="VXH4:VXH5"/>
    <mergeCell ref="VXI4:VXI5"/>
    <mergeCell ref="VWZ4:VWZ5"/>
    <mergeCell ref="VXA4:VXA5"/>
    <mergeCell ref="VXB4:VXB5"/>
    <mergeCell ref="VXC4:VXC5"/>
    <mergeCell ref="VXD4:VXD5"/>
    <mergeCell ref="VWU4:VWU5"/>
    <mergeCell ref="VWV4:VWV5"/>
    <mergeCell ref="VWW4:VWW5"/>
    <mergeCell ref="VWX4:VWX5"/>
    <mergeCell ref="VWY4:VWY5"/>
    <mergeCell ref="VWP4:VWP5"/>
    <mergeCell ref="VWQ4:VWQ5"/>
    <mergeCell ref="VWR4:VWR5"/>
    <mergeCell ref="VWS4:VWS5"/>
    <mergeCell ref="VWT4:VWT5"/>
    <mergeCell ref="VWK4:VWK5"/>
    <mergeCell ref="VWL4:VWL5"/>
    <mergeCell ref="VWM4:VWM5"/>
    <mergeCell ref="VWN4:VWN5"/>
    <mergeCell ref="VWO4:VWO5"/>
    <mergeCell ref="VYX4:VYX5"/>
    <mergeCell ref="VYY4:VYY5"/>
    <mergeCell ref="VYZ4:VYZ5"/>
    <mergeCell ref="VZA4:VZA5"/>
    <mergeCell ref="VZB4:VZB5"/>
    <mergeCell ref="VYS4:VYS5"/>
    <mergeCell ref="VYT4:VYT5"/>
    <mergeCell ref="VYU4:VYU5"/>
    <mergeCell ref="VYV4:VYV5"/>
    <mergeCell ref="VYW4:VYW5"/>
    <mergeCell ref="VYN4:VYN5"/>
    <mergeCell ref="VYO4:VYO5"/>
    <mergeCell ref="VYP4:VYP5"/>
    <mergeCell ref="VYQ4:VYQ5"/>
    <mergeCell ref="VYR4:VYR5"/>
    <mergeCell ref="VYI4:VYI5"/>
    <mergeCell ref="VYJ4:VYJ5"/>
    <mergeCell ref="VYK4:VYK5"/>
    <mergeCell ref="VYL4:VYL5"/>
    <mergeCell ref="VYM4:VYM5"/>
    <mergeCell ref="VYD4:VYD5"/>
    <mergeCell ref="VYE4:VYE5"/>
    <mergeCell ref="VYF4:VYF5"/>
    <mergeCell ref="VYG4:VYG5"/>
    <mergeCell ref="VYH4:VYH5"/>
    <mergeCell ref="VXY4:VXY5"/>
    <mergeCell ref="VXZ4:VXZ5"/>
    <mergeCell ref="VYA4:VYA5"/>
    <mergeCell ref="VYB4:VYB5"/>
    <mergeCell ref="VYC4:VYC5"/>
    <mergeCell ref="VXT4:VXT5"/>
    <mergeCell ref="VXU4:VXU5"/>
    <mergeCell ref="VXV4:VXV5"/>
    <mergeCell ref="VXW4:VXW5"/>
    <mergeCell ref="VXX4:VXX5"/>
    <mergeCell ref="WAG4:WAG5"/>
    <mergeCell ref="WAH4:WAH5"/>
    <mergeCell ref="WAI4:WAI5"/>
    <mergeCell ref="WAJ4:WAJ5"/>
    <mergeCell ref="WAK4:WAK5"/>
    <mergeCell ref="WAB4:WAB5"/>
    <mergeCell ref="WAC4:WAC5"/>
    <mergeCell ref="WAD4:WAD5"/>
    <mergeCell ref="WAE4:WAE5"/>
    <mergeCell ref="WAF4:WAF5"/>
    <mergeCell ref="VZW4:VZW5"/>
    <mergeCell ref="VZX4:VZX5"/>
    <mergeCell ref="VZY4:VZY5"/>
    <mergeCell ref="VZZ4:VZZ5"/>
    <mergeCell ref="WAA4:WAA5"/>
    <mergeCell ref="VZR4:VZR5"/>
    <mergeCell ref="VZS4:VZS5"/>
    <mergeCell ref="VZT4:VZT5"/>
    <mergeCell ref="VZU4:VZU5"/>
    <mergeCell ref="VZV4:VZV5"/>
    <mergeCell ref="VZM4:VZM5"/>
    <mergeCell ref="VZN4:VZN5"/>
    <mergeCell ref="VZO4:VZO5"/>
    <mergeCell ref="VZP4:VZP5"/>
    <mergeCell ref="VZQ4:VZQ5"/>
    <mergeCell ref="VZH4:VZH5"/>
    <mergeCell ref="VZI4:VZI5"/>
    <mergeCell ref="VZJ4:VZJ5"/>
    <mergeCell ref="VZK4:VZK5"/>
    <mergeCell ref="VZL4:VZL5"/>
    <mergeCell ref="VZC4:VZC5"/>
    <mergeCell ref="VZD4:VZD5"/>
    <mergeCell ref="VZE4:VZE5"/>
    <mergeCell ref="VZF4:VZF5"/>
    <mergeCell ref="VZG4:VZG5"/>
    <mergeCell ref="WBP4:WBP5"/>
    <mergeCell ref="WBQ4:WBQ5"/>
    <mergeCell ref="WBR4:WBR5"/>
    <mergeCell ref="WBS4:WBS5"/>
    <mergeCell ref="WBT4:WBT5"/>
    <mergeCell ref="WBK4:WBK5"/>
    <mergeCell ref="WBL4:WBL5"/>
    <mergeCell ref="WBM4:WBM5"/>
    <mergeCell ref="WBN4:WBN5"/>
    <mergeCell ref="WBO4:WBO5"/>
    <mergeCell ref="WBF4:WBF5"/>
    <mergeCell ref="WBG4:WBG5"/>
    <mergeCell ref="WBH4:WBH5"/>
    <mergeCell ref="WBI4:WBI5"/>
    <mergeCell ref="WBJ4:WBJ5"/>
    <mergeCell ref="WBA4:WBA5"/>
    <mergeCell ref="WBB4:WBB5"/>
    <mergeCell ref="WBC4:WBC5"/>
    <mergeCell ref="WBD4:WBD5"/>
    <mergeCell ref="WBE4:WBE5"/>
    <mergeCell ref="WAV4:WAV5"/>
    <mergeCell ref="WAW4:WAW5"/>
    <mergeCell ref="WAX4:WAX5"/>
    <mergeCell ref="WAY4:WAY5"/>
    <mergeCell ref="WAZ4:WAZ5"/>
    <mergeCell ref="WAQ4:WAQ5"/>
    <mergeCell ref="WAR4:WAR5"/>
    <mergeCell ref="WAS4:WAS5"/>
    <mergeCell ref="WAT4:WAT5"/>
    <mergeCell ref="WAU4:WAU5"/>
    <mergeCell ref="WAL4:WAL5"/>
    <mergeCell ref="WAM4:WAM5"/>
    <mergeCell ref="WAN4:WAN5"/>
    <mergeCell ref="WAO4:WAO5"/>
    <mergeCell ref="WAP4:WAP5"/>
    <mergeCell ref="WCY4:WCY5"/>
    <mergeCell ref="WCZ4:WCZ5"/>
    <mergeCell ref="WDA4:WDA5"/>
    <mergeCell ref="WDB4:WDB5"/>
    <mergeCell ref="WDC4:WDC5"/>
    <mergeCell ref="WCT4:WCT5"/>
    <mergeCell ref="WCU4:WCU5"/>
    <mergeCell ref="WCV4:WCV5"/>
    <mergeCell ref="WCW4:WCW5"/>
    <mergeCell ref="WCX4:WCX5"/>
    <mergeCell ref="WCO4:WCO5"/>
    <mergeCell ref="WCP4:WCP5"/>
    <mergeCell ref="WCQ4:WCQ5"/>
    <mergeCell ref="WCR4:WCR5"/>
    <mergeCell ref="WCS4:WCS5"/>
    <mergeCell ref="WCJ4:WCJ5"/>
    <mergeCell ref="WCK4:WCK5"/>
    <mergeCell ref="WCL4:WCL5"/>
    <mergeCell ref="WCM4:WCM5"/>
    <mergeCell ref="WCN4:WCN5"/>
    <mergeCell ref="WCE4:WCE5"/>
    <mergeCell ref="WCF4:WCF5"/>
    <mergeCell ref="WCG4:WCG5"/>
    <mergeCell ref="WCH4:WCH5"/>
    <mergeCell ref="WCI4:WCI5"/>
    <mergeCell ref="WBZ4:WBZ5"/>
    <mergeCell ref="WCA4:WCA5"/>
    <mergeCell ref="WCB4:WCB5"/>
    <mergeCell ref="WCC4:WCC5"/>
    <mergeCell ref="WCD4:WCD5"/>
    <mergeCell ref="WBU4:WBU5"/>
    <mergeCell ref="WBV4:WBV5"/>
    <mergeCell ref="WBW4:WBW5"/>
    <mergeCell ref="WBX4:WBX5"/>
    <mergeCell ref="WBY4:WBY5"/>
    <mergeCell ref="WEH4:WEH5"/>
    <mergeCell ref="WEI4:WEI5"/>
    <mergeCell ref="WEJ4:WEJ5"/>
    <mergeCell ref="WEK4:WEK5"/>
    <mergeCell ref="WEL4:WEL5"/>
    <mergeCell ref="WEC4:WEC5"/>
    <mergeCell ref="WED4:WED5"/>
    <mergeCell ref="WEE4:WEE5"/>
    <mergeCell ref="WEF4:WEF5"/>
    <mergeCell ref="WEG4:WEG5"/>
    <mergeCell ref="WDX4:WDX5"/>
    <mergeCell ref="WDY4:WDY5"/>
    <mergeCell ref="WDZ4:WDZ5"/>
    <mergeCell ref="WEA4:WEA5"/>
    <mergeCell ref="WEB4:WEB5"/>
    <mergeCell ref="WDS4:WDS5"/>
    <mergeCell ref="WDT4:WDT5"/>
    <mergeCell ref="WDU4:WDU5"/>
    <mergeCell ref="WDV4:WDV5"/>
    <mergeCell ref="WDW4:WDW5"/>
    <mergeCell ref="WDN4:WDN5"/>
    <mergeCell ref="WDO4:WDO5"/>
    <mergeCell ref="WDP4:WDP5"/>
    <mergeCell ref="WDQ4:WDQ5"/>
    <mergeCell ref="WDR4:WDR5"/>
    <mergeCell ref="WDI4:WDI5"/>
    <mergeCell ref="WDJ4:WDJ5"/>
    <mergeCell ref="WDK4:WDK5"/>
    <mergeCell ref="WDL4:WDL5"/>
    <mergeCell ref="WDM4:WDM5"/>
    <mergeCell ref="WDD4:WDD5"/>
    <mergeCell ref="WDE4:WDE5"/>
    <mergeCell ref="WDF4:WDF5"/>
    <mergeCell ref="WDG4:WDG5"/>
    <mergeCell ref="WDH4:WDH5"/>
    <mergeCell ref="WFQ4:WFQ5"/>
    <mergeCell ref="WFR4:WFR5"/>
    <mergeCell ref="WFS4:WFS5"/>
    <mergeCell ref="WFT4:WFT5"/>
    <mergeCell ref="WFU4:WFU5"/>
    <mergeCell ref="WFL4:WFL5"/>
    <mergeCell ref="WFM4:WFM5"/>
    <mergeCell ref="WFN4:WFN5"/>
    <mergeCell ref="WFO4:WFO5"/>
    <mergeCell ref="WFP4:WFP5"/>
    <mergeCell ref="WFG4:WFG5"/>
    <mergeCell ref="WFH4:WFH5"/>
    <mergeCell ref="WFI4:WFI5"/>
    <mergeCell ref="WFJ4:WFJ5"/>
    <mergeCell ref="WFK4:WFK5"/>
    <mergeCell ref="WFB4:WFB5"/>
    <mergeCell ref="WFC4:WFC5"/>
    <mergeCell ref="WFD4:WFD5"/>
    <mergeCell ref="WFE4:WFE5"/>
    <mergeCell ref="WFF4:WFF5"/>
    <mergeCell ref="WEW4:WEW5"/>
    <mergeCell ref="WEX4:WEX5"/>
    <mergeCell ref="WEY4:WEY5"/>
    <mergeCell ref="WEZ4:WEZ5"/>
    <mergeCell ref="WFA4:WFA5"/>
    <mergeCell ref="WER4:WER5"/>
    <mergeCell ref="WES4:WES5"/>
    <mergeCell ref="WET4:WET5"/>
    <mergeCell ref="WEU4:WEU5"/>
    <mergeCell ref="WEV4:WEV5"/>
    <mergeCell ref="WEM4:WEM5"/>
    <mergeCell ref="WEN4:WEN5"/>
    <mergeCell ref="WEO4:WEO5"/>
    <mergeCell ref="WEP4:WEP5"/>
    <mergeCell ref="WEQ4:WEQ5"/>
    <mergeCell ref="WGZ4:WGZ5"/>
    <mergeCell ref="WHA4:WHA5"/>
    <mergeCell ref="WHB4:WHB5"/>
    <mergeCell ref="WHC4:WHC5"/>
    <mergeCell ref="WHD4:WHD5"/>
    <mergeCell ref="WGU4:WGU5"/>
    <mergeCell ref="WGV4:WGV5"/>
    <mergeCell ref="WGW4:WGW5"/>
    <mergeCell ref="WGX4:WGX5"/>
    <mergeCell ref="WGY4:WGY5"/>
    <mergeCell ref="WGP4:WGP5"/>
    <mergeCell ref="WGQ4:WGQ5"/>
    <mergeCell ref="WGR4:WGR5"/>
    <mergeCell ref="WGS4:WGS5"/>
    <mergeCell ref="WGT4:WGT5"/>
    <mergeCell ref="WGK4:WGK5"/>
    <mergeCell ref="WGL4:WGL5"/>
    <mergeCell ref="WGM4:WGM5"/>
    <mergeCell ref="WGN4:WGN5"/>
    <mergeCell ref="WGO4:WGO5"/>
    <mergeCell ref="WGF4:WGF5"/>
    <mergeCell ref="WGG4:WGG5"/>
    <mergeCell ref="WGH4:WGH5"/>
    <mergeCell ref="WGI4:WGI5"/>
    <mergeCell ref="WGJ4:WGJ5"/>
    <mergeCell ref="WGA4:WGA5"/>
    <mergeCell ref="WGB4:WGB5"/>
    <mergeCell ref="WGC4:WGC5"/>
    <mergeCell ref="WGD4:WGD5"/>
    <mergeCell ref="WGE4:WGE5"/>
    <mergeCell ref="WFV4:WFV5"/>
    <mergeCell ref="WFW4:WFW5"/>
    <mergeCell ref="WFX4:WFX5"/>
    <mergeCell ref="WFY4:WFY5"/>
    <mergeCell ref="WFZ4:WFZ5"/>
    <mergeCell ref="WII4:WII5"/>
    <mergeCell ref="WIJ4:WIJ5"/>
    <mergeCell ref="WIK4:WIK5"/>
    <mergeCell ref="WIL4:WIL5"/>
    <mergeCell ref="WIM4:WIM5"/>
    <mergeCell ref="WID4:WID5"/>
    <mergeCell ref="WIE4:WIE5"/>
    <mergeCell ref="WIF4:WIF5"/>
    <mergeCell ref="WIG4:WIG5"/>
    <mergeCell ref="WIH4:WIH5"/>
    <mergeCell ref="WHY4:WHY5"/>
    <mergeCell ref="WHZ4:WHZ5"/>
    <mergeCell ref="WIA4:WIA5"/>
    <mergeCell ref="WIB4:WIB5"/>
    <mergeCell ref="WIC4:WIC5"/>
    <mergeCell ref="WHT4:WHT5"/>
    <mergeCell ref="WHU4:WHU5"/>
    <mergeCell ref="WHV4:WHV5"/>
    <mergeCell ref="WHW4:WHW5"/>
    <mergeCell ref="WHX4:WHX5"/>
    <mergeCell ref="WHO4:WHO5"/>
    <mergeCell ref="WHP4:WHP5"/>
    <mergeCell ref="WHQ4:WHQ5"/>
    <mergeCell ref="WHR4:WHR5"/>
    <mergeCell ref="WHS4:WHS5"/>
    <mergeCell ref="WHJ4:WHJ5"/>
    <mergeCell ref="WHK4:WHK5"/>
    <mergeCell ref="WHL4:WHL5"/>
    <mergeCell ref="WHM4:WHM5"/>
    <mergeCell ref="WHN4:WHN5"/>
    <mergeCell ref="WHE4:WHE5"/>
    <mergeCell ref="WHF4:WHF5"/>
    <mergeCell ref="WHG4:WHG5"/>
    <mergeCell ref="WHH4:WHH5"/>
    <mergeCell ref="WHI4:WHI5"/>
    <mergeCell ref="WJR4:WJR5"/>
    <mergeCell ref="WJS4:WJS5"/>
    <mergeCell ref="WJT4:WJT5"/>
    <mergeCell ref="WJU4:WJU5"/>
    <mergeCell ref="WJV4:WJV5"/>
    <mergeCell ref="WJM4:WJM5"/>
    <mergeCell ref="WJN4:WJN5"/>
    <mergeCell ref="WJO4:WJO5"/>
    <mergeCell ref="WJP4:WJP5"/>
    <mergeCell ref="WJQ4:WJQ5"/>
    <mergeCell ref="WJH4:WJH5"/>
    <mergeCell ref="WJI4:WJI5"/>
    <mergeCell ref="WJJ4:WJJ5"/>
    <mergeCell ref="WJK4:WJK5"/>
    <mergeCell ref="WJL4:WJL5"/>
    <mergeCell ref="WJC4:WJC5"/>
    <mergeCell ref="WJD4:WJD5"/>
    <mergeCell ref="WJE4:WJE5"/>
    <mergeCell ref="WJF4:WJF5"/>
    <mergeCell ref="WJG4:WJG5"/>
    <mergeCell ref="WIX4:WIX5"/>
    <mergeCell ref="WIY4:WIY5"/>
    <mergeCell ref="WIZ4:WIZ5"/>
    <mergeCell ref="WJA4:WJA5"/>
    <mergeCell ref="WJB4:WJB5"/>
    <mergeCell ref="WIS4:WIS5"/>
    <mergeCell ref="WIT4:WIT5"/>
    <mergeCell ref="WIU4:WIU5"/>
    <mergeCell ref="WIV4:WIV5"/>
    <mergeCell ref="WIW4:WIW5"/>
    <mergeCell ref="WIN4:WIN5"/>
    <mergeCell ref="WIO4:WIO5"/>
    <mergeCell ref="WIP4:WIP5"/>
    <mergeCell ref="WIQ4:WIQ5"/>
    <mergeCell ref="WIR4:WIR5"/>
    <mergeCell ref="WLA4:WLA5"/>
    <mergeCell ref="WLB4:WLB5"/>
    <mergeCell ref="WLC4:WLC5"/>
    <mergeCell ref="WLD4:WLD5"/>
    <mergeCell ref="WLE4:WLE5"/>
    <mergeCell ref="WKV4:WKV5"/>
    <mergeCell ref="WKW4:WKW5"/>
    <mergeCell ref="WKX4:WKX5"/>
    <mergeCell ref="WKY4:WKY5"/>
    <mergeCell ref="WKZ4:WKZ5"/>
    <mergeCell ref="WKQ4:WKQ5"/>
    <mergeCell ref="WKR4:WKR5"/>
    <mergeCell ref="WKS4:WKS5"/>
    <mergeCell ref="WKT4:WKT5"/>
    <mergeCell ref="WKU4:WKU5"/>
    <mergeCell ref="WKL4:WKL5"/>
    <mergeCell ref="WKM4:WKM5"/>
    <mergeCell ref="WKN4:WKN5"/>
    <mergeCell ref="WKO4:WKO5"/>
    <mergeCell ref="WKP4:WKP5"/>
    <mergeCell ref="WKG4:WKG5"/>
    <mergeCell ref="WKH4:WKH5"/>
    <mergeCell ref="WKI4:WKI5"/>
    <mergeCell ref="WKJ4:WKJ5"/>
    <mergeCell ref="WKK4:WKK5"/>
    <mergeCell ref="WKB4:WKB5"/>
    <mergeCell ref="WKC4:WKC5"/>
    <mergeCell ref="WKD4:WKD5"/>
    <mergeCell ref="WKE4:WKE5"/>
    <mergeCell ref="WKF4:WKF5"/>
    <mergeCell ref="WJW4:WJW5"/>
    <mergeCell ref="WJX4:WJX5"/>
    <mergeCell ref="WJY4:WJY5"/>
    <mergeCell ref="WJZ4:WJZ5"/>
    <mergeCell ref="WKA4:WKA5"/>
    <mergeCell ref="WMJ4:WMJ5"/>
    <mergeCell ref="WMK4:WMK5"/>
    <mergeCell ref="WML4:WML5"/>
    <mergeCell ref="WMM4:WMM5"/>
    <mergeCell ref="WMN4:WMN5"/>
    <mergeCell ref="WME4:WME5"/>
    <mergeCell ref="WMF4:WMF5"/>
    <mergeCell ref="WMG4:WMG5"/>
    <mergeCell ref="WMH4:WMH5"/>
    <mergeCell ref="WMI4:WMI5"/>
    <mergeCell ref="WLZ4:WLZ5"/>
    <mergeCell ref="WMA4:WMA5"/>
    <mergeCell ref="WMB4:WMB5"/>
    <mergeCell ref="WMC4:WMC5"/>
    <mergeCell ref="WMD4:WMD5"/>
    <mergeCell ref="WLU4:WLU5"/>
    <mergeCell ref="WLV4:WLV5"/>
    <mergeCell ref="WLW4:WLW5"/>
    <mergeCell ref="WLX4:WLX5"/>
    <mergeCell ref="WLY4:WLY5"/>
    <mergeCell ref="WLP4:WLP5"/>
    <mergeCell ref="WLQ4:WLQ5"/>
    <mergeCell ref="WLR4:WLR5"/>
    <mergeCell ref="WLS4:WLS5"/>
    <mergeCell ref="WLT4:WLT5"/>
    <mergeCell ref="WLK4:WLK5"/>
    <mergeCell ref="WLL4:WLL5"/>
    <mergeCell ref="WLM4:WLM5"/>
    <mergeCell ref="WLN4:WLN5"/>
    <mergeCell ref="WLO4:WLO5"/>
    <mergeCell ref="WLF4:WLF5"/>
    <mergeCell ref="WLG4:WLG5"/>
    <mergeCell ref="WLH4:WLH5"/>
    <mergeCell ref="WLI4:WLI5"/>
    <mergeCell ref="WLJ4:WLJ5"/>
    <mergeCell ref="WNS4:WNS5"/>
    <mergeCell ref="WNT4:WNT5"/>
    <mergeCell ref="WNU4:WNU5"/>
    <mergeCell ref="WNV4:WNV5"/>
    <mergeCell ref="WNW4:WNW5"/>
    <mergeCell ref="WNN4:WNN5"/>
    <mergeCell ref="WNO4:WNO5"/>
    <mergeCell ref="WNP4:WNP5"/>
    <mergeCell ref="WNQ4:WNQ5"/>
    <mergeCell ref="WNR4:WNR5"/>
    <mergeCell ref="WNI4:WNI5"/>
    <mergeCell ref="WNJ4:WNJ5"/>
    <mergeCell ref="WNK4:WNK5"/>
    <mergeCell ref="WNL4:WNL5"/>
    <mergeCell ref="WNM4:WNM5"/>
    <mergeCell ref="WND4:WND5"/>
    <mergeCell ref="WNE4:WNE5"/>
    <mergeCell ref="WNF4:WNF5"/>
    <mergeCell ref="WNG4:WNG5"/>
    <mergeCell ref="WNH4:WNH5"/>
    <mergeCell ref="WMY4:WMY5"/>
    <mergeCell ref="WMZ4:WMZ5"/>
    <mergeCell ref="WNA4:WNA5"/>
    <mergeCell ref="WNB4:WNB5"/>
    <mergeCell ref="WNC4:WNC5"/>
    <mergeCell ref="WMT4:WMT5"/>
    <mergeCell ref="WMU4:WMU5"/>
    <mergeCell ref="WMV4:WMV5"/>
    <mergeCell ref="WMW4:WMW5"/>
    <mergeCell ref="WMX4:WMX5"/>
    <mergeCell ref="WMO4:WMO5"/>
    <mergeCell ref="WMP4:WMP5"/>
    <mergeCell ref="WMQ4:WMQ5"/>
    <mergeCell ref="WMR4:WMR5"/>
    <mergeCell ref="WMS4:WMS5"/>
    <mergeCell ref="WPB4:WPB5"/>
    <mergeCell ref="WPC4:WPC5"/>
    <mergeCell ref="WPD4:WPD5"/>
    <mergeCell ref="WPE4:WPE5"/>
    <mergeCell ref="WPF4:WPF5"/>
    <mergeCell ref="WOW4:WOW5"/>
    <mergeCell ref="WOX4:WOX5"/>
    <mergeCell ref="WOY4:WOY5"/>
    <mergeCell ref="WOZ4:WOZ5"/>
    <mergeCell ref="WPA4:WPA5"/>
    <mergeCell ref="WOR4:WOR5"/>
    <mergeCell ref="WOS4:WOS5"/>
    <mergeCell ref="WOT4:WOT5"/>
    <mergeCell ref="WOU4:WOU5"/>
    <mergeCell ref="WOV4:WOV5"/>
    <mergeCell ref="WOM4:WOM5"/>
    <mergeCell ref="WON4:WON5"/>
    <mergeCell ref="WOO4:WOO5"/>
    <mergeCell ref="WOP4:WOP5"/>
    <mergeCell ref="WOQ4:WOQ5"/>
    <mergeCell ref="WOH4:WOH5"/>
    <mergeCell ref="WOI4:WOI5"/>
    <mergeCell ref="WOJ4:WOJ5"/>
    <mergeCell ref="WOK4:WOK5"/>
    <mergeCell ref="WOL4:WOL5"/>
    <mergeCell ref="WOC4:WOC5"/>
    <mergeCell ref="WOD4:WOD5"/>
    <mergeCell ref="WOE4:WOE5"/>
    <mergeCell ref="WOF4:WOF5"/>
    <mergeCell ref="WOG4:WOG5"/>
    <mergeCell ref="WNX4:WNX5"/>
    <mergeCell ref="WNY4:WNY5"/>
    <mergeCell ref="WNZ4:WNZ5"/>
    <mergeCell ref="WOA4:WOA5"/>
    <mergeCell ref="WOB4:WOB5"/>
    <mergeCell ref="WQK4:WQK5"/>
    <mergeCell ref="WQL4:WQL5"/>
    <mergeCell ref="WQM4:WQM5"/>
    <mergeCell ref="WQN4:WQN5"/>
    <mergeCell ref="WQO4:WQO5"/>
    <mergeCell ref="WQF4:WQF5"/>
    <mergeCell ref="WQG4:WQG5"/>
    <mergeCell ref="WQH4:WQH5"/>
    <mergeCell ref="WQI4:WQI5"/>
    <mergeCell ref="WQJ4:WQJ5"/>
    <mergeCell ref="WQA4:WQA5"/>
    <mergeCell ref="WQB4:WQB5"/>
    <mergeCell ref="WQC4:WQC5"/>
    <mergeCell ref="WQD4:WQD5"/>
    <mergeCell ref="WQE4:WQE5"/>
    <mergeCell ref="WPV4:WPV5"/>
    <mergeCell ref="WPW4:WPW5"/>
    <mergeCell ref="WPX4:WPX5"/>
    <mergeCell ref="WPY4:WPY5"/>
    <mergeCell ref="WPZ4:WPZ5"/>
    <mergeCell ref="WPQ4:WPQ5"/>
    <mergeCell ref="WPR4:WPR5"/>
    <mergeCell ref="WPS4:WPS5"/>
    <mergeCell ref="WPT4:WPT5"/>
    <mergeCell ref="WPU4:WPU5"/>
    <mergeCell ref="WPL4:WPL5"/>
    <mergeCell ref="WPM4:WPM5"/>
    <mergeCell ref="WPN4:WPN5"/>
    <mergeCell ref="WPO4:WPO5"/>
    <mergeCell ref="WPP4:WPP5"/>
    <mergeCell ref="WPG4:WPG5"/>
    <mergeCell ref="WPH4:WPH5"/>
    <mergeCell ref="WPI4:WPI5"/>
    <mergeCell ref="WPJ4:WPJ5"/>
    <mergeCell ref="WPK4:WPK5"/>
    <mergeCell ref="WRT4:WRT5"/>
    <mergeCell ref="WRU4:WRU5"/>
    <mergeCell ref="WRV4:WRV5"/>
    <mergeCell ref="WRW4:WRW5"/>
    <mergeCell ref="WRX4:WRX5"/>
    <mergeCell ref="WRO4:WRO5"/>
    <mergeCell ref="WRP4:WRP5"/>
    <mergeCell ref="WRQ4:WRQ5"/>
    <mergeCell ref="WRR4:WRR5"/>
    <mergeCell ref="WRS4:WRS5"/>
    <mergeCell ref="WRJ4:WRJ5"/>
    <mergeCell ref="WRK4:WRK5"/>
    <mergeCell ref="WRL4:WRL5"/>
    <mergeCell ref="WRM4:WRM5"/>
    <mergeCell ref="WRN4:WRN5"/>
    <mergeCell ref="WRE4:WRE5"/>
    <mergeCell ref="WRF4:WRF5"/>
    <mergeCell ref="WRG4:WRG5"/>
    <mergeCell ref="WRH4:WRH5"/>
    <mergeCell ref="WRI4:WRI5"/>
    <mergeCell ref="WQZ4:WQZ5"/>
    <mergeCell ref="WRA4:WRA5"/>
    <mergeCell ref="WRB4:WRB5"/>
    <mergeCell ref="WRC4:WRC5"/>
    <mergeCell ref="WRD4:WRD5"/>
    <mergeCell ref="WQU4:WQU5"/>
    <mergeCell ref="WQV4:WQV5"/>
    <mergeCell ref="WQW4:WQW5"/>
    <mergeCell ref="WQX4:WQX5"/>
    <mergeCell ref="WQY4:WQY5"/>
    <mergeCell ref="WQP4:WQP5"/>
    <mergeCell ref="WQQ4:WQQ5"/>
    <mergeCell ref="WQR4:WQR5"/>
    <mergeCell ref="WQS4:WQS5"/>
    <mergeCell ref="WQT4:WQT5"/>
    <mergeCell ref="WTC4:WTC5"/>
    <mergeCell ref="WTD4:WTD5"/>
    <mergeCell ref="WTE4:WTE5"/>
    <mergeCell ref="WTF4:WTF5"/>
    <mergeCell ref="WTG4:WTG5"/>
    <mergeCell ref="WSX4:WSX5"/>
    <mergeCell ref="WSY4:WSY5"/>
    <mergeCell ref="WSZ4:WSZ5"/>
    <mergeCell ref="WTA4:WTA5"/>
    <mergeCell ref="WTB4:WTB5"/>
    <mergeCell ref="WSS4:WSS5"/>
    <mergeCell ref="WST4:WST5"/>
    <mergeCell ref="WSU4:WSU5"/>
    <mergeCell ref="WSV4:WSV5"/>
    <mergeCell ref="WSW4:WSW5"/>
    <mergeCell ref="WSN4:WSN5"/>
    <mergeCell ref="WSO4:WSO5"/>
    <mergeCell ref="WSP4:WSP5"/>
    <mergeCell ref="WSQ4:WSQ5"/>
    <mergeCell ref="WSR4:WSR5"/>
    <mergeCell ref="WSI4:WSI5"/>
    <mergeCell ref="WSJ4:WSJ5"/>
    <mergeCell ref="WSK4:WSK5"/>
    <mergeCell ref="WSL4:WSL5"/>
    <mergeCell ref="WSM4:WSM5"/>
    <mergeCell ref="WSD4:WSD5"/>
    <mergeCell ref="WSE4:WSE5"/>
    <mergeCell ref="WSF4:WSF5"/>
    <mergeCell ref="WSG4:WSG5"/>
    <mergeCell ref="WSH4:WSH5"/>
    <mergeCell ref="WRY4:WRY5"/>
    <mergeCell ref="WRZ4:WRZ5"/>
    <mergeCell ref="WSA4:WSA5"/>
    <mergeCell ref="WSB4:WSB5"/>
    <mergeCell ref="WSC4:WSC5"/>
    <mergeCell ref="WUL4:WUL5"/>
    <mergeCell ref="WUM4:WUM5"/>
    <mergeCell ref="WUN4:WUN5"/>
    <mergeCell ref="WUO4:WUO5"/>
    <mergeCell ref="WUP4:WUP5"/>
    <mergeCell ref="WUG4:WUG5"/>
    <mergeCell ref="WUH4:WUH5"/>
    <mergeCell ref="WUI4:WUI5"/>
    <mergeCell ref="WUJ4:WUJ5"/>
    <mergeCell ref="WUK4:WUK5"/>
    <mergeCell ref="WUB4:WUB5"/>
    <mergeCell ref="WUC4:WUC5"/>
    <mergeCell ref="WUD4:WUD5"/>
    <mergeCell ref="WUE4:WUE5"/>
    <mergeCell ref="WUF4:WUF5"/>
    <mergeCell ref="WTW4:WTW5"/>
    <mergeCell ref="WTX4:WTX5"/>
    <mergeCell ref="WTY4:WTY5"/>
    <mergeCell ref="WTZ4:WTZ5"/>
    <mergeCell ref="WUA4:WUA5"/>
    <mergeCell ref="WTR4:WTR5"/>
    <mergeCell ref="WTS4:WTS5"/>
    <mergeCell ref="WTT4:WTT5"/>
    <mergeCell ref="WTU4:WTU5"/>
    <mergeCell ref="WTV4:WTV5"/>
    <mergeCell ref="WTM4:WTM5"/>
    <mergeCell ref="WTN4:WTN5"/>
    <mergeCell ref="WTO4:WTO5"/>
    <mergeCell ref="WTP4:WTP5"/>
    <mergeCell ref="WTQ4:WTQ5"/>
    <mergeCell ref="WTH4:WTH5"/>
    <mergeCell ref="WTI4:WTI5"/>
    <mergeCell ref="WTJ4:WTJ5"/>
    <mergeCell ref="WTK4:WTK5"/>
    <mergeCell ref="WTL4:WTL5"/>
    <mergeCell ref="WVU4:WVU5"/>
    <mergeCell ref="WVV4:WVV5"/>
    <mergeCell ref="WVW4:WVW5"/>
    <mergeCell ref="WVX4:WVX5"/>
    <mergeCell ref="WVY4:WVY5"/>
    <mergeCell ref="WVP4:WVP5"/>
    <mergeCell ref="WVQ4:WVQ5"/>
    <mergeCell ref="WVR4:WVR5"/>
    <mergeCell ref="WVS4:WVS5"/>
    <mergeCell ref="WVT4:WVT5"/>
    <mergeCell ref="WVK4:WVK5"/>
    <mergeCell ref="WVL4:WVL5"/>
    <mergeCell ref="WVM4:WVM5"/>
    <mergeCell ref="WVN4:WVN5"/>
    <mergeCell ref="WVO4:WVO5"/>
    <mergeCell ref="WVF4:WVF5"/>
    <mergeCell ref="WVG4:WVG5"/>
    <mergeCell ref="WVH4:WVH5"/>
    <mergeCell ref="WVI4:WVI5"/>
    <mergeCell ref="WVJ4:WVJ5"/>
    <mergeCell ref="WVA4:WVA5"/>
    <mergeCell ref="WVB4:WVB5"/>
    <mergeCell ref="WVC4:WVC5"/>
    <mergeCell ref="WVD4:WVD5"/>
    <mergeCell ref="WVE4:WVE5"/>
    <mergeCell ref="WUV4:WUV5"/>
    <mergeCell ref="WUW4:WUW5"/>
    <mergeCell ref="WUX4:WUX5"/>
    <mergeCell ref="WUY4:WUY5"/>
    <mergeCell ref="WUZ4:WUZ5"/>
    <mergeCell ref="WUQ4:WUQ5"/>
    <mergeCell ref="WUR4:WUR5"/>
    <mergeCell ref="WUS4:WUS5"/>
    <mergeCell ref="WUT4:WUT5"/>
    <mergeCell ref="WUU4:WUU5"/>
    <mergeCell ref="WXD4:WXD5"/>
    <mergeCell ref="WXE4:WXE5"/>
    <mergeCell ref="WXF4:WXF5"/>
    <mergeCell ref="WXG4:WXG5"/>
    <mergeCell ref="WXH4:WXH5"/>
    <mergeCell ref="WWY4:WWY5"/>
    <mergeCell ref="WWZ4:WWZ5"/>
    <mergeCell ref="WXA4:WXA5"/>
    <mergeCell ref="WXB4:WXB5"/>
    <mergeCell ref="WXC4:WXC5"/>
    <mergeCell ref="WWT4:WWT5"/>
    <mergeCell ref="WWU4:WWU5"/>
    <mergeCell ref="WWV4:WWV5"/>
    <mergeCell ref="WWW4:WWW5"/>
    <mergeCell ref="WWX4:WWX5"/>
    <mergeCell ref="WWO4:WWO5"/>
    <mergeCell ref="WWP4:WWP5"/>
    <mergeCell ref="WWQ4:WWQ5"/>
    <mergeCell ref="WWR4:WWR5"/>
    <mergeCell ref="WWS4:WWS5"/>
    <mergeCell ref="WWJ4:WWJ5"/>
    <mergeCell ref="WWK4:WWK5"/>
    <mergeCell ref="WWL4:WWL5"/>
    <mergeCell ref="WWM4:WWM5"/>
    <mergeCell ref="WWN4:WWN5"/>
    <mergeCell ref="WWE4:WWE5"/>
    <mergeCell ref="WWF4:WWF5"/>
    <mergeCell ref="WWG4:WWG5"/>
    <mergeCell ref="WWH4:WWH5"/>
    <mergeCell ref="WWI4:WWI5"/>
    <mergeCell ref="WVZ4:WVZ5"/>
    <mergeCell ref="WWA4:WWA5"/>
    <mergeCell ref="WWB4:WWB5"/>
    <mergeCell ref="WWC4:WWC5"/>
    <mergeCell ref="WWD4:WWD5"/>
    <mergeCell ref="WYM4:WYM5"/>
    <mergeCell ref="WYN4:WYN5"/>
    <mergeCell ref="WYO4:WYO5"/>
    <mergeCell ref="WYP4:WYP5"/>
    <mergeCell ref="WYQ4:WYQ5"/>
    <mergeCell ref="WYH4:WYH5"/>
    <mergeCell ref="WYI4:WYI5"/>
    <mergeCell ref="WYJ4:WYJ5"/>
    <mergeCell ref="WYK4:WYK5"/>
    <mergeCell ref="WYL4:WYL5"/>
    <mergeCell ref="WYC4:WYC5"/>
    <mergeCell ref="WYD4:WYD5"/>
    <mergeCell ref="WYE4:WYE5"/>
    <mergeCell ref="WYF4:WYF5"/>
    <mergeCell ref="WYG4:WYG5"/>
    <mergeCell ref="WXX4:WXX5"/>
    <mergeCell ref="WXY4:WXY5"/>
    <mergeCell ref="WXZ4:WXZ5"/>
    <mergeCell ref="WYA4:WYA5"/>
    <mergeCell ref="WYB4:WYB5"/>
    <mergeCell ref="WXS4:WXS5"/>
    <mergeCell ref="WXT4:WXT5"/>
    <mergeCell ref="WXU4:WXU5"/>
    <mergeCell ref="WXV4:WXV5"/>
    <mergeCell ref="WXW4:WXW5"/>
    <mergeCell ref="WXN4:WXN5"/>
    <mergeCell ref="WXO4:WXO5"/>
    <mergeCell ref="WXP4:WXP5"/>
    <mergeCell ref="WXQ4:WXQ5"/>
    <mergeCell ref="WXR4:WXR5"/>
    <mergeCell ref="WXI4:WXI5"/>
    <mergeCell ref="WXJ4:WXJ5"/>
    <mergeCell ref="WXK4:WXK5"/>
    <mergeCell ref="WXL4:WXL5"/>
    <mergeCell ref="WXM4:WXM5"/>
    <mergeCell ref="WZV4:WZV5"/>
    <mergeCell ref="WZW4:WZW5"/>
    <mergeCell ref="WZX4:WZX5"/>
    <mergeCell ref="WZY4:WZY5"/>
    <mergeCell ref="WZZ4:WZZ5"/>
    <mergeCell ref="WZQ4:WZQ5"/>
    <mergeCell ref="WZR4:WZR5"/>
    <mergeCell ref="WZS4:WZS5"/>
    <mergeCell ref="WZT4:WZT5"/>
    <mergeCell ref="WZU4:WZU5"/>
    <mergeCell ref="WZL4:WZL5"/>
    <mergeCell ref="WZM4:WZM5"/>
    <mergeCell ref="WZN4:WZN5"/>
    <mergeCell ref="WZO4:WZO5"/>
    <mergeCell ref="WZP4:WZP5"/>
    <mergeCell ref="WZG4:WZG5"/>
    <mergeCell ref="WZH4:WZH5"/>
    <mergeCell ref="WZI4:WZI5"/>
    <mergeCell ref="WZJ4:WZJ5"/>
    <mergeCell ref="WZK4:WZK5"/>
    <mergeCell ref="WZB4:WZB5"/>
    <mergeCell ref="WZC4:WZC5"/>
    <mergeCell ref="WZD4:WZD5"/>
    <mergeCell ref="WZE4:WZE5"/>
    <mergeCell ref="WZF4:WZF5"/>
    <mergeCell ref="WYW4:WYW5"/>
    <mergeCell ref="WYX4:WYX5"/>
    <mergeCell ref="WYY4:WYY5"/>
    <mergeCell ref="WYZ4:WYZ5"/>
    <mergeCell ref="WZA4:WZA5"/>
    <mergeCell ref="WYR4:WYR5"/>
    <mergeCell ref="WYS4:WYS5"/>
    <mergeCell ref="WYT4:WYT5"/>
    <mergeCell ref="WYU4:WYU5"/>
    <mergeCell ref="WYV4:WYV5"/>
    <mergeCell ref="XBE4:XBE5"/>
    <mergeCell ref="XBF4:XBF5"/>
    <mergeCell ref="XBG4:XBG5"/>
    <mergeCell ref="XBH4:XBH5"/>
    <mergeCell ref="XBI4:XBI5"/>
    <mergeCell ref="XAZ4:XAZ5"/>
    <mergeCell ref="XBA4:XBA5"/>
    <mergeCell ref="XBB4:XBB5"/>
    <mergeCell ref="XBC4:XBC5"/>
    <mergeCell ref="XBD4:XBD5"/>
    <mergeCell ref="XAU4:XAU5"/>
    <mergeCell ref="XAV4:XAV5"/>
    <mergeCell ref="XAW4:XAW5"/>
    <mergeCell ref="XAX4:XAX5"/>
    <mergeCell ref="XAY4:XAY5"/>
    <mergeCell ref="XAP4:XAP5"/>
    <mergeCell ref="XAQ4:XAQ5"/>
    <mergeCell ref="XAR4:XAR5"/>
    <mergeCell ref="XAS4:XAS5"/>
    <mergeCell ref="XAT4:XAT5"/>
    <mergeCell ref="XAK4:XAK5"/>
    <mergeCell ref="XAL4:XAL5"/>
    <mergeCell ref="XAM4:XAM5"/>
    <mergeCell ref="XAN4:XAN5"/>
    <mergeCell ref="XAO4:XAO5"/>
    <mergeCell ref="XAF4:XAF5"/>
    <mergeCell ref="XAG4:XAG5"/>
    <mergeCell ref="XAH4:XAH5"/>
    <mergeCell ref="XAI4:XAI5"/>
    <mergeCell ref="XAJ4:XAJ5"/>
    <mergeCell ref="XAA4:XAA5"/>
    <mergeCell ref="XAB4:XAB5"/>
    <mergeCell ref="XAC4:XAC5"/>
    <mergeCell ref="XAD4:XAD5"/>
    <mergeCell ref="XAE4:XAE5"/>
    <mergeCell ref="XCW4:XCW5"/>
    <mergeCell ref="XCN4:XCN5"/>
    <mergeCell ref="XCO4:XCO5"/>
    <mergeCell ref="XCP4:XCP5"/>
    <mergeCell ref="XCQ4:XCQ5"/>
    <mergeCell ref="XCR4:XCR5"/>
    <mergeCell ref="XCI4:XCI5"/>
    <mergeCell ref="XCJ4:XCJ5"/>
    <mergeCell ref="XCK4:XCK5"/>
    <mergeCell ref="XCL4:XCL5"/>
    <mergeCell ref="XCM4:XCM5"/>
    <mergeCell ref="XCD4:XCD5"/>
    <mergeCell ref="XCE4:XCE5"/>
    <mergeCell ref="XCF4:XCF5"/>
    <mergeCell ref="XCG4:XCG5"/>
    <mergeCell ref="XCH4:XCH5"/>
    <mergeCell ref="XBY4:XBY5"/>
    <mergeCell ref="XBZ4:XBZ5"/>
    <mergeCell ref="XCA4:XCA5"/>
    <mergeCell ref="XCB4:XCB5"/>
    <mergeCell ref="XCC4:XCC5"/>
    <mergeCell ref="XBT4:XBT5"/>
    <mergeCell ref="XBU4:XBU5"/>
    <mergeCell ref="XBV4:XBV5"/>
    <mergeCell ref="XBW4:XBW5"/>
    <mergeCell ref="XBX4:XBX5"/>
    <mergeCell ref="XBO4:XBO5"/>
    <mergeCell ref="XBP4:XBP5"/>
    <mergeCell ref="XBQ4:XBQ5"/>
    <mergeCell ref="XBR4:XBR5"/>
    <mergeCell ref="XBS4:XBS5"/>
    <mergeCell ref="XBJ4:XBJ5"/>
    <mergeCell ref="XBK4:XBK5"/>
    <mergeCell ref="XBL4:XBL5"/>
    <mergeCell ref="XBM4:XBM5"/>
    <mergeCell ref="XBN4:XBN5"/>
    <mergeCell ref="P62:AT62"/>
    <mergeCell ref="XFA4:XFA5"/>
    <mergeCell ref="XFB4:XFB5"/>
    <mergeCell ref="XFC4:XFC5"/>
    <mergeCell ref="XFD4:XFD5"/>
    <mergeCell ref="XEV4:XEV5"/>
    <mergeCell ref="XEW4:XEW5"/>
    <mergeCell ref="XEX4:XEX5"/>
    <mergeCell ref="XEY4:XEY5"/>
    <mergeCell ref="XEZ4:XEZ5"/>
    <mergeCell ref="XEQ4:XEQ5"/>
    <mergeCell ref="XER4:XER5"/>
    <mergeCell ref="XES4:XES5"/>
    <mergeCell ref="XET4:XET5"/>
    <mergeCell ref="XEU4:XEU5"/>
    <mergeCell ref="XEL4:XEL5"/>
    <mergeCell ref="XEM4:XEM5"/>
    <mergeCell ref="XEN4:XEN5"/>
    <mergeCell ref="XEO4:XEO5"/>
    <mergeCell ref="XEP4:XEP5"/>
    <mergeCell ref="XEG4:XEG5"/>
    <mergeCell ref="XEH4:XEH5"/>
    <mergeCell ref="XEI4:XEI5"/>
    <mergeCell ref="XEJ4:XEJ5"/>
    <mergeCell ref="XEK4:XEK5"/>
    <mergeCell ref="XEB4:XEB5"/>
    <mergeCell ref="XEC4:XEC5"/>
    <mergeCell ref="XED4:XED5"/>
    <mergeCell ref="XEE4:XEE5"/>
    <mergeCell ref="XEF4:XEF5"/>
    <mergeCell ref="XDW4:XDW5"/>
    <mergeCell ref="XDX4:XDX5"/>
    <mergeCell ref="XDY4:XDY5"/>
    <mergeCell ref="XDZ4:XDZ5"/>
    <mergeCell ref="XEA4:XEA5"/>
    <mergeCell ref="XDR4:XDR5"/>
    <mergeCell ref="XDS4:XDS5"/>
    <mergeCell ref="XDT4:XDT5"/>
    <mergeCell ref="XDU4:XDU5"/>
    <mergeCell ref="XDV4:XDV5"/>
    <mergeCell ref="XDM4:XDM5"/>
    <mergeCell ref="XDN4:XDN5"/>
    <mergeCell ref="XDO4:XDO5"/>
    <mergeCell ref="XDP4:XDP5"/>
    <mergeCell ref="XDQ4:XDQ5"/>
    <mergeCell ref="XDH4:XDH5"/>
    <mergeCell ref="XDI4:XDI5"/>
    <mergeCell ref="XDJ4:XDJ5"/>
    <mergeCell ref="XDK4:XDK5"/>
    <mergeCell ref="XDL4:XDL5"/>
    <mergeCell ref="XDC4:XDC5"/>
    <mergeCell ref="XDD4:XDD5"/>
    <mergeCell ref="XDE4:XDE5"/>
    <mergeCell ref="XDF4:XDF5"/>
    <mergeCell ref="XDG4:XDG5"/>
    <mergeCell ref="XCX4:XCX5"/>
    <mergeCell ref="XCY4:XCY5"/>
    <mergeCell ref="XCZ4:XCZ5"/>
    <mergeCell ref="XDA4:XDA5"/>
    <mergeCell ref="XDB4:XDB5"/>
    <mergeCell ref="XCS4:XCS5"/>
    <mergeCell ref="XCT4:XCT5"/>
    <mergeCell ref="XCU4:XCU5"/>
    <mergeCell ref="XCV4:XCV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68" orientation="portrait"/>
  <rowBreaks count="1" manualBreakCount="1">
    <brk id="5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120E-FDA5-4E8A-AE9C-6B496EE38B79}">
  <sheetPr>
    <tabColor theme="1" tint="0.249977111117893"/>
    <pageSetUpPr fitToPage="1"/>
  </sheetPr>
  <dimension ref="A1:AU69"/>
  <sheetViews>
    <sheetView topLeftCell="A37" zoomScale="68" workbookViewId="0">
      <selection activeCell="AG28" sqref="AG28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29.140625" bestFit="1" customWidth="1"/>
    <col min="4" max="4" width="4.140625" customWidth="1"/>
    <col min="5" max="42" width="7.140625" bestFit="1" customWidth="1"/>
    <col min="43" max="43" width="7.140625" style="1" bestFit="1" customWidth="1"/>
    <col min="44" max="46" width="7.140625" bestFit="1" customWidth="1"/>
    <col min="47" max="47" width="6.85546875" customWidth="1"/>
  </cols>
  <sheetData>
    <row r="1" spans="1:47" ht="14.45" customHeight="1">
      <c r="C1" s="101" t="s">
        <v>222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7" ht="21" customHeight="1">
      <c r="B4" s="22"/>
      <c r="C4" s="13"/>
      <c r="D4" s="13"/>
      <c r="E4" s="99">
        <v>45912</v>
      </c>
      <c r="F4" s="99">
        <f>E4+7</f>
        <v>45919</v>
      </c>
      <c r="G4" s="99">
        <f t="shared" ref="G4:AT4" si="0">F4+7</f>
        <v>45926</v>
      </c>
      <c r="H4" s="99">
        <f t="shared" si="0"/>
        <v>45933</v>
      </c>
      <c r="I4" s="99">
        <f t="shared" si="0"/>
        <v>45940</v>
      </c>
      <c r="J4" s="99">
        <f t="shared" si="0"/>
        <v>45947</v>
      </c>
      <c r="K4" s="99">
        <f t="shared" si="0"/>
        <v>45954</v>
      </c>
      <c r="L4" s="99">
        <f t="shared" si="0"/>
        <v>45961</v>
      </c>
      <c r="M4" s="99">
        <f t="shared" si="0"/>
        <v>45968</v>
      </c>
      <c r="N4" s="99">
        <f t="shared" si="0"/>
        <v>45975</v>
      </c>
      <c r="O4" s="99">
        <f t="shared" si="0"/>
        <v>45982</v>
      </c>
      <c r="P4" s="99">
        <f t="shared" si="0"/>
        <v>45989</v>
      </c>
      <c r="Q4" s="99">
        <f t="shared" si="0"/>
        <v>45996</v>
      </c>
      <c r="R4" s="99">
        <f t="shared" si="0"/>
        <v>46003</v>
      </c>
      <c r="S4" s="99">
        <f t="shared" si="0"/>
        <v>46010</v>
      </c>
      <c r="T4" s="99">
        <f t="shared" si="0"/>
        <v>46017</v>
      </c>
      <c r="U4" s="99">
        <f t="shared" si="0"/>
        <v>46024</v>
      </c>
      <c r="V4" s="99">
        <f t="shared" si="0"/>
        <v>46031</v>
      </c>
      <c r="W4" s="99">
        <f t="shared" si="0"/>
        <v>46038</v>
      </c>
      <c r="X4" s="99">
        <f t="shared" si="0"/>
        <v>46045</v>
      </c>
      <c r="Y4" s="99">
        <f t="shared" si="0"/>
        <v>46052</v>
      </c>
      <c r="Z4" s="99">
        <f t="shared" si="0"/>
        <v>46059</v>
      </c>
      <c r="AA4" s="99">
        <f t="shared" si="0"/>
        <v>46066</v>
      </c>
      <c r="AB4" s="99">
        <f t="shared" si="0"/>
        <v>46073</v>
      </c>
      <c r="AC4" s="99">
        <f t="shared" si="0"/>
        <v>46080</v>
      </c>
      <c r="AD4" s="99">
        <f t="shared" si="0"/>
        <v>46087</v>
      </c>
      <c r="AE4" s="99">
        <f t="shared" si="0"/>
        <v>46094</v>
      </c>
      <c r="AF4" s="99">
        <f t="shared" si="0"/>
        <v>46101</v>
      </c>
      <c r="AG4" s="99">
        <f t="shared" si="0"/>
        <v>46108</v>
      </c>
      <c r="AH4" s="99">
        <f t="shared" si="0"/>
        <v>46115</v>
      </c>
      <c r="AI4" s="99">
        <f t="shared" si="0"/>
        <v>46122</v>
      </c>
      <c r="AJ4" s="99">
        <f t="shared" si="0"/>
        <v>46129</v>
      </c>
      <c r="AK4" s="99">
        <f t="shared" si="0"/>
        <v>46136</v>
      </c>
      <c r="AL4" s="99">
        <f t="shared" si="0"/>
        <v>46143</v>
      </c>
      <c r="AM4" s="99">
        <f t="shared" si="0"/>
        <v>46150</v>
      </c>
      <c r="AN4" s="99">
        <f t="shared" si="0"/>
        <v>46157</v>
      </c>
      <c r="AO4" s="99">
        <f t="shared" si="0"/>
        <v>46164</v>
      </c>
      <c r="AP4" s="99">
        <f t="shared" si="0"/>
        <v>46171</v>
      </c>
      <c r="AQ4" s="99">
        <f t="shared" si="0"/>
        <v>46178</v>
      </c>
      <c r="AR4" s="99">
        <f t="shared" si="0"/>
        <v>46185</v>
      </c>
      <c r="AS4" s="99">
        <f t="shared" si="0"/>
        <v>46192</v>
      </c>
      <c r="AT4" s="99">
        <f t="shared" si="0"/>
        <v>46199</v>
      </c>
    </row>
    <row r="5" spans="1:47" ht="2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/>
    </row>
    <row r="7" spans="1:47" ht="15" customHeight="1">
      <c r="A7" s="102"/>
      <c r="B7" s="23">
        <v>1</v>
      </c>
      <c r="C7" s="33" t="s">
        <v>223</v>
      </c>
      <c r="D7" s="9" t="s">
        <v>110</v>
      </c>
      <c r="E7" s="47">
        <v>0</v>
      </c>
      <c r="F7" s="47">
        <v>1</v>
      </c>
      <c r="G7" s="47">
        <v>1</v>
      </c>
      <c r="H7" s="47">
        <v>0</v>
      </c>
      <c r="I7" s="47">
        <v>1</v>
      </c>
      <c r="J7" s="47">
        <v>1</v>
      </c>
      <c r="K7" s="49"/>
      <c r="L7" s="49"/>
      <c r="M7" s="47">
        <v>0</v>
      </c>
      <c r="N7" s="47">
        <v>1</v>
      </c>
      <c r="O7" s="47">
        <v>1</v>
      </c>
      <c r="P7" s="47">
        <v>1</v>
      </c>
      <c r="Q7" s="47">
        <v>1</v>
      </c>
      <c r="R7" s="47">
        <v>1</v>
      </c>
      <c r="S7" s="47">
        <v>0</v>
      </c>
      <c r="T7" s="49"/>
      <c r="U7" s="49"/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0</v>
      </c>
      <c r="AC7" s="49"/>
      <c r="AD7" s="49">
        <v>1</v>
      </c>
      <c r="AE7" s="47">
        <v>1</v>
      </c>
      <c r="AF7" s="47">
        <v>1</v>
      </c>
      <c r="AG7" s="47">
        <v>1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 t="shared" ref="AU7:AU61" si="1">SUM(I7:AT7)</f>
        <v>17</v>
      </c>
    </row>
    <row r="8" spans="1:47">
      <c r="A8" s="102"/>
      <c r="B8" s="23">
        <v>2</v>
      </c>
      <c r="C8" s="24" t="s">
        <v>224</v>
      </c>
      <c r="D8" s="9" t="s">
        <v>110</v>
      </c>
      <c r="E8" s="50">
        <v>1</v>
      </c>
      <c r="F8" s="50">
        <v>0</v>
      </c>
      <c r="G8" s="50">
        <v>1</v>
      </c>
      <c r="H8" s="50">
        <v>1</v>
      </c>
      <c r="I8" s="50">
        <v>1</v>
      </c>
      <c r="J8" s="50">
        <v>1</v>
      </c>
      <c r="K8" s="52"/>
      <c r="L8" s="52"/>
      <c r="M8" s="50">
        <v>1</v>
      </c>
      <c r="N8" s="50">
        <v>0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2"/>
      <c r="U8" s="52"/>
      <c r="V8" s="50">
        <v>1</v>
      </c>
      <c r="W8" s="50">
        <v>1</v>
      </c>
      <c r="X8" s="50">
        <v>1</v>
      </c>
      <c r="Y8" s="50">
        <v>1</v>
      </c>
      <c r="Z8" s="50">
        <v>1</v>
      </c>
      <c r="AA8" s="50">
        <v>1</v>
      </c>
      <c r="AB8" s="50">
        <v>1</v>
      </c>
      <c r="AC8" s="52"/>
      <c r="AD8" s="52">
        <v>1</v>
      </c>
      <c r="AE8" s="50">
        <v>1</v>
      </c>
      <c r="AF8" s="50">
        <v>1</v>
      </c>
      <c r="AG8" s="50">
        <v>1</v>
      </c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si="1"/>
        <v>19</v>
      </c>
    </row>
    <row r="9" spans="1:47">
      <c r="A9" s="102"/>
      <c r="B9" s="23">
        <v>3</v>
      </c>
      <c r="C9" s="24" t="s">
        <v>225</v>
      </c>
      <c r="D9" s="9" t="s">
        <v>110</v>
      </c>
      <c r="E9" s="50">
        <v>1</v>
      </c>
      <c r="F9" s="50">
        <v>1</v>
      </c>
      <c r="G9" s="50">
        <v>0</v>
      </c>
      <c r="H9" s="50">
        <v>1</v>
      </c>
      <c r="I9" s="50">
        <v>0</v>
      </c>
      <c r="J9" s="50">
        <v>1</v>
      </c>
      <c r="K9" s="52"/>
      <c r="L9" s="52"/>
      <c r="M9" s="50">
        <v>1</v>
      </c>
      <c r="N9" s="50">
        <v>1</v>
      </c>
      <c r="O9" s="50">
        <v>0</v>
      </c>
      <c r="P9" s="50">
        <v>1</v>
      </c>
      <c r="Q9" s="50">
        <v>1</v>
      </c>
      <c r="R9" s="50">
        <v>1</v>
      </c>
      <c r="S9" s="50">
        <v>1</v>
      </c>
      <c r="T9" s="52"/>
      <c r="U9" s="52"/>
      <c r="V9" s="50">
        <v>1</v>
      </c>
      <c r="W9" s="50">
        <v>1</v>
      </c>
      <c r="X9" s="50">
        <v>1</v>
      </c>
      <c r="Y9" s="50">
        <v>1</v>
      </c>
      <c r="Z9" s="50">
        <v>0</v>
      </c>
      <c r="AA9" s="50">
        <v>1</v>
      </c>
      <c r="AB9" s="50">
        <v>0</v>
      </c>
      <c r="AC9" s="52"/>
      <c r="AD9" s="52">
        <v>0</v>
      </c>
      <c r="AE9" s="50">
        <v>0</v>
      </c>
      <c r="AF9" s="50">
        <v>0</v>
      </c>
      <c r="AG9" s="50">
        <v>0</v>
      </c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12</v>
      </c>
    </row>
    <row r="10" spans="1:47">
      <c r="A10" s="102"/>
      <c r="B10" s="23">
        <v>4</v>
      </c>
      <c r="C10" s="24" t="s">
        <v>226</v>
      </c>
      <c r="D10" s="9" t="s">
        <v>110</v>
      </c>
      <c r="E10" s="87">
        <v>1</v>
      </c>
      <c r="F10" s="50">
        <v>1</v>
      </c>
      <c r="G10" s="50">
        <v>1</v>
      </c>
      <c r="H10" s="50">
        <v>1</v>
      </c>
      <c r="I10" s="50">
        <v>1</v>
      </c>
      <c r="J10" s="50">
        <v>1</v>
      </c>
      <c r="K10" s="52"/>
      <c r="L10" s="52"/>
      <c r="M10" s="50">
        <v>1</v>
      </c>
      <c r="N10" s="50">
        <v>0</v>
      </c>
      <c r="O10" s="50">
        <v>1</v>
      </c>
      <c r="P10" s="50">
        <v>1</v>
      </c>
      <c r="Q10" s="50">
        <v>1</v>
      </c>
      <c r="R10" s="50">
        <v>0</v>
      </c>
      <c r="S10" s="50">
        <v>0</v>
      </c>
      <c r="T10" s="52"/>
      <c r="U10" s="52"/>
      <c r="V10" s="50">
        <v>0</v>
      </c>
      <c r="W10" s="50">
        <v>0</v>
      </c>
      <c r="X10" s="50">
        <v>1</v>
      </c>
      <c r="Y10" s="50">
        <v>1</v>
      </c>
      <c r="Z10" s="50">
        <v>1</v>
      </c>
      <c r="AA10" s="50">
        <v>0</v>
      </c>
      <c r="AB10" s="50">
        <v>1</v>
      </c>
      <c r="AC10" s="52"/>
      <c r="AD10" s="52">
        <v>0</v>
      </c>
      <c r="AE10" s="50">
        <v>1</v>
      </c>
      <c r="AF10" s="50">
        <v>1</v>
      </c>
      <c r="AG10" s="50">
        <v>1</v>
      </c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13</v>
      </c>
    </row>
    <row r="11" spans="1:47">
      <c r="A11" s="102"/>
      <c r="B11" s="23">
        <v>5</v>
      </c>
      <c r="C11" s="24" t="s">
        <v>227</v>
      </c>
      <c r="D11" s="9" t="s">
        <v>110</v>
      </c>
      <c r="E11" s="87">
        <v>1</v>
      </c>
      <c r="F11" s="87">
        <v>1</v>
      </c>
      <c r="G11" s="50">
        <v>1</v>
      </c>
      <c r="H11" s="50">
        <v>1</v>
      </c>
      <c r="I11" s="50">
        <v>1</v>
      </c>
      <c r="J11" s="50">
        <v>1</v>
      </c>
      <c r="K11" s="52"/>
      <c r="L11" s="52"/>
      <c r="M11" s="50">
        <v>0</v>
      </c>
      <c r="N11" s="50">
        <v>1</v>
      </c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2"/>
      <c r="U11" s="52"/>
      <c r="V11" s="50">
        <v>1</v>
      </c>
      <c r="W11" s="50">
        <v>1</v>
      </c>
      <c r="X11" s="50">
        <v>1</v>
      </c>
      <c r="Y11" s="50">
        <v>1</v>
      </c>
      <c r="Z11" s="50">
        <v>1</v>
      </c>
      <c r="AA11" s="50">
        <v>1</v>
      </c>
      <c r="AB11" s="50">
        <v>1</v>
      </c>
      <c r="AC11" s="52"/>
      <c r="AD11" s="52">
        <v>1</v>
      </c>
      <c r="AE11" s="50">
        <v>1</v>
      </c>
      <c r="AF11" s="50">
        <v>1</v>
      </c>
      <c r="AG11" s="50">
        <v>1</v>
      </c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19</v>
      </c>
    </row>
    <row r="12" spans="1:47">
      <c r="A12" s="102"/>
      <c r="B12" s="23">
        <v>6</v>
      </c>
      <c r="C12" s="24" t="s">
        <v>228</v>
      </c>
      <c r="D12" s="9" t="s">
        <v>114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1</v>
      </c>
      <c r="K12" s="52"/>
      <c r="L12" s="52"/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2"/>
      <c r="AD12" s="52">
        <v>1</v>
      </c>
      <c r="AE12" s="50">
        <v>1</v>
      </c>
      <c r="AF12" s="50">
        <v>0</v>
      </c>
      <c r="AG12" s="50">
        <v>1</v>
      </c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19</v>
      </c>
    </row>
    <row r="13" spans="1:47">
      <c r="A13" s="102"/>
      <c r="B13" s="23">
        <v>7</v>
      </c>
      <c r="C13" s="24" t="s">
        <v>229</v>
      </c>
      <c r="D13" s="9" t="s">
        <v>114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J13" s="50">
        <v>1</v>
      </c>
      <c r="K13" s="52"/>
      <c r="L13" s="52"/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1</v>
      </c>
      <c r="S13" s="50">
        <v>0</v>
      </c>
      <c r="T13" s="52"/>
      <c r="U13" s="52"/>
      <c r="V13" s="50">
        <v>0</v>
      </c>
      <c r="W13" s="50">
        <v>1</v>
      </c>
      <c r="X13" s="50">
        <v>0</v>
      </c>
      <c r="Y13" s="50">
        <v>1</v>
      </c>
      <c r="Z13" s="50">
        <v>1</v>
      </c>
      <c r="AA13" s="50">
        <v>0</v>
      </c>
      <c r="AB13" s="50">
        <v>1</v>
      </c>
      <c r="AC13" s="52"/>
      <c r="AD13" s="52">
        <v>0</v>
      </c>
      <c r="AE13" s="50">
        <v>1</v>
      </c>
      <c r="AF13" s="50">
        <v>0</v>
      </c>
      <c r="AG13" s="50">
        <v>1</v>
      </c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14</v>
      </c>
    </row>
    <row r="14" spans="1:47">
      <c r="A14" s="102"/>
      <c r="B14" s="23">
        <v>8</v>
      </c>
      <c r="C14" s="9" t="s">
        <v>230</v>
      </c>
      <c r="D14" s="9" t="s">
        <v>114</v>
      </c>
      <c r="E14" s="50">
        <v>1</v>
      </c>
      <c r="F14" s="50">
        <v>1</v>
      </c>
      <c r="G14" s="50">
        <v>1</v>
      </c>
      <c r="H14" s="50">
        <v>1</v>
      </c>
      <c r="I14" s="50">
        <v>1</v>
      </c>
      <c r="J14" s="50">
        <v>1</v>
      </c>
      <c r="K14" s="52"/>
      <c r="L14" s="52"/>
      <c r="M14" s="50">
        <v>1</v>
      </c>
      <c r="N14" s="50">
        <v>0</v>
      </c>
      <c r="O14" s="50">
        <v>1</v>
      </c>
      <c r="P14" s="50">
        <v>0</v>
      </c>
      <c r="Q14" s="50">
        <v>0</v>
      </c>
      <c r="R14" s="50">
        <v>1</v>
      </c>
      <c r="S14" s="50">
        <v>0</v>
      </c>
      <c r="T14" s="52"/>
      <c r="U14" s="52"/>
      <c r="V14" s="50">
        <v>1</v>
      </c>
      <c r="W14" s="50">
        <v>1</v>
      </c>
      <c r="X14" s="50">
        <v>1</v>
      </c>
      <c r="Y14" s="50">
        <v>1</v>
      </c>
      <c r="Z14" s="50">
        <v>1</v>
      </c>
      <c r="AA14" s="50">
        <v>1</v>
      </c>
      <c r="AB14" s="50">
        <v>1</v>
      </c>
      <c r="AC14" s="52"/>
      <c r="AD14" s="52">
        <v>1</v>
      </c>
      <c r="AE14" s="50">
        <v>1</v>
      </c>
      <c r="AF14" s="50">
        <v>1</v>
      </c>
      <c r="AG14" s="50">
        <v>1</v>
      </c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16</v>
      </c>
    </row>
    <row r="15" spans="1:47">
      <c r="A15" s="102"/>
      <c r="B15" s="23">
        <v>9</v>
      </c>
      <c r="C15" s="24" t="s">
        <v>231</v>
      </c>
      <c r="D15" s="9" t="s">
        <v>114</v>
      </c>
      <c r="E15" s="47">
        <v>1</v>
      </c>
      <c r="F15" s="47">
        <v>1</v>
      </c>
      <c r="G15" s="47">
        <v>0</v>
      </c>
      <c r="H15" s="47">
        <v>1</v>
      </c>
      <c r="I15" s="47">
        <v>1</v>
      </c>
      <c r="J15" s="47">
        <v>0</v>
      </c>
      <c r="K15" s="49"/>
      <c r="L15" s="49"/>
      <c r="M15" s="47">
        <v>1</v>
      </c>
      <c r="N15" s="47">
        <v>1</v>
      </c>
      <c r="O15" s="47">
        <v>1</v>
      </c>
      <c r="P15" s="47">
        <v>1</v>
      </c>
      <c r="Q15" s="47">
        <v>1</v>
      </c>
      <c r="R15" s="47">
        <v>1</v>
      </c>
      <c r="S15" s="47">
        <v>1</v>
      </c>
      <c r="T15" s="49"/>
      <c r="U15" s="49"/>
      <c r="V15" s="47">
        <v>1</v>
      </c>
      <c r="W15" s="47">
        <v>1</v>
      </c>
      <c r="X15" s="47">
        <v>1</v>
      </c>
      <c r="Y15" s="47">
        <v>0</v>
      </c>
      <c r="Z15" s="47">
        <v>1</v>
      </c>
      <c r="AA15" s="47">
        <v>0</v>
      </c>
      <c r="AB15" s="47">
        <v>1</v>
      </c>
      <c r="AC15" s="49"/>
      <c r="AD15" s="49"/>
      <c r="AE15" s="47">
        <v>1</v>
      </c>
      <c r="AF15" s="47">
        <v>1</v>
      </c>
      <c r="AG15" s="47">
        <v>1</v>
      </c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16</v>
      </c>
    </row>
    <row r="16" spans="1:47">
      <c r="A16" s="102"/>
      <c r="B16" s="23">
        <v>10</v>
      </c>
      <c r="C16" s="53" t="s">
        <v>232</v>
      </c>
      <c r="D16" s="11" t="s">
        <v>114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50">
        <v>1</v>
      </c>
      <c r="K16" s="52"/>
      <c r="L16" s="52"/>
      <c r="M16" s="50">
        <v>1</v>
      </c>
      <c r="N16" s="50">
        <v>1</v>
      </c>
      <c r="O16" s="50">
        <v>1</v>
      </c>
      <c r="P16" s="50">
        <v>1</v>
      </c>
      <c r="Q16" s="50">
        <v>1</v>
      </c>
      <c r="R16" s="50">
        <v>0</v>
      </c>
      <c r="S16" s="50">
        <v>0</v>
      </c>
      <c r="T16" s="52"/>
      <c r="U16" s="52"/>
      <c r="V16" s="50">
        <v>1</v>
      </c>
      <c r="W16" s="50">
        <v>1</v>
      </c>
      <c r="X16" s="50">
        <v>0</v>
      </c>
      <c r="Y16" s="50">
        <v>1</v>
      </c>
      <c r="Z16" s="50">
        <v>1</v>
      </c>
      <c r="AA16" s="50">
        <v>1</v>
      </c>
      <c r="AB16" s="50">
        <v>0</v>
      </c>
      <c r="AC16" s="52"/>
      <c r="AD16" s="52"/>
      <c r="AE16" s="50">
        <v>1</v>
      </c>
      <c r="AF16" s="50">
        <v>0</v>
      </c>
      <c r="AG16" s="50">
        <v>0</v>
      </c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12</v>
      </c>
    </row>
    <row r="17" spans="1:47">
      <c r="A17" s="102"/>
      <c r="B17" s="23">
        <v>11</v>
      </c>
      <c r="C17" s="9" t="s">
        <v>233</v>
      </c>
      <c r="D17" s="9" t="s">
        <v>120</v>
      </c>
      <c r="E17" s="50">
        <v>1</v>
      </c>
      <c r="F17" s="50">
        <v>1</v>
      </c>
      <c r="G17" s="50">
        <v>1</v>
      </c>
      <c r="H17" s="50">
        <v>1</v>
      </c>
      <c r="I17" s="50">
        <v>0</v>
      </c>
      <c r="J17" s="50">
        <v>0</v>
      </c>
      <c r="K17" s="52"/>
      <c r="L17" s="52"/>
      <c r="M17" s="50">
        <v>1</v>
      </c>
      <c r="N17" s="50">
        <v>0</v>
      </c>
      <c r="O17" s="50">
        <v>0</v>
      </c>
      <c r="P17" s="50">
        <v>0</v>
      </c>
      <c r="Q17" s="50">
        <v>1</v>
      </c>
      <c r="R17" s="50">
        <v>0</v>
      </c>
      <c r="S17" s="50">
        <v>0</v>
      </c>
      <c r="T17" s="52"/>
      <c r="U17" s="52"/>
      <c r="V17" s="50">
        <v>0</v>
      </c>
      <c r="W17" s="50">
        <v>1</v>
      </c>
      <c r="X17" s="50">
        <v>1</v>
      </c>
      <c r="Y17" s="50">
        <v>0</v>
      </c>
      <c r="Z17" s="50">
        <v>0</v>
      </c>
      <c r="AA17" s="50">
        <v>0</v>
      </c>
      <c r="AB17" s="50">
        <v>1</v>
      </c>
      <c r="AC17" s="52"/>
      <c r="AD17" s="52"/>
      <c r="AE17" s="50">
        <v>1</v>
      </c>
      <c r="AF17" s="50">
        <v>1</v>
      </c>
      <c r="AG17" s="50">
        <v>1</v>
      </c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8</v>
      </c>
    </row>
    <row r="18" spans="1:47">
      <c r="A18" s="102"/>
      <c r="B18" s="23">
        <v>12</v>
      </c>
      <c r="C18" s="9" t="s">
        <v>121</v>
      </c>
      <c r="D18" s="9" t="s">
        <v>120</v>
      </c>
      <c r="E18" s="87">
        <v>0</v>
      </c>
      <c r="F18" s="50">
        <v>1</v>
      </c>
      <c r="G18" s="50">
        <v>1</v>
      </c>
      <c r="H18" s="50">
        <v>0</v>
      </c>
      <c r="I18" s="50">
        <v>1</v>
      </c>
      <c r="J18" s="50">
        <v>1</v>
      </c>
      <c r="K18" s="52"/>
      <c r="L18" s="52"/>
      <c r="M18" s="50">
        <v>1</v>
      </c>
      <c r="N18" s="50">
        <v>1</v>
      </c>
      <c r="O18" s="50">
        <v>1</v>
      </c>
      <c r="P18" s="50">
        <v>1</v>
      </c>
      <c r="Q18" s="50">
        <v>1</v>
      </c>
      <c r="R18" s="50">
        <v>1</v>
      </c>
      <c r="S18" s="50">
        <v>1</v>
      </c>
      <c r="T18" s="52"/>
      <c r="U18" s="52"/>
      <c r="V18" s="50">
        <v>1</v>
      </c>
      <c r="W18" s="50">
        <v>0</v>
      </c>
      <c r="X18" s="50">
        <v>1</v>
      </c>
      <c r="Y18" s="50">
        <v>1</v>
      </c>
      <c r="Z18" s="50">
        <v>1</v>
      </c>
      <c r="AA18" s="50">
        <v>1</v>
      </c>
      <c r="AB18" s="50">
        <v>1</v>
      </c>
      <c r="AC18" s="52"/>
      <c r="AD18" s="52"/>
      <c r="AE18" s="50">
        <v>1</v>
      </c>
      <c r="AF18" s="50">
        <v>1</v>
      </c>
      <c r="AG18" s="50">
        <v>1</v>
      </c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18</v>
      </c>
    </row>
    <row r="19" spans="1:47">
      <c r="A19" s="102"/>
      <c r="B19" s="23">
        <v>13</v>
      </c>
      <c r="C19" s="11" t="s">
        <v>234</v>
      </c>
      <c r="D19" s="11" t="s">
        <v>120</v>
      </c>
      <c r="E19" s="50">
        <v>1</v>
      </c>
      <c r="F19" s="47">
        <v>1</v>
      </c>
      <c r="G19" s="47">
        <v>1</v>
      </c>
      <c r="H19" s="47">
        <v>1</v>
      </c>
      <c r="I19" s="47">
        <v>1</v>
      </c>
      <c r="J19" s="47">
        <v>0</v>
      </c>
      <c r="K19" s="49"/>
      <c r="L19" s="49"/>
      <c r="M19" s="47">
        <v>1</v>
      </c>
      <c r="N19" s="47">
        <v>1</v>
      </c>
      <c r="O19" s="47">
        <v>0</v>
      </c>
      <c r="P19" s="47">
        <v>0</v>
      </c>
      <c r="Q19" s="50">
        <v>1</v>
      </c>
      <c r="R19" s="50">
        <v>0</v>
      </c>
      <c r="S19" s="50">
        <v>0</v>
      </c>
      <c r="T19" s="52"/>
      <c r="U19" s="52"/>
      <c r="V19" s="50">
        <v>1</v>
      </c>
      <c r="W19" s="50">
        <v>1</v>
      </c>
      <c r="X19" s="50">
        <v>0</v>
      </c>
      <c r="Y19" s="50">
        <v>1</v>
      </c>
      <c r="Z19" s="50">
        <v>1</v>
      </c>
      <c r="AA19" s="50">
        <v>1</v>
      </c>
      <c r="AB19" s="50">
        <v>0</v>
      </c>
      <c r="AC19" s="52"/>
      <c r="AD19" s="52"/>
      <c r="AE19" s="50">
        <v>1</v>
      </c>
      <c r="AF19" s="50">
        <v>1</v>
      </c>
      <c r="AG19" s="50">
        <v>0</v>
      </c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11</v>
      </c>
    </row>
    <row r="20" spans="1:47">
      <c r="A20" s="102"/>
      <c r="B20" s="23">
        <v>14</v>
      </c>
      <c r="C20" s="53" t="s">
        <v>235</v>
      </c>
      <c r="D20" s="11" t="s">
        <v>120</v>
      </c>
      <c r="E20" s="47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2"/>
      <c r="L20" s="52"/>
      <c r="M20" s="50">
        <v>1</v>
      </c>
      <c r="N20" s="50">
        <v>1</v>
      </c>
      <c r="O20" s="50">
        <v>1</v>
      </c>
      <c r="P20" s="50">
        <v>1</v>
      </c>
      <c r="Q20" s="50">
        <v>1</v>
      </c>
      <c r="R20" s="50">
        <v>1</v>
      </c>
      <c r="S20" s="50">
        <v>1</v>
      </c>
      <c r="T20" s="52"/>
      <c r="U20" s="52"/>
      <c r="V20" s="50">
        <v>1</v>
      </c>
      <c r="W20" s="50">
        <v>1</v>
      </c>
      <c r="X20" s="50" t="s">
        <v>162</v>
      </c>
      <c r="Y20" s="50">
        <v>1</v>
      </c>
      <c r="Z20" s="50">
        <v>1</v>
      </c>
      <c r="AA20" s="50">
        <v>1</v>
      </c>
      <c r="AB20" s="50">
        <v>0</v>
      </c>
      <c r="AC20" s="52"/>
      <c r="AD20" s="52"/>
      <c r="AE20" s="50">
        <v>1</v>
      </c>
      <c r="AF20" s="50">
        <v>1</v>
      </c>
      <c r="AG20" s="50">
        <v>0</v>
      </c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14</v>
      </c>
    </row>
    <row r="21" spans="1:47">
      <c r="A21" s="102"/>
      <c r="B21" s="23">
        <v>15</v>
      </c>
      <c r="C21" s="24" t="s">
        <v>236</v>
      </c>
      <c r="D21" s="9" t="s">
        <v>114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/>
      <c r="L21" s="87"/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52"/>
      <c r="U21" s="52"/>
      <c r="V21" s="50">
        <v>1</v>
      </c>
      <c r="W21" s="50">
        <v>1</v>
      </c>
      <c r="X21" s="50">
        <v>1</v>
      </c>
      <c r="Y21" s="50">
        <v>1</v>
      </c>
      <c r="Z21" s="50">
        <v>1</v>
      </c>
      <c r="AA21" s="50">
        <v>1</v>
      </c>
      <c r="AB21" s="50">
        <v>0</v>
      </c>
      <c r="AC21" s="52"/>
      <c r="AD21" s="52"/>
      <c r="AE21" s="50">
        <v>1</v>
      </c>
      <c r="AF21" s="50">
        <v>1</v>
      </c>
      <c r="AG21" s="50">
        <v>1</v>
      </c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9</v>
      </c>
    </row>
    <row r="22" spans="1:47">
      <c r="A22" s="102"/>
      <c r="B22" s="23">
        <v>16</v>
      </c>
      <c r="C22" s="24" t="s">
        <v>237</v>
      </c>
      <c r="D22" s="9" t="s">
        <v>110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/>
      <c r="L22" s="87"/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/>
      <c r="U22" s="87"/>
      <c r="V22" s="87">
        <v>0</v>
      </c>
      <c r="W22" s="87">
        <v>0</v>
      </c>
      <c r="X22" s="50">
        <v>1</v>
      </c>
      <c r="Y22" s="50">
        <v>1</v>
      </c>
      <c r="Z22" s="50">
        <v>1</v>
      </c>
      <c r="AA22" s="50">
        <v>1</v>
      </c>
      <c r="AB22" s="50">
        <v>0</v>
      </c>
      <c r="AC22" s="52"/>
      <c r="AD22" s="52"/>
      <c r="AE22" s="50">
        <v>0</v>
      </c>
      <c r="AF22" s="50">
        <v>0</v>
      </c>
      <c r="AG22" s="50">
        <v>1</v>
      </c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5</v>
      </c>
    </row>
    <row r="23" spans="1:47" ht="19.5">
      <c r="A23" s="3"/>
      <c r="B23" s="68">
        <v>16</v>
      </c>
      <c r="C23" s="12" t="s">
        <v>48</v>
      </c>
      <c r="D23" s="7"/>
      <c r="E23" s="8">
        <f>COUNTIF(E7:E22,"1")</f>
        <v>11</v>
      </c>
      <c r="F23" s="8">
        <f t="shared" ref="F23:AT23" si="2">COUNTIF(F7:F22,"1")</f>
        <v>11</v>
      </c>
      <c r="G23" s="8">
        <f t="shared" si="2"/>
        <v>10</v>
      </c>
      <c r="H23" s="8">
        <f t="shared" si="2"/>
        <v>10</v>
      </c>
      <c r="I23" s="8">
        <f t="shared" si="2"/>
        <v>10</v>
      </c>
      <c r="J23" s="8">
        <f t="shared" si="2"/>
        <v>10</v>
      </c>
      <c r="K23" s="8">
        <f t="shared" si="2"/>
        <v>0</v>
      </c>
      <c r="L23" s="8">
        <f t="shared" si="2"/>
        <v>0</v>
      </c>
      <c r="M23" s="8">
        <f t="shared" si="2"/>
        <v>12</v>
      </c>
      <c r="N23" s="8">
        <f t="shared" si="2"/>
        <v>10</v>
      </c>
      <c r="O23" s="8">
        <f t="shared" si="2"/>
        <v>11</v>
      </c>
      <c r="P23" s="8">
        <f t="shared" si="2"/>
        <v>11</v>
      </c>
      <c r="Q23" s="8">
        <f t="shared" si="2"/>
        <v>13</v>
      </c>
      <c r="R23" s="8">
        <f t="shared" si="2"/>
        <v>10</v>
      </c>
      <c r="S23" s="8">
        <f t="shared" si="2"/>
        <v>7</v>
      </c>
      <c r="T23" s="8">
        <f t="shared" si="2"/>
        <v>0</v>
      </c>
      <c r="U23" s="8">
        <f t="shared" si="2"/>
        <v>0</v>
      </c>
      <c r="V23" s="8">
        <f t="shared" si="2"/>
        <v>12</v>
      </c>
      <c r="W23" s="8">
        <f t="shared" si="2"/>
        <v>13</v>
      </c>
      <c r="X23" s="8">
        <f t="shared" si="2"/>
        <v>12</v>
      </c>
      <c r="Y23" s="8">
        <f t="shared" si="2"/>
        <v>14</v>
      </c>
      <c r="Z23" s="8">
        <f t="shared" si="2"/>
        <v>14</v>
      </c>
      <c r="AA23" s="8">
        <f t="shared" si="2"/>
        <v>12</v>
      </c>
      <c r="AB23" s="8">
        <f t="shared" si="2"/>
        <v>9</v>
      </c>
      <c r="AC23" s="8">
        <f t="shared" si="2"/>
        <v>0</v>
      </c>
      <c r="AD23" s="8">
        <f t="shared" si="2"/>
        <v>5</v>
      </c>
      <c r="AE23" s="8">
        <f t="shared" si="2"/>
        <v>14</v>
      </c>
      <c r="AF23" s="8">
        <f t="shared" si="2"/>
        <v>11</v>
      </c>
      <c r="AG23" s="8">
        <f t="shared" si="2"/>
        <v>12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222</v>
      </c>
    </row>
    <row r="24" spans="1:47">
      <c r="B24" s="3"/>
      <c r="E24" s="99">
        <v>45912</v>
      </c>
      <c r="F24" s="99">
        <f>E24+7</f>
        <v>45919</v>
      </c>
      <c r="G24" s="99">
        <f t="shared" ref="G24:AT24" si="3">F24+7</f>
        <v>45926</v>
      </c>
      <c r="H24" s="99">
        <f t="shared" si="3"/>
        <v>45933</v>
      </c>
      <c r="I24" s="99">
        <f t="shared" si="3"/>
        <v>45940</v>
      </c>
      <c r="J24" s="99">
        <f t="shared" si="3"/>
        <v>45947</v>
      </c>
      <c r="K24" s="99">
        <f t="shared" si="3"/>
        <v>45954</v>
      </c>
      <c r="L24" s="99">
        <f t="shared" si="3"/>
        <v>45961</v>
      </c>
      <c r="M24" s="99">
        <f t="shared" si="3"/>
        <v>45968</v>
      </c>
      <c r="N24" s="99">
        <f t="shared" si="3"/>
        <v>45975</v>
      </c>
      <c r="O24" s="99">
        <f t="shared" si="3"/>
        <v>45982</v>
      </c>
      <c r="P24" s="99">
        <f t="shared" si="3"/>
        <v>45989</v>
      </c>
      <c r="Q24" s="99">
        <f t="shared" si="3"/>
        <v>45996</v>
      </c>
      <c r="R24" s="99">
        <f t="shared" si="3"/>
        <v>46003</v>
      </c>
      <c r="S24" s="99">
        <f t="shared" si="3"/>
        <v>46010</v>
      </c>
      <c r="T24" s="99">
        <f t="shared" si="3"/>
        <v>46017</v>
      </c>
      <c r="U24" s="99">
        <f t="shared" si="3"/>
        <v>46024</v>
      </c>
      <c r="V24" s="99">
        <f t="shared" si="3"/>
        <v>46031</v>
      </c>
      <c r="W24" s="99">
        <f t="shared" si="3"/>
        <v>46038</v>
      </c>
      <c r="X24" s="99">
        <f t="shared" si="3"/>
        <v>46045</v>
      </c>
      <c r="Y24" s="99">
        <f t="shared" si="3"/>
        <v>46052</v>
      </c>
      <c r="Z24" s="99">
        <f t="shared" si="3"/>
        <v>46059</v>
      </c>
      <c r="AA24" s="99">
        <f t="shared" si="3"/>
        <v>46066</v>
      </c>
      <c r="AB24" s="99">
        <f t="shared" si="3"/>
        <v>46073</v>
      </c>
      <c r="AC24" s="99">
        <f t="shared" si="3"/>
        <v>46080</v>
      </c>
      <c r="AD24" s="99">
        <f t="shared" si="3"/>
        <v>46087</v>
      </c>
      <c r="AE24" s="99">
        <f t="shared" si="3"/>
        <v>46094</v>
      </c>
      <c r="AF24" s="99">
        <f t="shared" si="3"/>
        <v>46101</v>
      </c>
      <c r="AG24" s="99">
        <f t="shared" si="3"/>
        <v>46108</v>
      </c>
      <c r="AH24" s="99">
        <f t="shared" si="3"/>
        <v>46115</v>
      </c>
      <c r="AI24" s="99">
        <f t="shared" si="3"/>
        <v>46122</v>
      </c>
      <c r="AJ24" s="99">
        <f t="shared" si="3"/>
        <v>46129</v>
      </c>
      <c r="AK24" s="99">
        <f t="shared" si="3"/>
        <v>46136</v>
      </c>
      <c r="AL24" s="99">
        <f t="shared" si="3"/>
        <v>46143</v>
      </c>
      <c r="AM24" s="99">
        <f t="shared" si="3"/>
        <v>46150</v>
      </c>
      <c r="AN24" s="99">
        <f t="shared" si="3"/>
        <v>46157</v>
      </c>
      <c r="AO24" s="99">
        <f t="shared" si="3"/>
        <v>46164</v>
      </c>
      <c r="AP24" s="99">
        <f t="shared" si="3"/>
        <v>46171</v>
      </c>
      <c r="AQ24" s="99">
        <f t="shared" si="3"/>
        <v>46178</v>
      </c>
      <c r="AR24" s="99">
        <f t="shared" si="3"/>
        <v>46185</v>
      </c>
      <c r="AS24" s="99">
        <f t="shared" si="3"/>
        <v>46192</v>
      </c>
      <c r="AT24" s="99">
        <f t="shared" si="3"/>
        <v>46199</v>
      </c>
      <c r="AU24" s="1"/>
    </row>
    <row r="25" spans="1:47">
      <c r="B25" s="3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1"/>
    </row>
    <row r="26" spans="1:47">
      <c r="B26" s="3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/>
    </row>
    <row r="27" spans="1:47" ht="18" customHeight="1">
      <c r="A27" s="102" t="s">
        <v>105</v>
      </c>
      <c r="B27" s="23">
        <v>1</v>
      </c>
      <c r="C27" s="53" t="s">
        <v>238</v>
      </c>
      <c r="D27" s="11" t="s">
        <v>120</v>
      </c>
      <c r="E27" s="50">
        <v>1</v>
      </c>
      <c r="F27" s="50">
        <v>1</v>
      </c>
      <c r="G27" s="50">
        <v>1</v>
      </c>
      <c r="H27" s="50">
        <v>1</v>
      </c>
      <c r="I27" s="50">
        <v>1</v>
      </c>
      <c r="J27" s="50">
        <v>1</v>
      </c>
      <c r="K27" s="52"/>
      <c r="L27" s="52"/>
      <c r="M27" s="50">
        <v>1</v>
      </c>
      <c r="N27" s="50">
        <v>1</v>
      </c>
      <c r="O27" s="50">
        <v>1</v>
      </c>
      <c r="P27" s="47">
        <v>1</v>
      </c>
      <c r="Q27" s="47">
        <v>1</v>
      </c>
      <c r="R27" s="47">
        <v>1</v>
      </c>
      <c r="S27" s="47">
        <v>1</v>
      </c>
      <c r="T27" s="49"/>
      <c r="U27" s="49"/>
      <c r="V27" s="47">
        <v>1</v>
      </c>
      <c r="W27" s="47">
        <v>1</v>
      </c>
      <c r="X27" s="47">
        <v>0</v>
      </c>
      <c r="Y27" s="47"/>
      <c r="Z27" s="47">
        <v>1</v>
      </c>
      <c r="AA27" s="47">
        <v>1</v>
      </c>
      <c r="AB27" s="47">
        <v>1</v>
      </c>
      <c r="AC27" s="49"/>
      <c r="AD27" s="49"/>
      <c r="AE27" s="47">
        <v>1</v>
      </c>
      <c r="AF27" s="47">
        <v>1</v>
      </c>
      <c r="AG27" s="47">
        <v>1</v>
      </c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si="1"/>
        <v>17</v>
      </c>
    </row>
    <row r="28" spans="1:47">
      <c r="A28" s="102"/>
      <c r="B28" s="23">
        <v>2</v>
      </c>
      <c r="C28" s="11" t="s">
        <v>239</v>
      </c>
      <c r="D28" s="11" t="s">
        <v>120</v>
      </c>
      <c r="E28" s="87">
        <v>0</v>
      </c>
      <c r="F28" s="50">
        <v>1</v>
      </c>
      <c r="G28" s="50">
        <v>1</v>
      </c>
      <c r="H28" s="50">
        <v>1</v>
      </c>
      <c r="I28" s="50">
        <v>1</v>
      </c>
      <c r="J28" s="50">
        <v>0</v>
      </c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50">
        <v>1</v>
      </c>
      <c r="R28" s="50">
        <v>0</v>
      </c>
      <c r="S28" s="50">
        <v>1</v>
      </c>
      <c r="T28" s="52"/>
      <c r="U28" s="52"/>
      <c r="V28" s="50">
        <v>1</v>
      </c>
      <c r="W28" s="50">
        <v>1</v>
      </c>
      <c r="X28" s="50">
        <v>1</v>
      </c>
      <c r="Y28" s="50">
        <v>1</v>
      </c>
      <c r="Z28" s="50">
        <v>1</v>
      </c>
      <c r="AA28" s="50">
        <v>1</v>
      </c>
      <c r="AB28" s="50">
        <v>1</v>
      </c>
      <c r="AC28" s="52"/>
      <c r="AD28" s="52"/>
      <c r="AE28" s="50">
        <v>1</v>
      </c>
      <c r="AF28" s="50">
        <v>1</v>
      </c>
      <c r="AG28" s="50">
        <v>1</v>
      </c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1"/>
        <v>17</v>
      </c>
    </row>
    <row r="29" spans="1:47">
      <c r="A29" s="102"/>
      <c r="B29" s="23">
        <v>3</v>
      </c>
      <c r="C29" s="11" t="s">
        <v>240</v>
      </c>
      <c r="D29" s="11" t="s">
        <v>123</v>
      </c>
      <c r="E29" s="50">
        <v>1</v>
      </c>
      <c r="F29" s="50">
        <v>1</v>
      </c>
      <c r="G29" s="50">
        <v>1</v>
      </c>
      <c r="H29" s="50">
        <v>1</v>
      </c>
      <c r="I29" s="50">
        <v>1</v>
      </c>
      <c r="J29" s="50">
        <v>1</v>
      </c>
      <c r="K29" s="52"/>
      <c r="L29" s="52"/>
      <c r="M29" s="50">
        <v>1</v>
      </c>
      <c r="N29" s="50">
        <v>1</v>
      </c>
      <c r="O29" s="50">
        <v>1</v>
      </c>
      <c r="P29" s="50">
        <v>1</v>
      </c>
      <c r="Q29" s="50">
        <v>1</v>
      </c>
      <c r="R29" s="50">
        <v>1</v>
      </c>
      <c r="S29" s="50">
        <v>1</v>
      </c>
      <c r="T29" s="52"/>
      <c r="U29" s="52"/>
      <c r="V29" s="50">
        <v>1</v>
      </c>
      <c r="W29" s="50">
        <v>1</v>
      </c>
      <c r="X29" s="50">
        <v>1</v>
      </c>
      <c r="Y29" s="50">
        <v>1</v>
      </c>
      <c r="Z29" s="50">
        <v>1</v>
      </c>
      <c r="AA29" s="50">
        <v>1</v>
      </c>
      <c r="AB29" s="50">
        <v>1</v>
      </c>
      <c r="AC29" s="52"/>
      <c r="AD29" s="52"/>
      <c r="AE29" s="50">
        <v>1</v>
      </c>
      <c r="AF29" s="50">
        <v>1</v>
      </c>
      <c r="AG29" s="50">
        <v>1</v>
      </c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1"/>
        <v>19</v>
      </c>
    </row>
    <row r="30" spans="1:47">
      <c r="A30" s="102"/>
      <c r="B30" s="23">
        <v>4</v>
      </c>
      <c r="C30" s="11" t="s">
        <v>241</v>
      </c>
      <c r="D30" s="11" t="s">
        <v>123</v>
      </c>
      <c r="E30" s="87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2"/>
      <c r="L30" s="52"/>
      <c r="M30" s="50">
        <v>0</v>
      </c>
      <c r="N30" s="50">
        <v>1</v>
      </c>
      <c r="O30" s="50">
        <v>1</v>
      </c>
      <c r="P30" s="50">
        <v>0</v>
      </c>
      <c r="Q30" s="50">
        <v>0</v>
      </c>
      <c r="R30" s="50">
        <v>1</v>
      </c>
      <c r="S30" s="50">
        <v>1</v>
      </c>
      <c r="T30" s="52"/>
      <c r="U30" s="52"/>
      <c r="V30" s="50">
        <v>1</v>
      </c>
      <c r="W30" s="50">
        <v>1</v>
      </c>
      <c r="X30" s="50">
        <v>0</v>
      </c>
      <c r="Y30" s="50">
        <v>1</v>
      </c>
      <c r="Z30" s="50">
        <v>1</v>
      </c>
      <c r="AA30" s="50">
        <v>1</v>
      </c>
      <c r="AB30" s="50">
        <v>1</v>
      </c>
      <c r="AC30" s="52"/>
      <c r="AD30" s="52"/>
      <c r="AE30" s="50">
        <v>1</v>
      </c>
      <c r="AF30" s="50">
        <v>1</v>
      </c>
      <c r="AG30" s="50">
        <v>1</v>
      </c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1"/>
        <v>15</v>
      </c>
    </row>
    <row r="31" spans="1:47">
      <c r="A31" s="102"/>
      <c r="B31" s="23">
        <v>5</v>
      </c>
      <c r="C31" s="11" t="s">
        <v>242</v>
      </c>
      <c r="D31" s="11" t="s">
        <v>123</v>
      </c>
      <c r="E31" s="50">
        <v>1</v>
      </c>
      <c r="F31" s="50">
        <v>1</v>
      </c>
      <c r="G31" s="50">
        <v>1</v>
      </c>
      <c r="H31" s="50">
        <v>1</v>
      </c>
      <c r="I31" s="50">
        <v>1</v>
      </c>
      <c r="J31" s="50">
        <v>1</v>
      </c>
      <c r="K31" s="52"/>
      <c r="L31" s="52"/>
      <c r="M31" s="50">
        <v>0</v>
      </c>
      <c r="N31" s="50">
        <v>1</v>
      </c>
      <c r="O31" s="50">
        <v>1</v>
      </c>
      <c r="P31" s="50">
        <v>1</v>
      </c>
      <c r="Q31" s="50">
        <v>1</v>
      </c>
      <c r="R31" s="50">
        <v>1</v>
      </c>
      <c r="S31" s="50">
        <v>1</v>
      </c>
      <c r="T31" s="52"/>
      <c r="U31" s="52"/>
      <c r="V31" s="50">
        <v>1</v>
      </c>
      <c r="W31" s="50">
        <v>1</v>
      </c>
      <c r="X31" s="50">
        <v>1</v>
      </c>
      <c r="Y31" s="50">
        <v>1</v>
      </c>
      <c r="Z31" s="50">
        <v>1</v>
      </c>
      <c r="AA31" s="50">
        <v>1</v>
      </c>
      <c r="AB31" s="50">
        <v>1</v>
      </c>
      <c r="AC31" s="52"/>
      <c r="AD31" s="52"/>
      <c r="AE31" s="50">
        <v>1</v>
      </c>
      <c r="AF31" s="50">
        <v>1</v>
      </c>
      <c r="AG31" s="50">
        <v>1</v>
      </c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1"/>
        <v>18</v>
      </c>
    </row>
    <row r="32" spans="1:47">
      <c r="A32" s="102"/>
      <c r="B32" s="23">
        <v>6</v>
      </c>
      <c r="C32" s="24" t="s">
        <v>243</v>
      </c>
      <c r="D32" s="9" t="s">
        <v>123</v>
      </c>
      <c r="E32" s="50">
        <v>1</v>
      </c>
      <c r="F32" s="50">
        <v>1</v>
      </c>
      <c r="G32" s="50">
        <v>1</v>
      </c>
      <c r="H32" s="50">
        <v>1</v>
      </c>
      <c r="I32" s="50">
        <v>1</v>
      </c>
      <c r="J32" s="50">
        <v>1</v>
      </c>
      <c r="K32" s="52"/>
      <c r="L32" s="52"/>
      <c r="M32" s="50">
        <v>1</v>
      </c>
      <c r="N32" s="50">
        <v>1</v>
      </c>
      <c r="O32" s="50">
        <v>1</v>
      </c>
      <c r="P32" s="50">
        <v>1</v>
      </c>
      <c r="Q32" s="50">
        <v>1</v>
      </c>
      <c r="R32" s="50">
        <v>1</v>
      </c>
      <c r="S32" s="50">
        <v>1</v>
      </c>
      <c r="T32" s="52"/>
      <c r="U32" s="52"/>
      <c r="V32" s="50">
        <v>0</v>
      </c>
      <c r="W32" s="50">
        <v>1</v>
      </c>
      <c r="X32" s="50">
        <v>1</v>
      </c>
      <c r="Y32" s="50"/>
      <c r="Z32" s="50">
        <v>1</v>
      </c>
      <c r="AA32" s="50">
        <v>0</v>
      </c>
      <c r="AB32" s="50">
        <v>1</v>
      </c>
      <c r="AC32" s="52"/>
      <c r="AD32" s="52"/>
      <c r="AE32" s="50">
        <v>1</v>
      </c>
      <c r="AF32" s="50">
        <v>1</v>
      </c>
      <c r="AG32" s="50">
        <v>1</v>
      </c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1"/>
        <v>16</v>
      </c>
    </row>
    <row r="33" spans="1:47">
      <c r="A33" s="102"/>
      <c r="B33" s="23">
        <v>7</v>
      </c>
      <c r="C33" s="9" t="s">
        <v>244</v>
      </c>
      <c r="D33" s="9" t="s">
        <v>88</v>
      </c>
      <c r="E33" s="87">
        <v>0</v>
      </c>
      <c r="F33" s="87">
        <v>0</v>
      </c>
      <c r="G33" s="89">
        <v>0</v>
      </c>
      <c r="H33" s="89">
        <v>0</v>
      </c>
      <c r="I33" s="89">
        <v>0</v>
      </c>
      <c r="J33" s="89">
        <v>0</v>
      </c>
      <c r="K33" s="49"/>
      <c r="L33" s="49"/>
      <c r="M33" s="47">
        <v>1</v>
      </c>
      <c r="N33" s="47">
        <v>1</v>
      </c>
      <c r="O33" s="47">
        <v>1</v>
      </c>
      <c r="P33" s="50">
        <v>1</v>
      </c>
      <c r="Q33" s="50">
        <v>1</v>
      </c>
      <c r="R33" s="50">
        <v>1</v>
      </c>
      <c r="S33" s="50">
        <v>1</v>
      </c>
      <c r="T33" s="52"/>
      <c r="U33" s="52"/>
      <c r="V33" s="50">
        <v>1</v>
      </c>
      <c r="W33" s="50">
        <v>0</v>
      </c>
      <c r="X33" s="50">
        <v>1</v>
      </c>
      <c r="Y33" s="50">
        <v>1</v>
      </c>
      <c r="Z33" s="50">
        <v>1</v>
      </c>
      <c r="AA33" s="50">
        <v>0</v>
      </c>
      <c r="AB33" s="50">
        <v>1</v>
      </c>
      <c r="AC33" s="52"/>
      <c r="AD33" s="52"/>
      <c r="AE33" s="50">
        <v>0</v>
      </c>
      <c r="AF33" s="50">
        <v>0</v>
      </c>
      <c r="AG33" s="50">
        <v>1</v>
      </c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1"/>
        <v>13</v>
      </c>
    </row>
    <row r="34" spans="1:47">
      <c r="A34" s="102"/>
      <c r="B34" s="23">
        <v>8</v>
      </c>
      <c r="C34" s="9" t="s">
        <v>245</v>
      </c>
      <c r="D34" s="9" t="s">
        <v>88</v>
      </c>
      <c r="E34" s="50">
        <v>1</v>
      </c>
      <c r="F34" s="47">
        <v>1</v>
      </c>
      <c r="G34" s="50">
        <v>1</v>
      </c>
      <c r="H34" s="50">
        <v>1</v>
      </c>
      <c r="I34" s="50">
        <v>1</v>
      </c>
      <c r="J34" s="50">
        <v>1</v>
      </c>
      <c r="K34" s="52"/>
      <c r="L34" s="52"/>
      <c r="M34" s="50">
        <v>1</v>
      </c>
      <c r="N34" s="50">
        <v>1</v>
      </c>
      <c r="O34" s="50">
        <v>1</v>
      </c>
      <c r="P34" s="50">
        <v>1</v>
      </c>
      <c r="Q34" s="50">
        <v>1</v>
      </c>
      <c r="R34" s="50">
        <v>1</v>
      </c>
      <c r="S34" s="50">
        <v>1</v>
      </c>
      <c r="T34" s="52"/>
      <c r="U34" s="52"/>
      <c r="V34" s="50">
        <v>1</v>
      </c>
      <c r="W34" s="50">
        <v>1</v>
      </c>
      <c r="X34" s="50">
        <v>1</v>
      </c>
      <c r="Y34" s="50">
        <v>1</v>
      </c>
      <c r="Z34" s="50">
        <v>1</v>
      </c>
      <c r="AA34" s="50">
        <v>1</v>
      </c>
      <c r="AB34" s="50">
        <v>1</v>
      </c>
      <c r="AC34" s="52"/>
      <c r="AD34" s="52"/>
      <c r="AE34" s="50">
        <v>1</v>
      </c>
      <c r="AF34" s="50">
        <v>1</v>
      </c>
      <c r="AG34" s="50">
        <v>1</v>
      </c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1"/>
        <v>19</v>
      </c>
    </row>
    <row r="35" spans="1:47">
      <c r="B35" s="23">
        <v>9</v>
      </c>
      <c r="C35" s="11" t="s">
        <v>246</v>
      </c>
      <c r="D35" s="11" t="s">
        <v>88</v>
      </c>
      <c r="E35" s="47">
        <v>1</v>
      </c>
      <c r="F35" s="50">
        <v>1</v>
      </c>
      <c r="G35" s="50">
        <v>1</v>
      </c>
      <c r="H35" s="50">
        <v>1</v>
      </c>
      <c r="I35" s="50">
        <v>0</v>
      </c>
      <c r="J35" s="50">
        <v>1</v>
      </c>
      <c r="K35" s="52"/>
      <c r="L35" s="52"/>
      <c r="M35" s="50">
        <v>1</v>
      </c>
      <c r="N35" s="50">
        <v>1</v>
      </c>
      <c r="O35" s="50">
        <v>0</v>
      </c>
      <c r="P35" s="47">
        <v>0</v>
      </c>
      <c r="Q35" s="47">
        <v>1</v>
      </c>
      <c r="R35" s="47">
        <v>0</v>
      </c>
      <c r="S35" s="47">
        <v>0</v>
      </c>
      <c r="T35" s="49"/>
      <c r="U35" s="49"/>
      <c r="V35" s="47">
        <v>0</v>
      </c>
      <c r="W35" s="47">
        <v>1</v>
      </c>
      <c r="X35" s="47">
        <v>1</v>
      </c>
      <c r="Y35" s="47"/>
      <c r="Z35" s="47">
        <v>1</v>
      </c>
      <c r="AA35" s="47">
        <v>1</v>
      </c>
      <c r="AB35" s="47">
        <v>1</v>
      </c>
      <c r="AC35" s="49"/>
      <c r="AD35" s="49"/>
      <c r="AE35" s="47">
        <v>1</v>
      </c>
      <c r="AF35" s="47">
        <v>0</v>
      </c>
      <c r="AG35" s="47">
        <v>1</v>
      </c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1"/>
        <v>11</v>
      </c>
    </row>
    <row r="36" spans="1:47">
      <c r="B36" s="23">
        <v>10</v>
      </c>
      <c r="C36" s="11" t="s">
        <v>247</v>
      </c>
      <c r="D36" s="11" t="s">
        <v>88</v>
      </c>
      <c r="E36" s="50">
        <v>1</v>
      </c>
      <c r="F36" s="50">
        <v>1</v>
      </c>
      <c r="G36" s="50">
        <v>1</v>
      </c>
      <c r="H36" s="50">
        <v>1</v>
      </c>
      <c r="I36" s="50">
        <v>1</v>
      </c>
      <c r="J36" s="50">
        <v>1</v>
      </c>
      <c r="K36" s="52"/>
      <c r="L36" s="52"/>
      <c r="M36" s="50">
        <v>1</v>
      </c>
      <c r="N36" s="50">
        <v>1</v>
      </c>
      <c r="O36" s="50">
        <v>1</v>
      </c>
      <c r="P36" s="50">
        <v>0</v>
      </c>
      <c r="Q36" s="50">
        <v>1</v>
      </c>
      <c r="R36" s="50">
        <v>1</v>
      </c>
      <c r="S36" s="50">
        <v>1</v>
      </c>
      <c r="T36" s="52"/>
      <c r="U36" s="52"/>
      <c r="V36" s="50">
        <v>1</v>
      </c>
      <c r="W36" s="50">
        <v>1</v>
      </c>
      <c r="X36" s="50">
        <v>1</v>
      </c>
      <c r="Y36" s="50">
        <v>1</v>
      </c>
      <c r="Z36" s="50">
        <v>1</v>
      </c>
      <c r="AA36" s="50">
        <v>1</v>
      </c>
      <c r="AB36" s="50">
        <v>1</v>
      </c>
      <c r="AC36" s="52"/>
      <c r="AD36" s="52"/>
      <c r="AE36" s="50">
        <v>1</v>
      </c>
      <c r="AF36" s="50">
        <v>1</v>
      </c>
      <c r="AG36" s="50">
        <v>1</v>
      </c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1"/>
        <v>18</v>
      </c>
    </row>
    <row r="37" spans="1:47">
      <c r="B37" s="23">
        <v>11</v>
      </c>
      <c r="C37" s="11" t="s">
        <v>248</v>
      </c>
      <c r="D37" s="11" t="s">
        <v>88</v>
      </c>
      <c r="E37" s="50">
        <v>1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2"/>
      <c r="L37" s="52"/>
      <c r="M37" s="50">
        <v>1</v>
      </c>
      <c r="N37" s="50">
        <v>1</v>
      </c>
      <c r="O37" s="50">
        <v>1</v>
      </c>
      <c r="P37" s="50">
        <v>0</v>
      </c>
      <c r="Q37" s="50">
        <v>1</v>
      </c>
      <c r="R37" s="50">
        <v>0</v>
      </c>
      <c r="S37" s="50">
        <v>0</v>
      </c>
      <c r="T37" s="52"/>
      <c r="U37" s="52"/>
      <c r="V37" s="50">
        <v>1</v>
      </c>
      <c r="W37" s="50">
        <v>1</v>
      </c>
      <c r="X37" s="50">
        <v>0</v>
      </c>
      <c r="Y37" s="50">
        <v>1</v>
      </c>
      <c r="Z37" s="50">
        <v>1</v>
      </c>
      <c r="AA37" s="50">
        <v>1</v>
      </c>
      <c r="AB37" s="50">
        <v>1</v>
      </c>
      <c r="AC37" s="52"/>
      <c r="AD37" s="52"/>
      <c r="AE37" s="50">
        <v>1</v>
      </c>
      <c r="AF37" s="50">
        <v>1</v>
      </c>
      <c r="AG37" s="50"/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1"/>
        <v>14</v>
      </c>
    </row>
    <row r="38" spans="1:47">
      <c r="B38" s="23">
        <v>12</v>
      </c>
      <c r="C38" s="11" t="s">
        <v>184</v>
      </c>
      <c r="D38" s="11" t="s">
        <v>88</v>
      </c>
      <c r="E38" s="87">
        <v>0</v>
      </c>
      <c r="F38" s="87">
        <v>0</v>
      </c>
      <c r="G38" s="87">
        <v>0</v>
      </c>
      <c r="H38" s="50">
        <v>1</v>
      </c>
      <c r="I38" s="50">
        <v>1</v>
      </c>
      <c r="J38" s="50">
        <v>1</v>
      </c>
      <c r="K38" s="52"/>
      <c r="L38" s="52"/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  <c r="S38" s="50">
        <v>1</v>
      </c>
      <c r="T38" s="52"/>
      <c r="U38" s="52"/>
      <c r="V38" s="50">
        <v>1</v>
      </c>
      <c r="W38" s="50">
        <v>0</v>
      </c>
      <c r="X38" s="50">
        <v>0</v>
      </c>
      <c r="Y38" s="50">
        <v>1</v>
      </c>
      <c r="Z38" s="50">
        <v>1</v>
      </c>
      <c r="AA38" s="50">
        <v>1</v>
      </c>
      <c r="AB38" s="50">
        <v>1</v>
      </c>
      <c r="AC38" s="52"/>
      <c r="AD38" s="52"/>
      <c r="AE38" s="50">
        <v>1</v>
      </c>
      <c r="AF38" s="50">
        <v>1</v>
      </c>
      <c r="AG38" s="50">
        <v>1</v>
      </c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1"/>
        <v>17</v>
      </c>
    </row>
    <row r="39" spans="1:47">
      <c r="B39" s="23">
        <v>13</v>
      </c>
      <c r="C39" s="11" t="s">
        <v>249</v>
      </c>
      <c r="D39" s="11" t="s">
        <v>94</v>
      </c>
      <c r="E39" s="87">
        <v>0</v>
      </c>
      <c r="F39" s="50">
        <v>1</v>
      </c>
      <c r="G39" s="50">
        <v>1</v>
      </c>
      <c r="H39" s="50">
        <v>0</v>
      </c>
      <c r="I39" s="50">
        <v>1</v>
      </c>
      <c r="J39" s="50">
        <v>1</v>
      </c>
      <c r="K39" s="52"/>
      <c r="L39" s="52"/>
      <c r="M39" s="50">
        <v>1</v>
      </c>
      <c r="N39" s="50">
        <v>1</v>
      </c>
      <c r="O39" s="50">
        <v>0</v>
      </c>
      <c r="P39" s="50">
        <v>0</v>
      </c>
      <c r="Q39" s="50">
        <v>1</v>
      </c>
      <c r="R39" s="50">
        <v>0</v>
      </c>
      <c r="S39" s="50">
        <v>1</v>
      </c>
      <c r="T39" s="52"/>
      <c r="U39" s="52"/>
      <c r="V39" s="50">
        <v>0</v>
      </c>
      <c r="W39" s="50">
        <v>1</v>
      </c>
      <c r="X39" s="50">
        <v>1</v>
      </c>
      <c r="Y39" s="50"/>
      <c r="Z39" s="50">
        <v>1</v>
      </c>
      <c r="AA39" s="50">
        <v>1</v>
      </c>
      <c r="AB39" s="50">
        <v>1</v>
      </c>
      <c r="AC39" s="52"/>
      <c r="AD39" s="52"/>
      <c r="AE39" s="50">
        <v>1</v>
      </c>
      <c r="AF39" s="50">
        <v>1</v>
      </c>
      <c r="AG39" s="50">
        <v>1</v>
      </c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1"/>
        <v>14</v>
      </c>
    </row>
    <row r="40" spans="1:47">
      <c r="B40" s="23">
        <v>14</v>
      </c>
      <c r="C40" s="11" t="s">
        <v>250</v>
      </c>
      <c r="D40" s="11" t="s">
        <v>101</v>
      </c>
      <c r="E40" s="87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2"/>
      <c r="L40" s="52"/>
      <c r="M40" s="50">
        <v>0</v>
      </c>
      <c r="N40" s="50">
        <v>0</v>
      </c>
      <c r="O40" s="50">
        <v>1</v>
      </c>
      <c r="P40" s="50">
        <v>0</v>
      </c>
      <c r="Q40" s="50">
        <v>1</v>
      </c>
      <c r="R40" s="50">
        <v>0</v>
      </c>
      <c r="S40" s="50">
        <v>1</v>
      </c>
      <c r="T40" s="52"/>
      <c r="U40" s="52"/>
      <c r="V40" s="50">
        <v>0</v>
      </c>
      <c r="W40" s="50">
        <v>0</v>
      </c>
      <c r="X40" s="50">
        <v>1</v>
      </c>
      <c r="Y40" s="50"/>
      <c r="Z40" s="50">
        <v>1</v>
      </c>
      <c r="AA40" s="50">
        <v>1</v>
      </c>
      <c r="AB40" s="50">
        <v>1</v>
      </c>
      <c r="AC40" s="52"/>
      <c r="AD40" s="52"/>
      <c r="AE40" s="50">
        <v>1</v>
      </c>
      <c r="AF40" s="50">
        <v>0</v>
      </c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1"/>
        <v>8</v>
      </c>
    </row>
    <row r="41" spans="1:47">
      <c r="B41" s="23">
        <v>15</v>
      </c>
      <c r="C41" s="11" t="s">
        <v>251</v>
      </c>
      <c r="D41" s="11" t="s">
        <v>88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/>
      <c r="L41" s="87"/>
      <c r="M41" s="87">
        <v>0</v>
      </c>
      <c r="N41" s="87">
        <v>0</v>
      </c>
      <c r="O41" s="50">
        <v>1</v>
      </c>
      <c r="P41" s="50">
        <v>1</v>
      </c>
      <c r="Q41" s="50">
        <v>1</v>
      </c>
      <c r="R41" s="50">
        <v>1</v>
      </c>
      <c r="S41" s="50">
        <v>0</v>
      </c>
      <c r="T41" s="52"/>
      <c r="U41" s="52"/>
      <c r="V41" s="50">
        <v>0</v>
      </c>
      <c r="W41" s="50">
        <v>1</v>
      </c>
      <c r="X41" s="50">
        <v>1</v>
      </c>
      <c r="Y41" s="50">
        <v>1</v>
      </c>
      <c r="Z41" s="50">
        <v>1</v>
      </c>
      <c r="AA41" s="50">
        <v>1</v>
      </c>
      <c r="AB41" s="50">
        <v>1</v>
      </c>
      <c r="AC41" s="52"/>
      <c r="AD41" s="52"/>
      <c r="AE41" s="50">
        <v>1</v>
      </c>
      <c r="AF41" s="50">
        <v>0</v>
      </c>
      <c r="AG41" s="50">
        <v>1</v>
      </c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1"/>
        <v>12</v>
      </c>
    </row>
    <row r="42" spans="1:47" ht="19.5">
      <c r="B42" s="68">
        <v>15</v>
      </c>
      <c r="C42" s="12" t="s">
        <v>58</v>
      </c>
      <c r="D42" s="7"/>
      <c r="E42" s="8">
        <f>COUNTIF(E27:E41,"1")</f>
        <v>8</v>
      </c>
      <c r="F42" s="8">
        <f>COUNTIF(F27:F41,"1")</f>
        <v>12</v>
      </c>
      <c r="G42" s="8">
        <f>COUNTIF(G27:G41,"1")</f>
        <v>10</v>
      </c>
      <c r="H42" s="8">
        <f>COUNTIF(H27:H41,"1")</f>
        <v>10</v>
      </c>
      <c r="I42" s="8">
        <f>COUNTIF(I27:I41,"1")</f>
        <v>11</v>
      </c>
      <c r="J42" s="8">
        <f>COUNTIF(J27:J41,"1")</f>
        <v>11</v>
      </c>
      <c r="K42" s="8">
        <f>COUNTIF(K27:K41,"1")</f>
        <v>0</v>
      </c>
      <c r="L42" s="8">
        <f>COUNTIF(L27:L41,"1")</f>
        <v>0</v>
      </c>
      <c r="M42" s="8">
        <f>COUNTIF(M27:M41,"1")</f>
        <v>11</v>
      </c>
      <c r="N42" s="8">
        <f>COUNTIF(N27:N41,"1")</f>
        <v>13</v>
      </c>
      <c r="O42" s="8">
        <f>COUNTIF(O27:O41,"1")</f>
        <v>13</v>
      </c>
      <c r="P42" s="8">
        <f>COUNTIF(P27:P41,"1")</f>
        <v>9</v>
      </c>
      <c r="Q42" s="8">
        <f>COUNTIF(Q27:Q41,"1")</f>
        <v>14</v>
      </c>
      <c r="R42" s="8">
        <f>COUNTIF(R27:R41,"1")</f>
        <v>10</v>
      </c>
      <c r="S42" s="8">
        <f>COUNTIF(S27:S41,"1")</f>
        <v>12</v>
      </c>
      <c r="T42" s="8">
        <f>COUNTIF(T27:T41,"1")</f>
        <v>0</v>
      </c>
      <c r="U42" s="8">
        <f>COUNTIF(U27:U41,"1")</f>
        <v>0</v>
      </c>
      <c r="V42" s="8">
        <f>COUNTIF(V27:V41,"1")</f>
        <v>10</v>
      </c>
      <c r="W42" s="8">
        <f>COUNTIF(W27:W41,"1")</f>
        <v>12</v>
      </c>
      <c r="X42" s="8">
        <f>COUNTIF(X27:X41,"1")</f>
        <v>11</v>
      </c>
      <c r="Y42" s="8">
        <f>COUNTIF(Y27:Y41,"1")</f>
        <v>10</v>
      </c>
      <c r="Z42" s="8">
        <f>COUNTIF(Z27:Z41,"1")</f>
        <v>15</v>
      </c>
      <c r="AA42" s="8">
        <f>COUNTIF(AA27:AA41,"1")</f>
        <v>13</v>
      </c>
      <c r="AB42" s="8">
        <f>COUNTIF(AB27:AB41,"1")</f>
        <v>15</v>
      </c>
      <c r="AC42" s="8">
        <f>COUNTIF(AC27:AC41,"1")</f>
        <v>0</v>
      </c>
      <c r="AD42" s="8">
        <f>COUNTIF(AD27:AD41,"1")</f>
        <v>0</v>
      </c>
      <c r="AE42" s="8">
        <f>COUNTIF(AE27:AE41,"1")</f>
        <v>14</v>
      </c>
      <c r="AF42" s="8">
        <f>COUNTIF(AF27:AF41,"1")</f>
        <v>11</v>
      </c>
      <c r="AG42" s="8">
        <f>COUNTIF(AG27:AG41,"1")</f>
        <v>13</v>
      </c>
      <c r="AH42" s="8">
        <f>COUNTIF(AH27:AH41,"1")</f>
        <v>0</v>
      </c>
      <c r="AI42" s="8">
        <f>COUNTIF(AI27:AI41,"1")</f>
        <v>0</v>
      </c>
      <c r="AJ42" s="8">
        <f>COUNTIF(AJ27:AJ41,"1")</f>
        <v>0</v>
      </c>
      <c r="AK42" s="8">
        <f>COUNTIF(AK27:AK41,"1")</f>
        <v>0</v>
      </c>
      <c r="AL42" s="8">
        <f>COUNTIF(AL27:AL41,"1")</f>
        <v>0</v>
      </c>
      <c r="AM42" s="8">
        <f>COUNTIF(AM27:AM41,"1")</f>
        <v>0</v>
      </c>
      <c r="AN42" s="8">
        <f>COUNTIF(AN27:AN41,"1")</f>
        <v>0</v>
      </c>
      <c r="AO42" s="8">
        <f>COUNTIF(AO27:AO41,"1")</f>
        <v>0</v>
      </c>
      <c r="AP42" s="8">
        <f>COUNTIF(AP27:AP41,"1")</f>
        <v>0</v>
      </c>
      <c r="AQ42" s="8">
        <f t="shared" ref="AQ42:AT42" si="4">COUNTIF(AQ27:AQ41,"1")</f>
        <v>0</v>
      </c>
      <c r="AR42" s="8">
        <f t="shared" si="4"/>
        <v>0</v>
      </c>
      <c r="AS42" s="8">
        <f t="shared" si="4"/>
        <v>0</v>
      </c>
      <c r="AT42" s="8">
        <f t="shared" si="4"/>
        <v>0</v>
      </c>
      <c r="AU42" s="1">
        <f>SUM(I42:AT42)</f>
        <v>228</v>
      </c>
    </row>
    <row r="43" spans="1:47">
      <c r="B43" s="22"/>
      <c r="E43" s="99">
        <v>45912</v>
      </c>
      <c r="F43" s="99">
        <f>E43+7</f>
        <v>45919</v>
      </c>
      <c r="G43" s="99">
        <f t="shared" ref="G43:AT43" si="5">F43+7</f>
        <v>45926</v>
      </c>
      <c r="H43" s="99">
        <f t="shared" si="5"/>
        <v>45933</v>
      </c>
      <c r="I43" s="99">
        <f t="shared" si="5"/>
        <v>45940</v>
      </c>
      <c r="J43" s="99">
        <f t="shared" si="5"/>
        <v>45947</v>
      </c>
      <c r="K43" s="99">
        <f t="shared" si="5"/>
        <v>45954</v>
      </c>
      <c r="L43" s="99">
        <f t="shared" si="5"/>
        <v>45961</v>
      </c>
      <c r="M43" s="99">
        <f t="shared" si="5"/>
        <v>45968</v>
      </c>
      <c r="N43" s="99">
        <f t="shared" si="5"/>
        <v>45975</v>
      </c>
      <c r="O43" s="99">
        <f t="shared" si="5"/>
        <v>45982</v>
      </c>
      <c r="P43" s="99">
        <f t="shared" si="5"/>
        <v>45989</v>
      </c>
      <c r="Q43" s="99">
        <f t="shared" si="5"/>
        <v>45996</v>
      </c>
      <c r="R43" s="99">
        <f t="shared" si="5"/>
        <v>46003</v>
      </c>
      <c r="S43" s="99">
        <f t="shared" si="5"/>
        <v>46010</v>
      </c>
      <c r="T43" s="99">
        <f t="shared" si="5"/>
        <v>46017</v>
      </c>
      <c r="U43" s="99">
        <f t="shared" si="5"/>
        <v>46024</v>
      </c>
      <c r="V43" s="99">
        <f t="shared" si="5"/>
        <v>46031</v>
      </c>
      <c r="W43" s="99">
        <f t="shared" si="5"/>
        <v>46038</v>
      </c>
      <c r="X43" s="99">
        <f t="shared" si="5"/>
        <v>46045</v>
      </c>
      <c r="Y43" s="99">
        <f t="shared" si="5"/>
        <v>46052</v>
      </c>
      <c r="Z43" s="99">
        <f t="shared" si="5"/>
        <v>46059</v>
      </c>
      <c r="AA43" s="99">
        <f t="shared" si="5"/>
        <v>46066</v>
      </c>
      <c r="AB43" s="99">
        <f t="shared" si="5"/>
        <v>46073</v>
      </c>
      <c r="AC43" s="99">
        <f t="shared" si="5"/>
        <v>46080</v>
      </c>
      <c r="AD43" s="99">
        <f t="shared" si="5"/>
        <v>46087</v>
      </c>
      <c r="AE43" s="99">
        <f t="shared" si="5"/>
        <v>46094</v>
      </c>
      <c r="AF43" s="99">
        <f t="shared" si="5"/>
        <v>46101</v>
      </c>
      <c r="AG43" s="99">
        <f t="shared" si="5"/>
        <v>46108</v>
      </c>
      <c r="AH43" s="99">
        <f t="shared" si="5"/>
        <v>46115</v>
      </c>
      <c r="AI43" s="99">
        <f t="shared" si="5"/>
        <v>46122</v>
      </c>
      <c r="AJ43" s="99">
        <f t="shared" si="5"/>
        <v>46129</v>
      </c>
      <c r="AK43" s="99">
        <f t="shared" si="5"/>
        <v>46136</v>
      </c>
      <c r="AL43" s="99">
        <f t="shared" si="5"/>
        <v>46143</v>
      </c>
      <c r="AM43" s="99">
        <f t="shared" si="5"/>
        <v>46150</v>
      </c>
      <c r="AN43" s="99">
        <f t="shared" si="5"/>
        <v>46157</v>
      </c>
      <c r="AO43" s="99">
        <f t="shared" si="5"/>
        <v>46164</v>
      </c>
      <c r="AP43" s="99">
        <f t="shared" si="5"/>
        <v>46171</v>
      </c>
      <c r="AQ43" s="99">
        <f t="shared" si="5"/>
        <v>46178</v>
      </c>
      <c r="AR43" s="99">
        <f t="shared" si="5"/>
        <v>46185</v>
      </c>
      <c r="AS43" s="99">
        <f t="shared" si="5"/>
        <v>46192</v>
      </c>
      <c r="AT43" s="99">
        <f t="shared" si="5"/>
        <v>46199</v>
      </c>
      <c r="AU43" s="1"/>
    </row>
    <row r="44" spans="1:47" ht="18" customHeight="1">
      <c r="A44"/>
      <c r="B44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1"/>
    </row>
    <row r="45" spans="1:47" ht="18" customHeight="1">
      <c r="A45"/>
      <c r="B45"/>
      <c r="E45" s="6" t="s">
        <v>4</v>
      </c>
      <c r="F45" s="15" t="s">
        <v>5</v>
      </c>
      <c r="G45" s="6" t="s">
        <v>6</v>
      </c>
      <c r="H45" s="15" t="s">
        <v>7</v>
      </c>
      <c r="I45" s="6" t="s">
        <v>8</v>
      </c>
      <c r="J45" s="15" t="s">
        <v>9</v>
      </c>
      <c r="K45" s="27" t="s">
        <v>10</v>
      </c>
      <c r="L45" s="27" t="s">
        <v>10</v>
      </c>
      <c r="M45" s="6" t="s">
        <v>11</v>
      </c>
      <c r="N45" s="15" t="s">
        <v>12</v>
      </c>
      <c r="O45" s="6" t="s">
        <v>13</v>
      </c>
      <c r="P45" s="15" t="s">
        <v>14</v>
      </c>
      <c r="Q45" s="6" t="s">
        <v>15</v>
      </c>
      <c r="R45" s="6" t="s">
        <v>16</v>
      </c>
      <c r="S45" s="6" t="s">
        <v>17</v>
      </c>
      <c r="T45" s="27" t="s">
        <v>10</v>
      </c>
      <c r="U45" s="27" t="s">
        <v>10</v>
      </c>
      <c r="V45" s="15" t="s">
        <v>18</v>
      </c>
      <c r="W45" s="6" t="s">
        <v>19</v>
      </c>
      <c r="X45" s="15" t="s">
        <v>20</v>
      </c>
      <c r="Y45" s="6" t="s">
        <v>21</v>
      </c>
      <c r="Z45" s="15" t="s">
        <v>22</v>
      </c>
      <c r="AA45" s="6" t="s">
        <v>23</v>
      </c>
      <c r="AB45" s="15" t="s">
        <v>24</v>
      </c>
      <c r="AC45" s="27" t="s">
        <v>10</v>
      </c>
      <c r="AD45" s="27" t="s">
        <v>10</v>
      </c>
      <c r="AE45" s="6" t="s">
        <v>25</v>
      </c>
      <c r="AF45" s="15" t="s">
        <v>26</v>
      </c>
      <c r="AG45" s="6" t="s">
        <v>27</v>
      </c>
      <c r="AH45" s="6" t="s">
        <v>28</v>
      </c>
      <c r="AI45" s="15" t="s">
        <v>29</v>
      </c>
      <c r="AJ45" s="6" t="s">
        <v>30</v>
      </c>
      <c r="AK45" s="27" t="s">
        <v>10</v>
      </c>
      <c r="AL45" s="27" t="s">
        <v>10</v>
      </c>
      <c r="AM45" s="15" t="s">
        <v>31</v>
      </c>
      <c r="AN45" s="14" t="s">
        <v>32</v>
      </c>
      <c r="AO45" s="15" t="s">
        <v>33</v>
      </c>
      <c r="AP45" s="14" t="s">
        <v>34</v>
      </c>
      <c r="AQ45" s="14" t="s">
        <v>35</v>
      </c>
      <c r="AR45" s="14" t="s">
        <v>36</v>
      </c>
      <c r="AS45" s="14" t="s">
        <v>37</v>
      </c>
      <c r="AT45" s="14" t="s">
        <v>38</v>
      </c>
      <c r="AU45" s="1"/>
    </row>
    <row r="46" spans="1:47">
      <c r="A46" s="102" t="s">
        <v>157</v>
      </c>
      <c r="B46" s="23">
        <v>1</v>
      </c>
      <c r="C46" s="11" t="s">
        <v>252</v>
      </c>
      <c r="D46" s="11" t="s">
        <v>94</v>
      </c>
      <c r="E46" s="50">
        <v>1</v>
      </c>
      <c r="F46" s="50">
        <v>1</v>
      </c>
      <c r="G46" s="50">
        <v>1</v>
      </c>
      <c r="H46" s="50">
        <v>1</v>
      </c>
      <c r="I46" s="50">
        <v>1</v>
      </c>
      <c r="J46" s="47">
        <v>1</v>
      </c>
      <c r="K46" s="49"/>
      <c r="L46" s="49"/>
      <c r="M46" s="47">
        <v>1</v>
      </c>
      <c r="N46" s="47">
        <v>1</v>
      </c>
      <c r="O46" s="47">
        <v>1</v>
      </c>
      <c r="P46" s="47">
        <v>1</v>
      </c>
      <c r="Q46" s="47">
        <v>1</v>
      </c>
      <c r="R46" s="47">
        <v>1</v>
      </c>
      <c r="S46" s="47">
        <v>1</v>
      </c>
      <c r="T46" s="49"/>
      <c r="U46" s="49"/>
      <c r="V46" s="47">
        <v>1</v>
      </c>
      <c r="W46" s="47">
        <v>1</v>
      </c>
      <c r="X46" s="47">
        <v>0</v>
      </c>
      <c r="Y46" s="47">
        <v>1</v>
      </c>
      <c r="Z46" s="47">
        <v>1</v>
      </c>
      <c r="AA46" s="47">
        <v>1</v>
      </c>
      <c r="AB46" s="47">
        <v>1</v>
      </c>
      <c r="AC46" s="49"/>
      <c r="AD46" s="49"/>
      <c r="AE46" s="47">
        <v>1</v>
      </c>
      <c r="AF46" s="47">
        <v>1</v>
      </c>
      <c r="AG46" s="47"/>
      <c r="AH46" s="48"/>
      <c r="AI46" s="48"/>
      <c r="AJ46" s="48"/>
      <c r="AK46" s="49"/>
      <c r="AL46" s="49"/>
      <c r="AM46" s="48"/>
      <c r="AN46" s="48"/>
      <c r="AO46" s="48"/>
      <c r="AP46" s="48"/>
      <c r="AQ46" s="48"/>
      <c r="AR46" s="48"/>
      <c r="AS46" s="48"/>
      <c r="AT46" s="48"/>
      <c r="AU46" s="1">
        <f t="shared" si="1"/>
        <v>17</v>
      </c>
    </row>
    <row r="47" spans="1:47">
      <c r="A47" s="102"/>
      <c r="B47" s="23">
        <v>2</v>
      </c>
      <c r="C47" s="11" t="s">
        <v>253</v>
      </c>
      <c r="D47" s="11" t="s">
        <v>94</v>
      </c>
      <c r="E47" s="50">
        <v>1</v>
      </c>
      <c r="F47" s="50">
        <v>1</v>
      </c>
      <c r="G47" s="50">
        <v>1</v>
      </c>
      <c r="H47" s="50">
        <v>1</v>
      </c>
      <c r="I47" s="50">
        <v>1</v>
      </c>
      <c r="J47" s="50">
        <v>1</v>
      </c>
      <c r="K47" s="52"/>
      <c r="L47" s="52"/>
      <c r="M47" s="50">
        <v>1</v>
      </c>
      <c r="N47" s="50">
        <v>0</v>
      </c>
      <c r="O47" s="50">
        <v>1</v>
      </c>
      <c r="P47" s="50">
        <v>1</v>
      </c>
      <c r="Q47" s="50">
        <v>1</v>
      </c>
      <c r="R47" s="50">
        <v>1</v>
      </c>
      <c r="S47" s="50">
        <v>1</v>
      </c>
      <c r="T47" s="52"/>
      <c r="U47" s="52"/>
      <c r="V47" s="50">
        <v>1</v>
      </c>
      <c r="W47" s="50">
        <v>1</v>
      </c>
      <c r="X47" s="50">
        <v>0</v>
      </c>
      <c r="Y47" s="50">
        <v>1</v>
      </c>
      <c r="Z47" s="50">
        <v>1</v>
      </c>
      <c r="AA47" s="50">
        <v>1</v>
      </c>
      <c r="AB47" s="50">
        <v>0</v>
      </c>
      <c r="AC47" s="52"/>
      <c r="AD47" s="52"/>
      <c r="AE47" s="50">
        <v>1</v>
      </c>
      <c r="AF47" s="50">
        <v>1</v>
      </c>
      <c r="AG47" s="50"/>
      <c r="AH47" s="51"/>
      <c r="AI47" s="51"/>
      <c r="AJ47" s="51"/>
      <c r="AK47" s="52"/>
      <c r="AL47" s="52"/>
      <c r="AM47" s="51"/>
      <c r="AN47" s="51"/>
      <c r="AO47" s="51"/>
      <c r="AP47" s="51"/>
      <c r="AQ47" s="51"/>
      <c r="AR47" s="51"/>
      <c r="AS47" s="51"/>
      <c r="AT47" s="51"/>
      <c r="AU47" s="1">
        <f t="shared" si="1"/>
        <v>15</v>
      </c>
    </row>
    <row r="48" spans="1:47">
      <c r="A48" s="102"/>
      <c r="B48" s="23">
        <v>3</v>
      </c>
      <c r="C48" s="11" t="s">
        <v>254</v>
      </c>
      <c r="D48" s="11" t="s">
        <v>94</v>
      </c>
      <c r="E48" s="50">
        <v>1</v>
      </c>
      <c r="F48" s="50">
        <v>1</v>
      </c>
      <c r="G48" s="50">
        <v>1</v>
      </c>
      <c r="H48" s="50">
        <v>0</v>
      </c>
      <c r="I48" s="50">
        <v>1</v>
      </c>
      <c r="J48" s="50">
        <v>1</v>
      </c>
      <c r="K48" s="52"/>
      <c r="L48" s="52"/>
      <c r="M48" s="50">
        <v>0</v>
      </c>
      <c r="N48" s="50">
        <v>1</v>
      </c>
      <c r="O48" s="50">
        <v>1</v>
      </c>
      <c r="P48" s="50">
        <v>1</v>
      </c>
      <c r="Q48" s="50">
        <v>0</v>
      </c>
      <c r="R48" s="50">
        <v>1</v>
      </c>
      <c r="S48" s="50">
        <v>1</v>
      </c>
      <c r="T48" s="52"/>
      <c r="U48" s="52"/>
      <c r="V48" s="50">
        <v>1</v>
      </c>
      <c r="W48" s="50">
        <v>1</v>
      </c>
      <c r="X48" s="50">
        <v>1</v>
      </c>
      <c r="Y48" s="50">
        <v>1</v>
      </c>
      <c r="Z48" s="50">
        <v>1</v>
      </c>
      <c r="AA48" s="50">
        <v>1</v>
      </c>
      <c r="AB48" s="50">
        <v>1</v>
      </c>
      <c r="AC48" s="52"/>
      <c r="AD48" s="52"/>
      <c r="AE48" s="50">
        <v>1</v>
      </c>
      <c r="AF48" s="50">
        <v>0</v>
      </c>
      <c r="AG48" s="50"/>
      <c r="AH48" s="51"/>
      <c r="AI48" s="51"/>
      <c r="AJ48" s="51"/>
      <c r="AK48" s="52"/>
      <c r="AL48" s="52"/>
      <c r="AM48" s="51"/>
      <c r="AN48" s="51"/>
      <c r="AO48" s="51"/>
      <c r="AP48" s="51"/>
      <c r="AQ48" s="51"/>
      <c r="AR48" s="51"/>
      <c r="AS48" s="51"/>
      <c r="AT48" s="51"/>
      <c r="AU48" s="1">
        <f t="shared" si="1"/>
        <v>15</v>
      </c>
    </row>
    <row r="49" spans="1:47">
      <c r="A49" s="102"/>
      <c r="B49" s="23">
        <v>4</v>
      </c>
      <c r="C49" s="11" t="s">
        <v>255</v>
      </c>
      <c r="D49" s="11" t="s">
        <v>94</v>
      </c>
      <c r="E49" s="50">
        <v>1</v>
      </c>
      <c r="F49" s="50">
        <v>1</v>
      </c>
      <c r="G49" s="50">
        <v>1</v>
      </c>
      <c r="H49" s="50">
        <v>0</v>
      </c>
      <c r="I49" s="50">
        <v>1</v>
      </c>
      <c r="J49" s="50">
        <v>1</v>
      </c>
      <c r="K49" s="52"/>
      <c r="L49" s="52"/>
      <c r="M49" s="50">
        <v>0</v>
      </c>
      <c r="N49" s="50">
        <v>1</v>
      </c>
      <c r="O49" s="50">
        <v>1</v>
      </c>
      <c r="P49" s="50">
        <v>1</v>
      </c>
      <c r="Q49" s="50">
        <v>1</v>
      </c>
      <c r="R49" s="50">
        <v>1</v>
      </c>
      <c r="S49" s="50">
        <v>1</v>
      </c>
      <c r="T49" s="52"/>
      <c r="U49" s="52"/>
      <c r="V49" s="50">
        <v>1</v>
      </c>
      <c r="W49" s="50">
        <v>1</v>
      </c>
      <c r="X49" s="50">
        <v>1</v>
      </c>
      <c r="Y49" s="50">
        <v>1</v>
      </c>
      <c r="Z49" s="50">
        <v>1</v>
      </c>
      <c r="AA49" s="50">
        <v>1</v>
      </c>
      <c r="AB49" s="50">
        <v>1</v>
      </c>
      <c r="AC49" s="52"/>
      <c r="AD49" s="52"/>
      <c r="AE49" s="50">
        <v>1</v>
      </c>
      <c r="AF49" s="50">
        <v>0</v>
      </c>
      <c r="AG49" s="50"/>
      <c r="AH49" s="51"/>
      <c r="AI49" s="51"/>
      <c r="AJ49" s="51"/>
      <c r="AK49" s="52"/>
      <c r="AL49" s="52"/>
      <c r="AM49" s="51"/>
      <c r="AN49" s="51"/>
      <c r="AO49" s="51"/>
      <c r="AP49" s="51"/>
      <c r="AQ49" s="51"/>
      <c r="AR49" s="51"/>
      <c r="AS49" s="51"/>
      <c r="AT49" s="51"/>
      <c r="AU49" s="1">
        <f t="shared" si="1"/>
        <v>16</v>
      </c>
    </row>
    <row r="50" spans="1:47">
      <c r="A50" s="102"/>
      <c r="B50" s="23">
        <v>5</v>
      </c>
      <c r="C50" s="11" t="s">
        <v>256</v>
      </c>
      <c r="D50" s="11" t="s">
        <v>94</v>
      </c>
      <c r="E50" s="50">
        <v>1</v>
      </c>
      <c r="F50" s="50">
        <v>1</v>
      </c>
      <c r="G50" s="50">
        <v>1</v>
      </c>
      <c r="H50" s="50">
        <v>1</v>
      </c>
      <c r="I50" s="50">
        <v>1</v>
      </c>
      <c r="J50" s="50">
        <v>1</v>
      </c>
      <c r="K50" s="52"/>
      <c r="L50" s="52"/>
      <c r="M50" s="50">
        <v>1</v>
      </c>
      <c r="N50" s="50">
        <v>1</v>
      </c>
      <c r="O50" s="50">
        <v>1</v>
      </c>
      <c r="P50" s="50">
        <v>1</v>
      </c>
      <c r="Q50" s="50">
        <v>1</v>
      </c>
      <c r="R50" s="50">
        <v>1</v>
      </c>
      <c r="S50" s="50">
        <v>1</v>
      </c>
      <c r="T50" s="52"/>
      <c r="U50" s="52"/>
      <c r="V50" s="50">
        <v>1</v>
      </c>
      <c r="W50" s="50">
        <v>1</v>
      </c>
      <c r="X50" s="50">
        <v>1</v>
      </c>
      <c r="Y50" s="50">
        <v>1</v>
      </c>
      <c r="Z50" s="50">
        <v>1</v>
      </c>
      <c r="AA50" s="50">
        <v>1</v>
      </c>
      <c r="AB50" s="50">
        <v>1</v>
      </c>
      <c r="AC50" s="52"/>
      <c r="AD50" s="52"/>
      <c r="AE50" s="50">
        <v>1</v>
      </c>
      <c r="AF50" s="50">
        <v>1</v>
      </c>
      <c r="AG50" s="50"/>
      <c r="AH50" s="51"/>
      <c r="AI50" s="51"/>
      <c r="AJ50" s="51"/>
      <c r="AK50" s="52"/>
      <c r="AL50" s="52"/>
      <c r="AM50" s="51"/>
      <c r="AN50" s="51"/>
      <c r="AO50" s="51"/>
      <c r="AP50" s="51"/>
      <c r="AQ50" s="51"/>
      <c r="AR50" s="51"/>
      <c r="AS50" s="51"/>
      <c r="AT50" s="51"/>
      <c r="AU50" s="1">
        <f t="shared" si="1"/>
        <v>18</v>
      </c>
    </row>
    <row r="51" spans="1:47">
      <c r="A51" s="102"/>
      <c r="B51" s="23">
        <v>6</v>
      </c>
      <c r="C51" s="11" t="s">
        <v>257</v>
      </c>
      <c r="D51" s="11" t="s">
        <v>101</v>
      </c>
      <c r="E51" s="87">
        <v>0</v>
      </c>
      <c r="F51" s="87">
        <v>0</v>
      </c>
      <c r="G51" s="87">
        <v>0</v>
      </c>
      <c r="H51" s="50">
        <v>1</v>
      </c>
      <c r="I51" s="50">
        <v>1</v>
      </c>
      <c r="J51" s="50">
        <v>1</v>
      </c>
      <c r="K51" s="52"/>
      <c r="L51" s="52"/>
      <c r="M51" s="50">
        <v>1</v>
      </c>
      <c r="N51" s="50">
        <v>1</v>
      </c>
      <c r="O51" s="50">
        <v>1</v>
      </c>
      <c r="P51" s="50">
        <v>1</v>
      </c>
      <c r="Q51" s="50">
        <v>1</v>
      </c>
      <c r="R51" s="50">
        <v>1</v>
      </c>
      <c r="S51" s="50">
        <v>0</v>
      </c>
      <c r="T51" s="52"/>
      <c r="U51" s="52"/>
      <c r="V51" s="50">
        <v>1</v>
      </c>
      <c r="W51" s="50">
        <v>0</v>
      </c>
      <c r="X51" s="50">
        <v>0</v>
      </c>
      <c r="Y51" s="50">
        <v>1</v>
      </c>
      <c r="Z51" s="50">
        <v>0</v>
      </c>
      <c r="AA51" s="50">
        <v>0</v>
      </c>
      <c r="AB51" s="50">
        <v>0</v>
      </c>
      <c r="AC51" s="52"/>
      <c r="AD51" s="52"/>
      <c r="AE51" s="50">
        <v>1</v>
      </c>
      <c r="AF51" s="50">
        <v>0</v>
      </c>
      <c r="AG51" s="50"/>
      <c r="AH51" s="51"/>
      <c r="AI51" s="51"/>
      <c r="AJ51" s="51"/>
      <c r="AK51" s="52"/>
      <c r="AL51" s="52"/>
      <c r="AM51" s="51"/>
      <c r="AN51" s="51"/>
      <c r="AO51" s="51"/>
      <c r="AP51" s="51"/>
      <c r="AQ51" s="51"/>
      <c r="AR51" s="51"/>
      <c r="AS51" s="51"/>
      <c r="AT51" s="51"/>
      <c r="AU51" s="1">
        <f t="shared" si="1"/>
        <v>11</v>
      </c>
    </row>
    <row r="52" spans="1:47">
      <c r="A52" s="102"/>
      <c r="B52" s="23">
        <v>7</v>
      </c>
      <c r="C52" s="11" t="s">
        <v>258</v>
      </c>
      <c r="D52" s="11" t="s">
        <v>101</v>
      </c>
      <c r="E52" s="47">
        <v>1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2"/>
      <c r="L52" s="52"/>
      <c r="M52" s="50">
        <v>1</v>
      </c>
      <c r="N52" s="50">
        <v>0</v>
      </c>
      <c r="O52" s="50">
        <v>1</v>
      </c>
      <c r="P52" s="50">
        <v>0</v>
      </c>
      <c r="Q52" s="50">
        <v>1</v>
      </c>
      <c r="R52" s="50">
        <v>1</v>
      </c>
      <c r="S52" s="50">
        <v>1</v>
      </c>
      <c r="T52" s="52"/>
      <c r="U52" s="52"/>
      <c r="V52" s="50">
        <v>0</v>
      </c>
      <c r="W52" s="50">
        <v>1</v>
      </c>
      <c r="X52" s="50">
        <v>1</v>
      </c>
      <c r="Y52" s="50">
        <v>0</v>
      </c>
      <c r="Z52" s="50">
        <v>0</v>
      </c>
      <c r="AA52" s="50">
        <v>1</v>
      </c>
      <c r="AB52" s="50">
        <v>0</v>
      </c>
      <c r="AC52" s="52"/>
      <c r="AD52" s="52"/>
      <c r="AE52" s="50">
        <v>1</v>
      </c>
      <c r="AF52" s="50">
        <v>1</v>
      </c>
      <c r="AG52" s="50"/>
      <c r="AH52" s="51"/>
      <c r="AI52" s="51"/>
      <c r="AJ52" s="51"/>
      <c r="AK52" s="52"/>
      <c r="AL52" s="52"/>
      <c r="AM52" s="51"/>
      <c r="AN52" s="51"/>
      <c r="AO52" s="51"/>
      <c r="AP52" s="51"/>
      <c r="AQ52" s="51"/>
      <c r="AR52" s="51"/>
      <c r="AS52" s="51"/>
      <c r="AT52" s="51"/>
      <c r="AU52" s="1">
        <f t="shared" si="1"/>
        <v>10</v>
      </c>
    </row>
    <row r="53" spans="1:47">
      <c r="A53" s="102"/>
      <c r="B53" s="23">
        <v>8</v>
      </c>
      <c r="C53" s="11" t="s">
        <v>259</v>
      </c>
      <c r="D53" s="11" t="s">
        <v>101</v>
      </c>
      <c r="E53" s="50">
        <v>1</v>
      </c>
      <c r="F53" s="47">
        <v>1</v>
      </c>
      <c r="G53" s="47">
        <v>1</v>
      </c>
      <c r="H53" s="47">
        <v>1</v>
      </c>
      <c r="I53" s="47">
        <v>1</v>
      </c>
      <c r="J53" s="50">
        <v>1</v>
      </c>
      <c r="K53" s="52"/>
      <c r="L53" s="52"/>
      <c r="M53" s="50">
        <v>0</v>
      </c>
      <c r="N53" s="50">
        <v>1</v>
      </c>
      <c r="O53" s="50">
        <v>1</v>
      </c>
      <c r="P53" s="50">
        <v>1</v>
      </c>
      <c r="Q53" s="50">
        <v>1</v>
      </c>
      <c r="R53" s="50">
        <v>1</v>
      </c>
      <c r="S53" s="50">
        <v>1</v>
      </c>
      <c r="T53" s="52"/>
      <c r="U53" s="52"/>
      <c r="V53" s="50">
        <v>1</v>
      </c>
      <c r="W53" s="50">
        <v>1</v>
      </c>
      <c r="X53" s="50">
        <v>1</v>
      </c>
      <c r="Y53" s="50">
        <v>1</v>
      </c>
      <c r="Z53" s="50">
        <v>1</v>
      </c>
      <c r="AA53" s="50">
        <v>1</v>
      </c>
      <c r="AB53" s="50">
        <v>1</v>
      </c>
      <c r="AC53" s="52"/>
      <c r="AD53" s="52"/>
      <c r="AE53" s="50">
        <v>1</v>
      </c>
      <c r="AF53" s="50">
        <v>1</v>
      </c>
      <c r="AG53" s="50"/>
      <c r="AH53" s="51"/>
      <c r="AI53" s="51"/>
      <c r="AJ53" s="51"/>
      <c r="AK53" s="52"/>
      <c r="AL53" s="52"/>
      <c r="AM53" s="51"/>
      <c r="AN53" s="51"/>
      <c r="AO53" s="51"/>
      <c r="AP53" s="51"/>
      <c r="AQ53" s="51"/>
      <c r="AR53" s="51"/>
      <c r="AS53" s="51"/>
      <c r="AT53" s="51"/>
      <c r="AU53" s="1">
        <f t="shared" si="1"/>
        <v>17</v>
      </c>
    </row>
    <row r="54" spans="1:47">
      <c r="B54" s="23">
        <v>9</v>
      </c>
      <c r="C54" s="11" t="s">
        <v>260</v>
      </c>
      <c r="D54" s="11" t="s">
        <v>101</v>
      </c>
      <c r="E54" s="50">
        <v>1</v>
      </c>
      <c r="F54" s="50">
        <v>1</v>
      </c>
      <c r="G54" s="50">
        <v>1</v>
      </c>
      <c r="H54" s="50">
        <v>1</v>
      </c>
      <c r="I54" s="50">
        <v>1</v>
      </c>
      <c r="J54" s="47">
        <v>1</v>
      </c>
      <c r="K54" s="49"/>
      <c r="L54" s="49"/>
      <c r="M54" s="47">
        <v>0</v>
      </c>
      <c r="N54" s="47">
        <v>1</v>
      </c>
      <c r="O54" s="47">
        <v>1</v>
      </c>
      <c r="P54" s="47">
        <v>1</v>
      </c>
      <c r="Q54" s="47">
        <v>1</v>
      </c>
      <c r="R54" s="47">
        <v>1</v>
      </c>
      <c r="S54" s="47">
        <v>1</v>
      </c>
      <c r="T54" s="49"/>
      <c r="U54" s="49"/>
      <c r="V54" s="47">
        <v>1</v>
      </c>
      <c r="W54" s="47">
        <v>1</v>
      </c>
      <c r="X54" s="47">
        <v>1</v>
      </c>
      <c r="Y54" s="47">
        <v>1</v>
      </c>
      <c r="Z54" s="47">
        <v>1</v>
      </c>
      <c r="AA54" s="47">
        <v>0</v>
      </c>
      <c r="AB54" s="47">
        <v>1</v>
      </c>
      <c r="AC54" s="49"/>
      <c r="AD54" s="49"/>
      <c r="AE54" s="47">
        <v>1</v>
      </c>
      <c r="AF54" s="47">
        <v>1</v>
      </c>
      <c r="AG54" s="47"/>
      <c r="AH54" s="48"/>
      <c r="AI54" s="48"/>
      <c r="AJ54" s="48"/>
      <c r="AK54" s="49"/>
      <c r="AL54" s="49"/>
      <c r="AM54" s="48"/>
      <c r="AN54" s="48"/>
      <c r="AO54" s="48"/>
      <c r="AP54" s="48"/>
      <c r="AQ54" s="48"/>
      <c r="AR54" s="48"/>
      <c r="AS54" s="48"/>
      <c r="AT54" s="48"/>
      <c r="AU54" s="1">
        <f t="shared" si="1"/>
        <v>16</v>
      </c>
    </row>
    <row r="55" spans="1:47">
      <c r="B55" s="23">
        <v>10</v>
      </c>
      <c r="C55" s="11" t="s">
        <v>261</v>
      </c>
      <c r="D55" s="11" t="s">
        <v>101</v>
      </c>
      <c r="E55" s="50">
        <v>1</v>
      </c>
      <c r="F55" s="50">
        <v>1</v>
      </c>
      <c r="G55" s="50">
        <v>1</v>
      </c>
      <c r="H55" s="50">
        <v>1</v>
      </c>
      <c r="I55" s="50">
        <v>1</v>
      </c>
      <c r="J55" s="50">
        <v>1</v>
      </c>
      <c r="K55" s="52"/>
      <c r="L55" s="52"/>
      <c r="M55" s="50">
        <v>1</v>
      </c>
      <c r="N55" s="50">
        <v>1</v>
      </c>
      <c r="O55" s="50">
        <v>1</v>
      </c>
      <c r="P55" s="50">
        <v>1</v>
      </c>
      <c r="Q55" s="50">
        <v>1</v>
      </c>
      <c r="R55" s="50">
        <v>1</v>
      </c>
      <c r="S55" s="50">
        <v>1</v>
      </c>
      <c r="T55" s="52"/>
      <c r="U55" s="52"/>
      <c r="V55" s="50">
        <v>1</v>
      </c>
      <c r="W55" s="50">
        <v>0</v>
      </c>
      <c r="X55" s="50">
        <v>1</v>
      </c>
      <c r="Y55" s="50">
        <v>1</v>
      </c>
      <c r="Z55" s="50">
        <v>1</v>
      </c>
      <c r="AA55" s="50">
        <v>1</v>
      </c>
      <c r="AB55" s="50">
        <v>1</v>
      </c>
      <c r="AC55" s="52"/>
      <c r="AD55" s="52"/>
      <c r="AE55" s="50">
        <v>1</v>
      </c>
      <c r="AF55" s="50">
        <v>0</v>
      </c>
      <c r="AG55" s="50"/>
      <c r="AH55" s="51"/>
      <c r="AI55" s="51"/>
      <c r="AJ55" s="51"/>
      <c r="AK55" s="52"/>
      <c r="AL55" s="52"/>
      <c r="AM55" s="51"/>
      <c r="AN55" s="51"/>
      <c r="AO55" s="51"/>
      <c r="AP55" s="51"/>
      <c r="AQ55" s="51"/>
      <c r="AR55" s="51"/>
      <c r="AS55" s="51"/>
      <c r="AT55" s="51"/>
      <c r="AU55" s="1">
        <f t="shared" si="1"/>
        <v>16</v>
      </c>
    </row>
    <row r="56" spans="1:47">
      <c r="B56" s="23">
        <v>11</v>
      </c>
      <c r="C56" s="11" t="s">
        <v>262</v>
      </c>
      <c r="D56" s="11" t="s">
        <v>101</v>
      </c>
      <c r="E56" s="87">
        <v>0</v>
      </c>
      <c r="F56" s="87">
        <v>0</v>
      </c>
      <c r="G56" s="87">
        <v>0</v>
      </c>
      <c r="H56" s="87">
        <v>0</v>
      </c>
      <c r="I56" s="50">
        <v>1</v>
      </c>
      <c r="J56" s="50">
        <v>1</v>
      </c>
      <c r="K56" s="52"/>
      <c r="L56" s="52"/>
      <c r="M56" s="50">
        <v>1</v>
      </c>
      <c r="N56" s="50">
        <v>1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2"/>
      <c r="U56" s="52"/>
      <c r="V56" s="50">
        <v>1</v>
      </c>
      <c r="W56" s="50">
        <v>1</v>
      </c>
      <c r="X56" s="50">
        <v>1</v>
      </c>
      <c r="Y56" s="50">
        <v>0</v>
      </c>
      <c r="Z56" s="50">
        <v>0</v>
      </c>
      <c r="AA56" s="50">
        <v>0</v>
      </c>
      <c r="AB56" s="50">
        <v>0</v>
      </c>
      <c r="AC56" s="52"/>
      <c r="AD56" s="52"/>
      <c r="AE56" s="50">
        <v>0</v>
      </c>
      <c r="AF56" s="50">
        <v>0</v>
      </c>
      <c r="AG56" s="50"/>
      <c r="AH56" s="51"/>
      <c r="AI56" s="51"/>
      <c r="AJ56" s="51"/>
      <c r="AK56" s="52"/>
      <c r="AL56" s="52"/>
      <c r="AM56" s="51"/>
      <c r="AN56" s="51"/>
      <c r="AO56" s="51"/>
      <c r="AP56" s="51"/>
      <c r="AQ56" s="51"/>
      <c r="AR56" s="51"/>
      <c r="AS56" s="51"/>
      <c r="AT56" s="51"/>
      <c r="AU56" s="1">
        <f t="shared" si="1"/>
        <v>7</v>
      </c>
    </row>
    <row r="57" spans="1:47">
      <c r="B57" s="23">
        <v>12</v>
      </c>
      <c r="C57" s="11" t="s">
        <v>263</v>
      </c>
      <c r="D57" s="11" t="s">
        <v>101</v>
      </c>
      <c r="E57" s="87">
        <v>0</v>
      </c>
      <c r="F57" s="50">
        <v>1</v>
      </c>
      <c r="G57" s="50">
        <v>1</v>
      </c>
      <c r="H57" s="50">
        <v>1</v>
      </c>
      <c r="I57" s="50">
        <v>1</v>
      </c>
      <c r="J57" s="50">
        <v>0</v>
      </c>
      <c r="K57" s="52"/>
      <c r="L57" s="52"/>
      <c r="M57" s="50">
        <v>0</v>
      </c>
      <c r="N57" s="50">
        <v>1</v>
      </c>
      <c r="O57" s="50">
        <v>1</v>
      </c>
      <c r="P57" s="50">
        <v>1</v>
      </c>
      <c r="Q57" s="50">
        <v>1</v>
      </c>
      <c r="R57" s="50">
        <v>1</v>
      </c>
      <c r="S57" s="50">
        <v>1</v>
      </c>
      <c r="T57" s="52"/>
      <c r="U57" s="52"/>
      <c r="V57" s="50">
        <v>1</v>
      </c>
      <c r="W57" s="50">
        <v>1</v>
      </c>
      <c r="X57" s="50">
        <v>1</v>
      </c>
      <c r="Y57" s="50">
        <v>1</v>
      </c>
      <c r="Z57" s="50">
        <v>1</v>
      </c>
      <c r="AA57" s="50">
        <v>1</v>
      </c>
      <c r="AB57" s="50">
        <v>1</v>
      </c>
      <c r="AC57" s="52"/>
      <c r="AD57" s="52"/>
      <c r="AE57" s="50">
        <v>1</v>
      </c>
      <c r="AF57" s="50">
        <v>1</v>
      </c>
      <c r="AG57" s="50"/>
      <c r="AH57" s="51"/>
      <c r="AI57" s="51"/>
      <c r="AJ57" s="51"/>
      <c r="AK57" s="52"/>
      <c r="AL57" s="52"/>
      <c r="AM57" s="51"/>
      <c r="AN57" s="51"/>
      <c r="AO57" s="51"/>
      <c r="AP57" s="51"/>
      <c r="AQ57" s="51"/>
      <c r="AR57" s="51"/>
      <c r="AS57" s="51"/>
      <c r="AT57" s="51"/>
      <c r="AU57" s="1">
        <f t="shared" si="1"/>
        <v>16</v>
      </c>
    </row>
    <row r="58" spans="1:47">
      <c r="B58" s="23">
        <v>13</v>
      </c>
      <c r="C58" s="11" t="s">
        <v>264</v>
      </c>
      <c r="D58" s="11" t="s">
        <v>101</v>
      </c>
      <c r="E58" s="50">
        <v>1</v>
      </c>
      <c r="F58" s="50">
        <v>1</v>
      </c>
      <c r="G58" s="50">
        <v>1</v>
      </c>
      <c r="H58" s="50">
        <v>0</v>
      </c>
      <c r="I58" s="50">
        <v>1</v>
      </c>
      <c r="J58" s="50">
        <v>1</v>
      </c>
      <c r="K58" s="52"/>
      <c r="L58" s="52"/>
      <c r="M58" s="50">
        <v>1</v>
      </c>
      <c r="N58" s="50">
        <v>1</v>
      </c>
      <c r="O58" s="50">
        <v>1</v>
      </c>
      <c r="P58" s="50">
        <v>1</v>
      </c>
      <c r="Q58" s="50">
        <v>1</v>
      </c>
      <c r="R58" s="50">
        <v>1</v>
      </c>
      <c r="S58" s="50">
        <v>1</v>
      </c>
      <c r="T58" s="52"/>
      <c r="U58" s="52"/>
      <c r="V58" s="50">
        <v>1</v>
      </c>
      <c r="W58" s="50">
        <v>0</v>
      </c>
      <c r="X58" s="50">
        <v>1</v>
      </c>
      <c r="Y58" s="50">
        <v>1</v>
      </c>
      <c r="Z58" s="50">
        <v>1</v>
      </c>
      <c r="AA58" s="50">
        <v>0</v>
      </c>
      <c r="AB58" s="50">
        <v>1</v>
      </c>
      <c r="AC58" s="52"/>
      <c r="AD58" s="52"/>
      <c r="AE58" s="50">
        <v>1</v>
      </c>
      <c r="AF58" s="50">
        <v>1</v>
      </c>
      <c r="AG58" s="50"/>
      <c r="AH58" s="51"/>
      <c r="AI58" s="51"/>
      <c r="AJ58" s="51"/>
      <c r="AK58" s="52"/>
      <c r="AL58" s="52"/>
      <c r="AM58" s="51"/>
      <c r="AN58" s="51"/>
      <c r="AO58" s="51"/>
      <c r="AP58" s="51"/>
      <c r="AQ58" s="51"/>
      <c r="AR58" s="51"/>
      <c r="AS58" s="51"/>
      <c r="AT58" s="51"/>
      <c r="AU58" s="1">
        <f t="shared" si="1"/>
        <v>16</v>
      </c>
    </row>
    <row r="59" spans="1:47">
      <c r="B59" s="23">
        <v>14</v>
      </c>
      <c r="C59" s="11" t="s">
        <v>102</v>
      </c>
      <c r="D59" s="11" t="s">
        <v>103</v>
      </c>
      <c r="E59" s="87">
        <v>0</v>
      </c>
      <c r="F59" s="50">
        <v>1</v>
      </c>
      <c r="G59" s="50">
        <v>1</v>
      </c>
      <c r="H59" s="50">
        <v>1</v>
      </c>
      <c r="I59" s="50">
        <v>1</v>
      </c>
      <c r="J59" s="50">
        <v>0</v>
      </c>
      <c r="K59" s="52"/>
      <c r="L59" s="52"/>
      <c r="M59" s="50">
        <v>1</v>
      </c>
      <c r="N59" s="50">
        <v>1</v>
      </c>
      <c r="O59" s="50">
        <v>1</v>
      </c>
      <c r="P59" s="50">
        <v>1</v>
      </c>
      <c r="Q59" s="50">
        <v>1</v>
      </c>
      <c r="R59" s="50">
        <v>1</v>
      </c>
      <c r="S59" s="50">
        <v>1</v>
      </c>
      <c r="T59" s="52"/>
      <c r="U59" s="52"/>
      <c r="V59" s="50">
        <v>1</v>
      </c>
      <c r="W59" s="50">
        <v>1</v>
      </c>
      <c r="X59" s="50">
        <v>0</v>
      </c>
      <c r="Y59" s="50">
        <v>1</v>
      </c>
      <c r="Z59" s="50">
        <v>1</v>
      </c>
      <c r="AA59" s="50">
        <v>1</v>
      </c>
      <c r="AB59" s="50">
        <v>0</v>
      </c>
      <c r="AC59" s="52"/>
      <c r="AD59" s="52"/>
      <c r="AE59" s="50">
        <v>1</v>
      </c>
      <c r="AF59" s="50">
        <v>1</v>
      </c>
      <c r="AG59" s="50"/>
      <c r="AH59" s="51"/>
      <c r="AI59" s="51"/>
      <c r="AJ59" s="51"/>
      <c r="AK59" s="52"/>
      <c r="AL59" s="52"/>
      <c r="AM59" s="51"/>
      <c r="AN59" s="51"/>
      <c r="AO59" s="51"/>
      <c r="AP59" s="51"/>
      <c r="AQ59" s="51"/>
      <c r="AR59" s="51"/>
      <c r="AS59" s="51"/>
      <c r="AT59" s="51"/>
      <c r="AU59" s="1">
        <f t="shared" si="1"/>
        <v>15</v>
      </c>
    </row>
    <row r="60" spans="1:47">
      <c r="B60" s="23">
        <v>15</v>
      </c>
      <c r="C60" s="11" t="s">
        <v>265</v>
      </c>
      <c r="D60" s="11" t="s">
        <v>103</v>
      </c>
      <c r="E60" s="87">
        <v>0</v>
      </c>
      <c r="F60" s="50">
        <v>1</v>
      </c>
      <c r="G60" s="50">
        <v>1</v>
      </c>
      <c r="H60" s="50">
        <v>1</v>
      </c>
      <c r="I60" s="50">
        <v>1</v>
      </c>
      <c r="J60" s="50">
        <v>0</v>
      </c>
      <c r="K60" s="52"/>
      <c r="L60" s="52"/>
      <c r="M60" s="50">
        <v>1</v>
      </c>
      <c r="N60" s="50">
        <v>1</v>
      </c>
      <c r="O60" s="50">
        <v>1</v>
      </c>
      <c r="P60" s="50">
        <v>1</v>
      </c>
      <c r="Q60" s="50">
        <v>1</v>
      </c>
      <c r="R60" s="50">
        <v>1</v>
      </c>
      <c r="S60" s="50">
        <v>1</v>
      </c>
      <c r="T60" s="52"/>
      <c r="U60" s="52"/>
      <c r="V60" s="50">
        <v>1</v>
      </c>
      <c r="W60" s="50">
        <v>0</v>
      </c>
      <c r="X60" s="50">
        <v>1</v>
      </c>
      <c r="Y60" s="50">
        <v>1</v>
      </c>
      <c r="Z60" s="50">
        <v>1</v>
      </c>
      <c r="AA60" s="50">
        <v>1</v>
      </c>
      <c r="AB60" s="50">
        <v>1</v>
      </c>
      <c r="AC60" s="52"/>
      <c r="AD60" s="52"/>
      <c r="AE60" s="50">
        <v>1</v>
      </c>
      <c r="AF60" s="50">
        <v>1</v>
      </c>
      <c r="AG60" s="50"/>
      <c r="AH60" s="51"/>
      <c r="AI60" s="51"/>
      <c r="AJ60" s="51"/>
      <c r="AK60" s="52"/>
      <c r="AL60" s="52"/>
      <c r="AM60" s="51"/>
      <c r="AN60" s="51"/>
      <c r="AO60" s="51"/>
      <c r="AP60" s="51"/>
      <c r="AQ60" s="51"/>
      <c r="AR60" s="51"/>
      <c r="AS60" s="51"/>
      <c r="AT60" s="51"/>
      <c r="AU60" s="1">
        <f t="shared" si="1"/>
        <v>16</v>
      </c>
    </row>
    <row r="61" spans="1:47">
      <c r="B61" s="23">
        <v>16</v>
      </c>
      <c r="C61" s="11" t="s">
        <v>266</v>
      </c>
      <c r="D61" s="11" t="s">
        <v>88</v>
      </c>
      <c r="E61" s="87">
        <v>0</v>
      </c>
      <c r="F61" s="87">
        <v>0</v>
      </c>
      <c r="G61" s="50">
        <v>1</v>
      </c>
      <c r="H61" s="50">
        <v>1</v>
      </c>
      <c r="I61" s="50">
        <v>1</v>
      </c>
      <c r="J61" s="50">
        <v>1</v>
      </c>
      <c r="K61" s="52"/>
      <c r="L61" s="52"/>
      <c r="M61" s="50">
        <v>1</v>
      </c>
      <c r="N61" s="50">
        <v>1</v>
      </c>
      <c r="O61" s="50">
        <v>1</v>
      </c>
      <c r="P61" s="50">
        <v>1</v>
      </c>
      <c r="Q61" s="50">
        <v>1</v>
      </c>
      <c r="R61" s="50">
        <v>1</v>
      </c>
      <c r="S61" s="50">
        <v>1</v>
      </c>
      <c r="T61" s="52"/>
      <c r="U61" s="52"/>
      <c r="V61" s="50">
        <v>1</v>
      </c>
      <c r="W61" s="50">
        <v>1</v>
      </c>
      <c r="X61" s="50">
        <v>0</v>
      </c>
      <c r="Y61" s="50">
        <v>1</v>
      </c>
      <c r="Z61" s="50">
        <v>1</v>
      </c>
      <c r="AA61" s="50">
        <v>1</v>
      </c>
      <c r="AB61" s="50">
        <v>1</v>
      </c>
      <c r="AC61" s="52"/>
      <c r="AD61" s="52"/>
      <c r="AE61" s="50">
        <v>1</v>
      </c>
      <c r="AF61" s="50">
        <v>1</v>
      </c>
      <c r="AG61" s="50"/>
      <c r="AH61" s="51"/>
      <c r="AI61" s="51"/>
      <c r="AJ61" s="51"/>
      <c r="AK61" s="52"/>
      <c r="AL61" s="52"/>
      <c r="AM61" s="51"/>
      <c r="AN61" s="51"/>
      <c r="AO61" s="51"/>
      <c r="AP61" s="51"/>
      <c r="AQ61" s="51"/>
      <c r="AR61" s="51"/>
      <c r="AS61" s="51"/>
      <c r="AT61" s="51"/>
      <c r="AU61" s="1">
        <f t="shared" si="1"/>
        <v>17</v>
      </c>
    </row>
    <row r="62" spans="1:47">
      <c r="B62" s="23">
        <v>17</v>
      </c>
      <c r="C62" s="11" t="s">
        <v>267</v>
      </c>
      <c r="D62" s="11" t="s">
        <v>88</v>
      </c>
      <c r="E62" s="87">
        <v>0</v>
      </c>
      <c r="F62" s="87">
        <v>0</v>
      </c>
      <c r="G62" s="87">
        <v>0</v>
      </c>
      <c r="H62" s="87">
        <v>0</v>
      </c>
      <c r="I62" s="87">
        <v>0</v>
      </c>
      <c r="J62" s="87">
        <v>0</v>
      </c>
      <c r="K62" s="87"/>
      <c r="L62" s="87"/>
      <c r="M62" s="87">
        <v>0</v>
      </c>
      <c r="N62" s="50">
        <v>1</v>
      </c>
      <c r="O62" s="50">
        <v>0</v>
      </c>
      <c r="P62" s="50">
        <v>0</v>
      </c>
      <c r="Q62" s="50">
        <v>1</v>
      </c>
      <c r="R62" s="50">
        <v>1</v>
      </c>
      <c r="S62" s="50">
        <v>1</v>
      </c>
      <c r="T62" s="52"/>
      <c r="U62" s="52"/>
      <c r="V62" s="50">
        <v>0</v>
      </c>
      <c r="W62" s="50">
        <v>1</v>
      </c>
      <c r="X62" s="50">
        <v>1</v>
      </c>
      <c r="Y62" s="50">
        <v>1</v>
      </c>
      <c r="Z62" s="50">
        <v>1</v>
      </c>
      <c r="AA62" s="50">
        <v>1</v>
      </c>
      <c r="AB62" s="50">
        <v>1</v>
      </c>
      <c r="AC62" s="52"/>
      <c r="AD62" s="52"/>
      <c r="AE62" s="50">
        <v>1</v>
      </c>
      <c r="AF62" s="50">
        <v>1</v>
      </c>
      <c r="AG62" s="50"/>
      <c r="AH62" s="51"/>
      <c r="AI62" s="51"/>
      <c r="AJ62" s="51"/>
      <c r="AK62" s="52"/>
      <c r="AL62" s="52"/>
      <c r="AM62" s="51"/>
      <c r="AN62" s="51"/>
      <c r="AO62" s="51"/>
      <c r="AP62" s="51"/>
      <c r="AQ62" s="51"/>
      <c r="AR62" s="51"/>
      <c r="AS62" s="51"/>
      <c r="AT62" s="51"/>
      <c r="AU62" s="1">
        <f>SUM(I62:AT62)</f>
        <v>12</v>
      </c>
    </row>
    <row r="63" spans="1:47" ht="19.5">
      <c r="B63" s="68">
        <v>17</v>
      </c>
      <c r="C63" s="12" t="s">
        <v>70</v>
      </c>
      <c r="D63" s="7"/>
      <c r="E63" s="8">
        <f t="shared" ref="E63:Y63" si="6">COUNTIF(E46:E62,"1")</f>
        <v>10</v>
      </c>
      <c r="F63" s="8">
        <f t="shared" si="6"/>
        <v>13</v>
      </c>
      <c r="G63" s="8">
        <f t="shared" si="6"/>
        <v>13</v>
      </c>
      <c r="H63" s="8">
        <f t="shared" si="6"/>
        <v>11</v>
      </c>
      <c r="I63" s="8">
        <f t="shared" si="6"/>
        <v>15</v>
      </c>
      <c r="J63" s="8">
        <f t="shared" si="6"/>
        <v>12</v>
      </c>
      <c r="K63" s="8">
        <f t="shared" si="6"/>
        <v>0</v>
      </c>
      <c r="L63" s="8">
        <f t="shared" si="6"/>
        <v>0</v>
      </c>
      <c r="M63" s="8">
        <f t="shared" si="6"/>
        <v>11</v>
      </c>
      <c r="N63" s="8">
        <f t="shared" si="6"/>
        <v>15</v>
      </c>
      <c r="O63" s="8">
        <f t="shared" si="6"/>
        <v>15</v>
      </c>
      <c r="P63" s="8">
        <f t="shared" si="6"/>
        <v>14</v>
      </c>
      <c r="Q63" s="8">
        <f t="shared" si="6"/>
        <v>15</v>
      </c>
      <c r="R63" s="8">
        <f t="shared" si="6"/>
        <v>16</v>
      </c>
      <c r="S63" s="8">
        <f t="shared" si="6"/>
        <v>15</v>
      </c>
      <c r="T63" s="8">
        <f t="shared" si="6"/>
        <v>0</v>
      </c>
      <c r="U63" s="8">
        <f t="shared" si="6"/>
        <v>0</v>
      </c>
      <c r="V63" s="8">
        <f t="shared" si="6"/>
        <v>15</v>
      </c>
      <c r="W63" s="8">
        <f t="shared" si="6"/>
        <v>13</v>
      </c>
      <c r="X63" s="8">
        <f t="shared" si="6"/>
        <v>12</v>
      </c>
      <c r="Y63" s="8">
        <f t="shared" si="6"/>
        <v>15</v>
      </c>
      <c r="Z63" s="8">
        <f>COUNTIF(Z46:Z62,"1")</f>
        <v>14</v>
      </c>
      <c r="AA63" s="8">
        <f>COUNTIF(AA46:AA62,"1")</f>
        <v>13</v>
      </c>
      <c r="AB63" s="8">
        <f t="shared" ref="AB63" si="7">COUNTIF(AB46:AB62,"1")</f>
        <v>12</v>
      </c>
      <c r="AC63" s="8">
        <f t="shared" ref="AC63" si="8">COUNTIF(AC46:AC62,"1")</f>
        <v>0</v>
      </c>
      <c r="AD63" s="8">
        <f t="shared" ref="AD63" si="9">COUNTIF(AD46:AD62,"1")</f>
        <v>0</v>
      </c>
      <c r="AE63" s="8">
        <f t="shared" ref="AE63" si="10">COUNTIF(AE46:AE62,"1")</f>
        <v>16</v>
      </c>
      <c r="AF63" s="8">
        <f t="shared" ref="AF63" si="11">COUNTIF(AF46:AF62,"1")</f>
        <v>12</v>
      </c>
      <c r="AG63" s="8">
        <f t="shared" ref="AG63" si="12">COUNTIF(AG46:AG62,"1")</f>
        <v>0</v>
      </c>
      <c r="AH63" s="8">
        <f t="shared" ref="AH63" si="13">COUNTIF(AH46:AH62,"1")</f>
        <v>0</v>
      </c>
      <c r="AI63" s="8">
        <f t="shared" ref="AI63" si="14">COUNTIF(AI46:AI62,"1")</f>
        <v>0</v>
      </c>
      <c r="AJ63" s="8">
        <f t="shared" ref="AJ63" si="15">COUNTIF(AJ46:AJ62,"1")</f>
        <v>0</v>
      </c>
      <c r="AK63" s="8">
        <f t="shared" ref="AK63" si="16">COUNTIF(AK46:AK62,"1")</f>
        <v>0</v>
      </c>
      <c r="AL63" s="8">
        <f t="shared" ref="AL63" si="17">COUNTIF(AL46:AL62,"1")</f>
        <v>0</v>
      </c>
      <c r="AM63" s="8">
        <f t="shared" ref="AM63" si="18">COUNTIF(AM46:AM62,"1")</f>
        <v>0</v>
      </c>
      <c r="AN63" s="8">
        <f t="shared" ref="AN63" si="19">COUNTIF(AN46:AN62,"1")</f>
        <v>0</v>
      </c>
      <c r="AO63" s="8">
        <f t="shared" ref="AO63" si="20">COUNTIF(AO46:AO62,"1")</f>
        <v>0</v>
      </c>
      <c r="AP63" s="8">
        <f t="shared" ref="AP63" si="21">COUNTIF(AP46:AP62,"1")</f>
        <v>0</v>
      </c>
      <c r="AQ63" s="8">
        <f t="shared" ref="AQ63" si="22">COUNTIF(AQ46:AQ62,"1")</f>
        <v>0</v>
      </c>
      <c r="AR63" s="8">
        <f t="shared" ref="AR63" si="23">COUNTIF(AR46:AR62,"1")</f>
        <v>0</v>
      </c>
      <c r="AS63" s="8">
        <f t="shared" ref="AS63" si="24">COUNTIF(AS46:AS62,"1")</f>
        <v>0</v>
      </c>
      <c r="AT63" s="8">
        <f t="shared" ref="AT63" si="25">COUNTIF(AT46:AT62,"1")</f>
        <v>0</v>
      </c>
      <c r="AU63" s="81">
        <f>SUM(AU46:AU61)</f>
        <v>238</v>
      </c>
    </row>
    <row r="65" spans="1:45" ht="15" customHeight="1">
      <c r="C65" s="68">
        <f>SUM(B23+B42+B63)</f>
        <v>48</v>
      </c>
      <c r="E65">
        <f>SUM(E63+E42+E23)</f>
        <v>29</v>
      </c>
      <c r="F65">
        <f>SUM(F63+F42+F23)</f>
        <v>36</v>
      </c>
      <c r="G65">
        <f>SUM(G63+G42+G23)</f>
        <v>33</v>
      </c>
      <c r="H65">
        <f>SUM(H63+H42+H23)</f>
        <v>31</v>
      </c>
      <c r="I65">
        <f>SUM(I63+I42+I23)</f>
        <v>36</v>
      </c>
      <c r="J65">
        <f>SUM(J63+J42+J23)</f>
        <v>33</v>
      </c>
      <c r="K65">
        <f>SUM(K63+K42+K23)</f>
        <v>0</v>
      </c>
      <c r="L65">
        <f>SUM(L63+L42+L23)</f>
        <v>0</v>
      </c>
      <c r="M65">
        <f>SUM(M63+M42+M23)</f>
        <v>34</v>
      </c>
      <c r="N65">
        <f>SUM(N63+N42+N23)</f>
        <v>38</v>
      </c>
      <c r="O65">
        <f>SUM(O63+O42+O23)</f>
        <v>39</v>
      </c>
      <c r="P65">
        <f>SUM(P63+P42+P23)</f>
        <v>34</v>
      </c>
      <c r="Q65">
        <f>SUM(Q63+Q42+Q23)</f>
        <v>42</v>
      </c>
      <c r="R65">
        <f>SUM(R63+R42+R23)</f>
        <v>36</v>
      </c>
      <c r="S65">
        <f>SUM(S63+S42+S23)</f>
        <v>34</v>
      </c>
      <c r="T65">
        <f>SUM(T63+T42+T23)</f>
        <v>0</v>
      </c>
      <c r="U65">
        <f>SUM(U63+U42+U23)</f>
        <v>0</v>
      </c>
      <c r="V65">
        <f>SUM(V63+V42+V23)</f>
        <v>37</v>
      </c>
      <c r="W65">
        <f>SUM(W63+W42+W23)</f>
        <v>38</v>
      </c>
      <c r="X65">
        <f>SUM(X63+X42+X23)</f>
        <v>35</v>
      </c>
      <c r="Y65">
        <f>SUM(Y63+Y42+Y23)</f>
        <v>39</v>
      </c>
      <c r="Z65">
        <f>SUM(Z63+Z42+Z23)</f>
        <v>43</v>
      </c>
      <c r="AA65">
        <f>SUM(AA63+AA42+AA23)</f>
        <v>38</v>
      </c>
      <c r="AB65">
        <f>SUM(AB63+AB42+AB23)</f>
        <v>36</v>
      </c>
      <c r="AC65">
        <f>SUM(AC63+AC42+AC23)</f>
        <v>0</v>
      </c>
      <c r="AD65">
        <f>SUM(AD63+AD42+AD23)</f>
        <v>5</v>
      </c>
      <c r="AE65">
        <f>SUM(AE63+AE42+AE23)</f>
        <v>44</v>
      </c>
      <c r="AF65">
        <f>SUM(AF63+AF42+AF23)</f>
        <v>34</v>
      </c>
      <c r="AG65">
        <f>SUM(AG63+AG42+AG23)</f>
        <v>25</v>
      </c>
      <c r="AH65">
        <f>SUM(AH63+AH42+AH23)</f>
        <v>0</v>
      </c>
      <c r="AI65">
        <f>SUM(AI63+AI42+AI23)</f>
        <v>0</v>
      </c>
      <c r="AJ65">
        <f>SUM(AJ63+AJ42+AJ23)</f>
        <v>0</v>
      </c>
      <c r="AK65">
        <f>SUM(AK63+AK42+AK23)</f>
        <v>0</v>
      </c>
      <c r="AL65">
        <f>SUM(AL63+AL42+AL23)</f>
        <v>0</v>
      </c>
      <c r="AM65">
        <f>SUM(AM63+AM42+AM23)</f>
        <v>0</v>
      </c>
      <c r="AN65">
        <f>SUM(AN63+AN42+AN23)</f>
        <v>0</v>
      </c>
      <c r="AO65">
        <f>SUM(AO63+AO42+AO23)</f>
        <v>0</v>
      </c>
      <c r="AP65">
        <f>SUM(AP63+AP42+AP23)</f>
        <v>0</v>
      </c>
      <c r="AQ65">
        <f>SUM(AQ63+AQ42+AQ23)</f>
        <v>0</v>
      </c>
      <c r="AR65">
        <f>SUM(AR63+AR42+AR23)</f>
        <v>0</v>
      </c>
      <c r="AS65">
        <f>SUM(AS63+AS42+AS23)</f>
        <v>0</v>
      </c>
    </row>
    <row r="67" spans="1:45" ht="15" customHeight="1">
      <c r="A67"/>
      <c r="B67"/>
    </row>
    <row r="69" spans="1:45" ht="15" customHeight="1">
      <c r="AR69" s="1"/>
    </row>
  </sheetData>
  <sortState xmlns:xlrd2="http://schemas.microsoft.com/office/spreadsheetml/2017/richdata2" ref="C33:O40">
    <sortCondition ref="D33:D40"/>
  </sortState>
  <mergeCells count="131">
    <mergeCell ref="AQ43:AQ44"/>
    <mergeCell ref="AR43:AR44"/>
    <mergeCell ref="AS43:AS44"/>
    <mergeCell ref="AT43:AT44"/>
    <mergeCell ref="AQ4:AQ5"/>
    <mergeCell ref="AR4:AR5"/>
    <mergeCell ref="AS4:AS5"/>
    <mergeCell ref="AT4:AT5"/>
    <mergeCell ref="AQ24:AQ25"/>
    <mergeCell ref="AR24:AR25"/>
    <mergeCell ref="AS24:AS25"/>
    <mergeCell ref="AT24:AT25"/>
    <mergeCell ref="U4:U5"/>
    <mergeCell ref="V4:V5"/>
    <mergeCell ref="W4:W5"/>
    <mergeCell ref="X4:X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E4:E5"/>
    <mergeCell ref="F4:F5"/>
    <mergeCell ref="G4:G5"/>
    <mergeCell ref="H4:H5"/>
    <mergeCell ref="I4:I5"/>
    <mergeCell ref="R43:R44"/>
    <mergeCell ref="S43:S44"/>
    <mergeCell ref="T43:T44"/>
    <mergeCell ref="U43:U44"/>
    <mergeCell ref="I24:I25"/>
    <mergeCell ref="J24:J25"/>
    <mergeCell ref="K24:K25"/>
    <mergeCell ref="L24:L25"/>
    <mergeCell ref="M24:M25"/>
    <mergeCell ref="P4:P5"/>
    <mergeCell ref="Q4:Q5"/>
    <mergeCell ref="R4:R5"/>
    <mergeCell ref="S4:S5"/>
    <mergeCell ref="J4:J5"/>
    <mergeCell ref="K4:K5"/>
    <mergeCell ref="L4:L5"/>
    <mergeCell ref="M4:M5"/>
    <mergeCell ref="N4:N5"/>
    <mergeCell ref="T4:T5"/>
    <mergeCell ref="AP24:AP25"/>
    <mergeCell ref="E43:E44"/>
    <mergeCell ref="F43:F44"/>
    <mergeCell ref="G43:G44"/>
    <mergeCell ref="H43:H44"/>
    <mergeCell ref="I43:I44"/>
    <mergeCell ref="J43:J44"/>
    <mergeCell ref="K43:K44"/>
    <mergeCell ref="L43:L44"/>
    <mergeCell ref="AH24:AH25"/>
    <mergeCell ref="AI24:AI25"/>
    <mergeCell ref="AJ24:AJ25"/>
    <mergeCell ref="AK24:AK25"/>
    <mergeCell ref="AL24:AL25"/>
    <mergeCell ref="AC24:AC25"/>
    <mergeCell ref="AD24:AD25"/>
    <mergeCell ref="AE24:AE25"/>
    <mergeCell ref="AL43:AL44"/>
    <mergeCell ref="AM43:AM44"/>
    <mergeCell ref="AN43:AN44"/>
    <mergeCell ref="AO43:AO44"/>
    <mergeCell ref="W43:W44"/>
    <mergeCell ref="X43:X44"/>
    <mergeCell ref="Y43:Y44"/>
    <mergeCell ref="AN24:AN25"/>
    <mergeCell ref="AO24:AO25"/>
    <mergeCell ref="V43:V44"/>
    <mergeCell ref="M43:M44"/>
    <mergeCell ref="N43:N44"/>
    <mergeCell ref="O43:O44"/>
    <mergeCell ref="P43:P44"/>
    <mergeCell ref="Q43:Q44"/>
    <mergeCell ref="O4:O5"/>
    <mergeCell ref="Z43:Z44"/>
    <mergeCell ref="AA43:AA44"/>
    <mergeCell ref="AI43:AI44"/>
    <mergeCell ref="AJ43:AJ44"/>
    <mergeCell ref="AK43:AK44"/>
    <mergeCell ref="AB43:AB44"/>
    <mergeCell ref="AC43:AC44"/>
    <mergeCell ref="AD43:AD44"/>
    <mergeCell ref="AE43:AE44"/>
    <mergeCell ref="AF43:AF44"/>
    <mergeCell ref="Y4:Y5"/>
    <mergeCell ref="Z4:Z5"/>
    <mergeCell ref="AA4:AA5"/>
    <mergeCell ref="AB4:AB5"/>
    <mergeCell ref="AC4:AC5"/>
    <mergeCell ref="AG43:AG44"/>
    <mergeCell ref="AH43:AH44"/>
    <mergeCell ref="W24:W25"/>
    <mergeCell ref="N24:N25"/>
    <mergeCell ref="O24:O25"/>
    <mergeCell ref="P24:P25"/>
    <mergeCell ref="Q24:Q25"/>
    <mergeCell ref="R24:R25"/>
    <mergeCell ref="AM24:AM25"/>
    <mergeCell ref="A14:A22"/>
    <mergeCell ref="A27:A34"/>
    <mergeCell ref="A46:A53"/>
    <mergeCell ref="C1:AP3"/>
    <mergeCell ref="AN4:AN5"/>
    <mergeCell ref="AO4:AO5"/>
    <mergeCell ref="AP4:AP5"/>
    <mergeCell ref="A6:A13"/>
    <mergeCell ref="E24:E25"/>
    <mergeCell ref="F24:F25"/>
    <mergeCell ref="G24:G25"/>
    <mergeCell ref="H24:H25"/>
    <mergeCell ref="Z24:Z25"/>
    <mergeCell ref="AA24:AA25"/>
    <mergeCell ref="AB24:AB25"/>
    <mergeCell ref="S24:S25"/>
    <mergeCell ref="T24:T25"/>
    <mergeCell ref="U24:U25"/>
    <mergeCell ref="V24:V25"/>
    <mergeCell ref="AF24:AF25"/>
    <mergeCell ref="AG24:AG25"/>
    <mergeCell ref="X24:X25"/>
    <mergeCell ref="Y24:Y25"/>
    <mergeCell ref="AP43:AP44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7373-9925-4433-9AB4-53B7E24D5271}">
  <sheetPr>
    <tabColor theme="4" tint="-0.499984740745262"/>
    <pageSetUpPr fitToPage="1"/>
  </sheetPr>
  <dimension ref="A1:AU85"/>
  <sheetViews>
    <sheetView topLeftCell="H42" workbookViewId="0">
      <selection activeCell="C49" sqref="C49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34" style="4" bestFit="1" customWidth="1"/>
    <col min="4" max="4" width="4.28515625" style="4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7" ht="14.45" customHeight="1">
      <c r="C1" s="101" t="s">
        <v>268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7" ht="21" customHeight="1">
      <c r="B4" s="22"/>
      <c r="C4" s="13"/>
      <c r="D4" s="13"/>
      <c r="E4" s="99">
        <v>45913</v>
      </c>
      <c r="F4" s="99">
        <f>E4+7</f>
        <v>45920</v>
      </c>
      <c r="G4" s="99">
        <f t="shared" ref="G4:AT4" si="0">F4+7</f>
        <v>45927</v>
      </c>
      <c r="H4" s="99">
        <f t="shared" si="0"/>
        <v>45934</v>
      </c>
      <c r="I4" s="99">
        <f t="shared" si="0"/>
        <v>45941</v>
      </c>
      <c r="J4" s="99">
        <f t="shared" si="0"/>
        <v>45948</v>
      </c>
      <c r="K4" s="99">
        <f t="shared" si="0"/>
        <v>45955</v>
      </c>
      <c r="L4" s="99">
        <f t="shared" si="0"/>
        <v>45962</v>
      </c>
      <c r="M4" s="99">
        <f t="shared" si="0"/>
        <v>45969</v>
      </c>
      <c r="N4" s="99">
        <f t="shared" si="0"/>
        <v>45976</v>
      </c>
      <c r="O4" s="99">
        <f t="shared" si="0"/>
        <v>45983</v>
      </c>
      <c r="P4" s="99">
        <f t="shared" si="0"/>
        <v>45990</v>
      </c>
      <c r="Q4" s="99">
        <f t="shared" si="0"/>
        <v>45997</v>
      </c>
      <c r="R4" s="99">
        <f t="shared" si="0"/>
        <v>46004</v>
      </c>
      <c r="S4" s="99">
        <f t="shared" si="0"/>
        <v>46011</v>
      </c>
      <c r="T4" s="99">
        <f t="shared" si="0"/>
        <v>46018</v>
      </c>
      <c r="U4" s="99">
        <f t="shared" si="0"/>
        <v>46025</v>
      </c>
      <c r="V4" s="99">
        <f t="shared" si="0"/>
        <v>46032</v>
      </c>
      <c r="W4" s="99">
        <f t="shared" si="0"/>
        <v>46039</v>
      </c>
      <c r="X4" s="99">
        <f t="shared" si="0"/>
        <v>46046</v>
      </c>
      <c r="Y4" s="99">
        <f t="shared" si="0"/>
        <v>46053</v>
      </c>
      <c r="Z4" s="99">
        <f t="shared" si="0"/>
        <v>46060</v>
      </c>
      <c r="AA4" s="99">
        <f t="shared" si="0"/>
        <v>46067</v>
      </c>
      <c r="AB4" s="99">
        <f t="shared" si="0"/>
        <v>46074</v>
      </c>
      <c r="AC4" s="99">
        <f t="shared" si="0"/>
        <v>46081</v>
      </c>
      <c r="AD4" s="99">
        <f t="shared" si="0"/>
        <v>46088</v>
      </c>
      <c r="AE4" s="99">
        <f t="shared" si="0"/>
        <v>46095</v>
      </c>
      <c r="AF4" s="99">
        <f t="shared" si="0"/>
        <v>46102</v>
      </c>
      <c r="AG4" s="99">
        <f t="shared" si="0"/>
        <v>46109</v>
      </c>
      <c r="AH4" s="99">
        <f t="shared" si="0"/>
        <v>46116</v>
      </c>
      <c r="AI4" s="99">
        <f t="shared" si="0"/>
        <v>46123</v>
      </c>
      <c r="AJ4" s="99">
        <f t="shared" si="0"/>
        <v>46130</v>
      </c>
      <c r="AK4" s="99">
        <f t="shared" si="0"/>
        <v>46137</v>
      </c>
      <c r="AL4" s="99">
        <f t="shared" si="0"/>
        <v>46144</v>
      </c>
      <c r="AM4" s="99">
        <f t="shared" si="0"/>
        <v>46151</v>
      </c>
      <c r="AN4" s="99">
        <f t="shared" si="0"/>
        <v>46158</v>
      </c>
      <c r="AO4" s="99">
        <f t="shared" si="0"/>
        <v>46165</v>
      </c>
      <c r="AP4" s="99">
        <f t="shared" si="0"/>
        <v>46172</v>
      </c>
      <c r="AQ4" s="99">
        <f t="shared" si="0"/>
        <v>46179</v>
      </c>
      <c r="AR4" s="99">
        <f t="shared" si="0"/>
        <v>46186</v>
      </c>
      <c r="AS4" s="99">
        <f t="shared" si="0"/>
        <v>46193</v>
      </c>
      <c r="AT4" s="99">
        <f t="shared" si="0"/>
        <v>46200</v>
      </c>
    </row>
    <row r="5" spans="1:47" ht="21" customHeight="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>
        <f>SUM(I6:AT6)</f>
        <v>0</v>
      </c>
    </row>
    <row r="7" spans="1:47">
      <c r="A7" s="102"/>
      <c r="B7" s="23">
        <v>1</v>
      </c>
      <c r="C7" s="33" t="s">
        <v>269</v>
      </c>
      <c r="D7" s="9" t="s">
        <v>110</v>
      </c>
      <c r="E7" s="62">
        <v>1</v>
      </c>
      <c r="F7" s="62">
        <v>1</v>
      </c>
      <c r="G7" s="62">
        <v>1</v>
      </c>
      <c r="H7" s="62">
        <v>1</v>
      </c>
      <c r="I7" s="62">
        <v>0</v>
      </c>
      <c r="J7" s="62"/>
      <c r="K7" s="64"/>
      <c r="L7" s="64"/>
      <c r="M7" s="62">
        <v>1</v>
      </c>
      <c r="N7" s="62">
        <v>1</v>
      </c>
      <c r="O7" s="62">
        <v>0</v>
      </c>
      <c r="P7" s="62">
        <v>0</v>
      </c>
      <c r="Q7" s="79">
        <v>1</v>
      </c>
      <c r="R7" s="62">
        <v>1</v>
      </c>
      <c r="S7" s="62"/>
      <c r="T7" s="64"/>
      <c r="U7" s="64"/>
      <c r="V7" s="62">
        <v>1</v>
      </c>
      <c r="W7" s="62">
        <v>1</v>
      </c>
      <c r="X7" s="62">
        <v>1</v>
      </c>
      <c r="Y7" s="62">
        <v>1</v>
      </c>
      <c r="Z7" s="62">
        <v>1</v>
      </c>
      <c r="AA7" s="62">
        <v>1</v>
      </c>
      <c r="AB7" s="62">
        <v>0</v>
      </c>
      <c r="AC7" s="64"/>
      <c r="AD7" s="64">
        <v>1</v>
      </c>
      <c r="AE7" s="62">
        <v>0</v>
      </c>
      <c r="AF7" s="62">
        <v>1</v>
      </c>
      <c r="AG7" s="62">
        <v>0</v>
      </c>
      <c r="AH7" s="63"/>
      <c r="AI7" s="63"/>
      <c r="AJ7" s="63"/>
      <c r="AK7" s="64"/>
      <c r="AL7" s="64"/>
      <c r="AM7" s="63"/>
      <c r="AN7" s="63"/>
      <c r="AO7" s="63"/>
      <c r="AP7" s="63"/>
      <c r="AQ7" s="63"/>
      <c r="AR7" s="63"/>
      <c r="AS7" s="63"/>
      <c r="AT7" s="63"/>
      <c r="AU7" s="1">
        <f t="shared" ref="AU7:AU23" si="1">SUM(I7:AT7)</f>
        <v>12</v>
      </c>
    </row>
    <row r="8" spans="1:47">
      <c r="A8" s="102"/>
      <c r="B8" s="23">
        <v>2</v>
      </c>
      <c r="C8" s="24" t="s">
        <v>270</v>
      </c>
      <c r="D8" s="9" t="s">
        <v>110</v>
      </c>
      <c r="E8" s="65">
        <v>1</v>
      </c>
      <c r="F8" s="65">
        <v>1</v>
      </c>
      <c r="G8" s="65">
        <v>1</v>
      </c>
      <c r="H8" s="65">
        <v>1</v>
      </c>
      <c r="I8" s="65">
        <v>0</v>
      </c>
      <c r="J8" s="65"/>
      <c r="K8" s="66"/>
      <c r="L8" s="66"/>
      <c r="M8" s="65">
        <v>1</v>
      </c>
      <c r="N8" s="65">
        <v>1</v>
      </c>
      <c r="O8" s="65">
        <v>1</v>
      </c>
      <c r="P8" s="65">
        <v>0</v>
      </c>
      <c r="Q8" s="80">
        <v>1</v>
      </c>
      <c r="R8" s="65">
        <v>1</v>
      </c>
      <c r="S8" s="65"/>
      <c r="T8" s="66"/>
      <c r="U8" s="66"/>
      <c r="V8" s="65">
        <v>1</v>
      </c>
      <c r="W8" s="65">
        <v>1</v>
      </c>
      <c r="X8" s="65">
        <v>1</v>
      </c>
      <c r="Y8" s="65">
        <v>1</v>
      </c>
      <c r="Z8" s="65">
        <v>1</v>
      </c>
      <c r="AA8" s="65">
        <v>1</v>
      </c>
      <c r="AB8" s="65">
        <v>0</v>
      </c>
      <c r="AC8" s="66"/>
      <c r="AD8" s="66">
        <v>1</v>
      </c>
      <c r="AE8" s="65">
        <v>1</v>
      </c>
      <c r="AF8" s="65">
        <v>1</v>
      </c>
      <c r="AG8" s="65"/>
      <c r="AH8" s="14"/>
      <c r="AI8" s="14"/>
      <c r="AJ8" s="14"/>
      <c r="AK8" s="66"/>
      <c r="AL8" s="66"/>
      <c r="AM8" s="14"/>
      <c r="AN8" s="14"/>
      <c r="AO8" s="14"/>
      <c r="AP8" s="14"/>
      <c r="AQ8" s="14"/>
      <c r="AR8" s="14"/>
      <c r="AS8" s="14"/>
      <c r="AT8" s="14"/>
      <c r="AU8" s="1">
        <f t="shared" si="1"/>
        <v>14</v>
      </c>
    </row>
    <row r="9" spans="1:47">
      <c r="A9" s="102"/>
      <c r="B9" s="23">
        <v>3</v>
      </c>
      <c r="C9" s="24" t="s">
        <v>271</v>
      </c>
      <c r="D9" s="9" t="s">
        <v>110</v>
      </c>
      <c r="E9" s="65">
        <v>1</v>
      </c>
      <c r="F9" s="65">
        <v>1</v>
      </c>
      <c r="G9" s="65">
        <v>1</v>
      </c>
      <c r="H9" s="65">
        <v>0</v>
      </c>
      <c r="I9" s="65">
        <v>1</v>
      </c>
      <c r="J9" s="65"/>
      <c r="K9" s="66"/>
      <c r="L9" s="66"/>
      <c r="M9" s="65">
        <v>0</v>
      </c>
      <c r="N9" s="65">
        <v>0</v>
      </c>
      <c r="O9" s="65">
        <v>1</v>
      </c>
      <c r="P9" s="65">
        <v>1</v>
      </c>
      <c r="Q9" s="80">
        <v>1</v>
      </c>
      <c r="R9" s="65">
        <v>1</v>
      </c>
      <c r="S9" s="65"/>
      <c r="T9" s="66"/>
      <c r="U9" s="66"/>
      <c r="V9" s="65">
        <v>1</v>
      </c>
      <c r="W9" s="65">
        <v>0</v>
      </c>
      <c r="X9" s="65">
        <v>1</v>
      </c>
      <c r="Y9" s="65">
        <v>0</v>
      </c>
      <c r="Z9" s="65">
        <v>1</v>
      </c>
      <c r="AA9" s="65">
        <v>1</v>
      </c>
      <c r="AB9" s="65">
        <v>1</v>
      </c>
      <c r="AC9" s="66"/>
      <c r="AD9" s="66">
        <v>1</v>
      </c>
      <c r="AE9" s="65">
        <v>1</v>
      </c>
      <c r="AF9" s="65">
        <v>0</v>
      </c>
      <c r="AG9" s="65"/>
      <c r="AH9" s="14"/>
      <c r="AI9" s="14"/>
      <c r="AJ9" s="14"/>
      <c r="AK9" s="66"/>
      <c r="AL9" s="66"/>
      <c r="AM9" s="14"/>
      <c r="AN9" s="14"/>
      <c r="AO9" s="14"/>
      <c r="AP9" s="14"/>
      <c r="AQ9" s="14"/>
      <c r="AR9" s="14"/>
      <c r="AS9" s="14"/>
      <c r="AT9" s="14"/>
      <c r="AU9" s="1">
        <f t="shared" si="1"/>
        <v>12</v>
      </c>
    </row>
    <row r="10" spans="1:47">
      <c r="A10" s="102"/>
      <c r="B10" s="23">
        <v>4</v>
      </c>
      <c r="C10" s="24" t="s">
        <v>136</v>
      </c>
      <c r="D10" s="9" t="s">
        <v>110</v>
      </c>
      <c r="E10" s="65">
        <v>1</v>
      </c>
      <c r="F10" s="65">
        <v>1</v>
      </c>
      <c r="G10" s="65">
        <v>1</v>
      </c>
      <c r="H10" s="65">
        <v>1</v>
      </c>
      <c r="I10" s="65">
        <v>0</v>
      </c>
      <c r="J10" s="65"/>
      <c r="K10" s="66"/>
      <c r="L10" s="66"/>
      <c r="M10" s="65">
        <v>1</v>
      </c>
      <c r="N10" s="65">
        <v>1</v>
      </c>
      <c r="O10" s="65">
        <v>1</v>
      </c>
      <c r="P10" s="65">
        <v>1</v>
      </c>
      <c r="Q10" s="80">
        <v>1</v>
      </c>
      <c r="R10" s="65">
        <v>1</v>
      </c>
      <c r="S10" s="65"/>
      <c r="T10" s="66"/>
      <c r="U10" s="66"/>
      <c r="V10" s="65">
        <v>1</v>
      </c>
      <c r="W10" s="65">
        <v>1</v>
      </c>
      <c r="X10" s="65">
        <v>1</v>
      </c>
      <c r="Y10" s="65">
        <v>1</v>
      </c>
      <c r="Z10" s="65">
        <v>1</v>
      </c>
      <c r="AA10" s="65">
        <v>0</v>
      </c>
      <c r="AB10" s="65">
        <v>0</v>
      </c>
      <c r="AC10" s="66"/>
      <c r="AD10" s="66">
        <v>1</v>
      </c>
      <c r="AE10" s="65">
        <v>1</v>
      </c>
      <c r="AF10" s="65">
        <v>0</v>
      </c>
      <c r="AG10" s="65"/>
      <c r="AH10" s="14"/>
      <c r="AI10" s="14"/>
      <c r="AJ10" s="14"/>
      <c r="AK10" s="66"/>
      <c r="AL10" s="66"/>
      <c r="AM10" s="14"/>
      <c r="AN10" s="14"/>
      <c r="AO10" s="14"/>
      <c r="AP10" s="14"/>
      <c r="AQ10" s="14"/>
      <c r="AR10" s="14"/>
      <c r="AS10" s="14"/>
      <c r="AT10" s="14"/>
      <c r="AU10" s="1">
        <f t="shared" si="1"/>
        <v>13</v>
      </c>
    </row>
    <row r="11" spans="1:47">
      <c r="A11" s="102"/>
      <c r="B11" s="23">
        <v>5</v>
      </c>
      <c r="C11" s="24" t="s">
        <v>272</v>
      </c>
      <c r="D11" s="9" t="s">
        <v>110</v>
      </c>
      <c r="E11" s="65">
        <v>1</v>
      </c>
      <c r="F11" s="65">
        <v>1</v>
      </c>
      <c r="G11" s="65">
        <v>1</v>
      </c>
      <c r="H11" s="65">
        <v>1</v>
      </c>
      <c r="I11" s="65">
        <v>1</v>
      </c>
      <c r="J11" s="65"/>
      <c r="K11" s="66"/>
      <c r="L11" s="66"/>
      <c r="M11" s="65">
        <v>1</v>
      </c>
      <c r="N11" s="65">
        <v>1</v>
      </c>
      <c r="O11" s="65">
        <v>1</v>
      </c>
      <c r="P11" s="65">
        <v>1</v>
      </c>
      <c r="Q11" s="80">
        <v>1</v>
      </c>
      <c r="R11" s="65">
        <v>0</v>
      </c>
      <c r="S11" s="65"/>
      <c r="T11" s="66"/>
      <c r="U11" s="66"/>
      <c r="V11" s="65">
        <v>0</v>
      </c>
      <c r="W11" s="65">
        <v>1</v>
      </c>
      <c r="X11" s="65">
        <v>1</v>
      </c>
      <c r="Y11" s="65">
        <v>1</v>
      </c>
      <c r="Z11" s="65">
        <v>1</v>
      </c>
      <c r="AA11" s="65">
        <v>1</v>
      </c>
      <c r="AB11" s="65">
        <v>1</v>
      </c>
      <c r="AC11" s="66"/>
      <c r="AD11" s="66">
        <v>0</v>
      </c>
      <c r="AE11" s="65">
        <v>1</v>
      </c>
      <c r="AF11" s="65">
        <v>1</v>
      </c>
      <c r="AG11" s="65"/>
      <c r="AH11" s="14"/>
      <c r="AI11" s="14"/>
      <c r="AJ11" s="14"/>
      <c r="AK11" s="66"/>
      <c r="AL11" s="66"/>
      <c r="AM11" s="14"/>
      <c r="AN11" s="14"/>
      <c r="AO11" s="14"/>
      <c r="AP11" s="14"/>
      <c r="AQ11" s="14"/>
      <c r="AR11" s="14"/>
      <c r="AS11" s="14"/>
      <c r="AT11" s="14"/>
      <c r="AU11" s="1">
        <f t="shared" si="1"/>
        <v>14</v>
      </c>
    </row>
    <row r="12" spans="1:47">
      <c r="A12" s="102"/>
      <c r="B12" s="23">
        <v>6</v>
      </c>
      <c r="C12" s="25" t="s">
        <v>273</v>
      </c>
      <c r="D12" s="10" t="s">
        <v>110</v>
      </c>
      <c r="E12" s="65">
        <v>1</v>
      </c>
      <c r="F12" s="65">
        <v>1</v>
      </c>
      <c r="G12" s="65">
        <v>1</v>
      </c>
      <c r="H12" s="65">
        <v>0</v>
      </c>
      <c r="I12" s="65">
        <v>1</v>
      </c>
      <c r="J12" s="65"/>
      <c r="K12" s="66"/>
      <c r="L12" s="66"/>
      <c r="M12" s="65">
        <v>1</v>
      </c>
      <c r="N12" s="65">
        <v>1</v>
      </c>
      <c r="O12" s="65">
        <v>0</v>
      </c>
      <c r="P12" s="65">
        <v>1</v>
      </c>
      <c r="Q12" s="80">
        <v>0</v>
      </c>
      <c r="R12" s="65">
        <v>1</v>
      </c>
      <c r="S12" s="65"/>
      <c r="T12" s="66"/>
      <c r="U12" s="66"/>
      <c r="V12" s="65">
        <v>1</v>
      </c>
      <c r="W12" s="65">
        <v>1</v>
      </c>
      <c r="X12" s="65">
        <v>1</v>
      </c>
      <c r="Y12" s="65">
        <v>1</v>
      </c>
      <c r="Z12" s="65">
        <v>1</v>
      </c>
      <c r="AA12" s="65">
        <v>1</v>
      </c>
      <c r="AB12" s="65">
        <v>1</v>
      </c>
      <c r="AC12" s="66"/>
      <c r="AD12" s="66">
        <v>1</v>
      </c>
      <c r="AE12" s="65">
        <v>1</v>
      </c>
      <c r="AF12" s="65">
        <v>1</v>
      </c>
      <c r="AG12" s="65"/>
      <c r="AH12" s="14"/>
      <c r="AI12" s="14"/>
      <c r="AJ12" s="14"/>
      <c r="AK12" s="66"/>
      <c r="AL12" s="66"/>
      <c r="AM12" s="14"/>
      <c r="AN12" s="14"/>
      <c r="AO12" s="14"/>
      <c r="AP12" s="14"/>
      <c r="AQ12" s="14"/>
      <c r="AR12" s="14"/>
      <c r="AS12" s="14"/>
      <c r="AT12" s="14"/>
      <c r="AU12" s="1">
        <f t="shared" si="1"/>
        <v>15</v>
      </c>
    </row>
    <row r="13" spans="1:47">
      <c r="A13" s="102"/>
      <c r="B13" s="23">
        <v>7</v>
      </c>
      <c r="C13" s="25" t="s">
        <v>274</v>
      </c>
      <c r="D13" s="10" t="s">
        <v>110</v>
      </c>
      <c r="E13" s="65">
        <v>1</v>
      </c>
      <c r="F13" s="65">
        <v>1</v>
      </c>
      <c r="G13" s="65">
        <v>0</v>
      </c>
      <c r="H13" s="65">
        <v>1</v>
      </c>
      <c r="I13" s="65">
        <v>1</v>
      </c>
      <c r="J13" s="65"/>
      <c r="K13" s="66"/>
      <c r="L13" s="66"/>
      <c r="M13" s="65">
        <v>1</v>
      </c>
      <c r="N13" s="65">
        <v>1</v>
      </c>
      <c r="O13" s="65">
        <v>0</v>
      </c>
      <c r="P13" s="65">
        <v>1</v>
      </c>
      <c r="Q13" s="80">
        <v>1</v>
      </c>
      <c r="R13" s="65">
        <v>0</v>
      </c>
      <c r="S13" s="65"/>
      <c r="T13" s="66"/>
      <c r="U13" s="66"/>
      <c r="V13" s="65">
        <v>0</v>
      </c>
      <c r="W13" s="65">
        <v>1</v>
      </c>
      <c r="X13" s="65">
        <v>1</v>
      </c>
      <c r="Y13" s="65">
        <v>1</v>
      </c>
      <c r="Z13" s="65">
        <v>1</v>
      </c>
      <c r="AA13" s="65">
        <v>1</v>
      </c>
      <c r="AB13" s="65">
        <v>1</v>
      </c>
      <c r="AC13" s="66"/>
      <c r="AD13" s="66">
        <v>1</v>
      </c>
      <c r="AE13" s="65">
        <v>1</v>
      </c>
      <c r="AF13" s="65">
        <v>1</v>
      </c>
      <c r="AG13" s="65"/>
      <c r="AH13" s="14"/>
      <c r="AI13" s="14"/>
      <c r="AJ13" s="14"/>
      <c r="AK13" s="66"/>
      <c r="AL13" s="66"/>
      <c r="AM13" s="14"/>
      <c r="AN13" s="14"/>
      <c r="AO13" s="14"/>
      <c r="AP13" s="14"/>
      <c r="AQ13" s="14"/>
      <c r="AR13" s="14"/>
      <c r="AS13" s="14"/>
      <c r="AT13" s="14"/>
      <c r="AU13" s="1">
        <f t="shared" si="1"/>
        <v>14</v>
      </c>
    </row>
    <row r="14" spans="1:47">
      <c r="A14" s="102"/>
      <c r="B14" s="23">
        <v>8</v>
      </c>
      <c r="C14" s="26" t="s">
        <v>275</v>
      </c>
      <c r="D14" s="11" t="s">
        <v>110</v>
      </c>
      <c r="E14" s="65">
        <v>1</v>
      </c>
      <c r="F14" s="65">
        <v>0</v>
      </c>
      <c r="G14" s="65">
        <v>1</v>
      </c>
      <c r="H14" s="65">
        <v>0</v>
      </c>
      <c r="I14" s="65">
        <v>1</v>
      </c>
      <c r="J14" s="65"/>
      <c r="K14" s="66"/>
      <c r="L14" s="66"/>
      <c r="M14" s="65">
        <v>1</v>
      </c>
      <c r="N14" s="65">
        <v>1</v>
      </c>
      <c r="O14" s="65">
        <v>1</v>
      </c>
      <c r="P14" s="65">
        <v>1</v>
      </c>
      <c r="Q14" s="80">
        <v>1</v>
      </c>
      <c r="R14" s="65">
        <v>1</v>
      </c>
      <c r="S14" s="65"/>
      <c r="T14" s="66"/>
      <c r="U14" s="66"/>
      <c r="V14" s="65">
        <v>1</v>
      </c>
      <c r="W14" s="65">
        <v>1</v>
      </c>
      <c r="X14" s="65">
        <v>1</v>
      </c>
      <c r="Y14" s="65">
        <v>1</v>
      </c>
      <c r="Z14" s="65">
        <v>0</v>
      </c>
      <c r="AA14" s="65">
        <v>1</v>
      </c>
      <c r="AB14" s="65">
        <v>1</v>
      </c>
      <c r="AC14" s="66"/>
      <c r="AD14" s="66">
        <v>1</v>
      </c>
      <c r="AE14" s="65">
        <v>1</v>
      </c>
      <c r="AF14" s="65">
        <v>0</v>
      </c>
      <c r="AG14" s="65"/>
      <c r="AH14" s="14"/>
      <c r="AI14" s="14"/>
      <c r="AJ14" s="14"/>
      <c r="AK14" s="66"/>
      <c r="AL14" s="66"/>
      <c r="AM14" s="14"/>
      <c r="AN14" s="14"/>
      <c r="AO14" s="14"/>
      <c r="AP14" s="14"/>
      <c r="AQ14" s="14"/>
      <c r="AR14" s="14"/>
      <c r="AS14" s="14"/>
      <c r="AT14" s="14"/>
      <c r="AU14" s="1">
        <f t="shared" si="1"/>
        <v>15</v>
      </c>
    </row>
    <row r="15" spans="1:47">
      <c r="A15" s="102"/>
      <c r="B15" s="23">
        <v>9</v>
      </c>
      <c r="C15" s="9" t="s">
        <v>276</v>
      </c>
      <c r="D15" s="9" t="s">
        <v>110</v>
      </c>
      <c r="E15" s="62">
        <v>0</v>
      </c>
      <c r="F15" s="62">
        <v>1</v>
      </c>
      <c r="G15" s="62">
        <v>0</v>
      </c>
      <c r="H15" s="62">
        <v>0</v>
      </c>
      <c r="I15" s="62">
        <v>1</v>
      </c>
      <c r="J15" s="62"/>
      <c r="K15" s="64"/>
      <c r="L15" s="64"/>
      <c r="M15" s="62">
        <v>1</v>
      </c>
      <c r="N15" s="62">
        <v>1</v>
      </c>
      <c r="O15" s="62">
        <v>1</v>
      </c>
      <c r="P15" s="62">
        <v>0</v>
      </c>
      <c r="Q15" s="79">
        <v>0</v>
      </c>
      <c r="R15" s="62">
        <v>0</v>
      </c>
      <c r="S15" s="62"/>
      <c r="T15" s="64"/>
      <c r="U15" s="64"/>
      <c r="V15" s="62">
        <v>1</v>
      </c>
      <c r="W15" s="62">
        <v>1</v>
      </c>
      <c r="X15" s="62">
        <v>1</v>
      </c>
      <c r="Y15" s="62">
        <v>0</v>
      </c>
      <c r="Z15" s="62">
        <v>1</v>
      </c>
      <c r="AA15" s="62">
        <v>1</v>
      </c>
      <c r="AB15" s="62">
        <v>1</v>
      </c>
      <c r="AC15" s="64"/>
      <c r="AD15" s="64">
        <v>1</v>
      </c>
      <c r="AE15" s="62">
        <v>0</v>
      </c>
      <c r="AF15" s="62">
        <v>1</v>
      </c>
      <c r="AG15" s="62"/>
      <c r="AH15" s="63"/>
      <c r="AI15" s="63"/>
      <c r="AJ15" s="63"/>
      <c r="AK15" s="64"/>
      <c r="AL15" s="64"/>
      <c r="AM15" s="63"/>
      <c r="AN15" s="63"/>
      <c r="AO15" s="63"/>
      <c r="AP15" s="63"/>
      <c r="AQ15" s="63"/>
      <c r="AR15" s="63"/>
      <c r="AS15" s="63"/>
      <c r="AT15" s="63"/>
      <c r="AU15" s="1">
        <f t="shared" si="1"/>
        <v>12</v>
      </c>
    </row>
    <row r="16" spans="1:47">
      <c r="A16" s="102"/>
      <c r="B16" s="23">
        <v>10</v>
      </c>
      <c r="C16" s="24" t="s">
        <v>277</v>
      </c>
      <c r="D16" s="9" t="s">
        <v>114</v>
      </c>
      <c r="E16" s="65">
        <v>1</v>
      </c>
      <c r="F16" s="65">
        <v>1</v>
      </c>
      <c r="G16" s="65">
        <v>1</v>
      </c>
      <c r="H16" s="65">
        <v>1</v>
      </c>
      <c r="I16" s="65">
        <v>1</v>
      </c>
      <c r="J16" s="65"/>
      <c r="K16" s="66"/>
      <c r="L16" s="66"/>
      <c r="M16" s="65">
        <v>1</v>
      </c>
      <c r="N16" s="65">
        <v>1</v>
      </c>
      <c r="O16" s="65">
        <v>1</v>
      </c>
      <c r="P16" s="65"/>
      <c r="Q16" s="80"/>
      <c r="R16" s="65"/>
      <c r="S16" s="65"/>
      <c r="T16" s="66"/>
      <c r="U16" s="66"/>
      <c r="V16" s="65"/>
      <c r="W16" s="65">
        <v>1</v>
      </c>
      <c r="X16" s="65">
        <v>1</v>
      </c>
      <c r="Y16" s="65">
        <v>1</v>
      </c>
      <c r="Z16" s="65">
        <v>0</v>
      </c>
      <c r="AA16" s="65">
        <v>1</v>
      </c>
      <c r="AB16" s="65">
        <v>1</v>
      </c>
      <c r="AC16" s="66"/>
      <c r="AD16" s="66"/>
      <c r="AE16" s="65">
        <v>1</v>
      </c>
      <c r="AF16" s="65">
        <v>0</v>
      </c>
      <c r="AG16" s="65"/>
      <c r="AH16" s="14"/>
      <c r="AI16" s="14"/>
      <c r="AJ16" s="14"/>
      <c r="AK16" s="66"/>
      <c r="AL16" s="66"/>
      <c r="AM16" s="14"/>
      <c r="AN16" s="14"/>
      <c r="AO16" s="14"/>
      <c r="AP16" s="14"/>
      <c r="AQ16" s="14"/>
      <c r="AR16" s="14"/>
      <c r="AS16" s="14"/>
      <c r="AT16" s="14"/>
      <c r="AU16" s="1">
        <f t="shared" si="1"/>
        <v>10</v>
      </c>
    </row>
    <row r="17" spans="1:47">
      <c r="A17" s="102"/>
      <c r="B17" s="23">
        <v>11</v>
      </c>
      <c r="C17" s="24" t="s">
        <v>278</v>
      </c>
      <c r="D17" s="9" t="s">
        <v>114</v>
      </c>
      <c r="E17" s="65">
        <v>1</v>
      </c>
      <c r="F17" s="65">
        <v>0</v>
      </c>
      <c r="G17" s="65">
        <v>1</v>
      </c>
      <c r="H17" s="65">
        <v>1</v>
      </c>
      <c r="I17" s="65">
        <v>1</v>
      </c>
      <c r="J17" s="65"/>
      <c r="K17" s="66"/>
      <c r="L17" s="66"/>
      <c r="M17" s="65">
        <v>1</v>
      </c>
      <c r="N17" s="65">
        <v>1</v>
      </c>
      <c r="O17" s="65">
        <v>1</v>
      </c>
      <c r="P17" s="65"/>
      <c r="Q17" s="80"/>
      <c r="R17" s="65"/>
      <c r="S17" s="65"/>
      <c r="T17" s="66"/>
      <c r="U17" s="66"/>
      <c r="V17" s="65"/>
      <c r="W17" s="65">
        <v>0</v>
      </c>
      <c r="X17" s="65">
        <v>1</v>
      </c>
      <c r="Y17" s="65">
        <v>1</v>
      </c>
      <c r="Z17" s="65">
        <v>0</v>
      </c>
      <c r="AA17" s="65">
        <v>1</v>
      </c>
      <c r="AB17" s="65">
        <v>1</v>
      </c>
      <c r="AC17" s="66"/>
      <c r="AD17" s="66"/>
      <c r="AE17" s="65">
        <v>1</v>
      </c>
      <c r="AF17" s="65">
        <v>1</v>
      </c>
      <c r="AG17" s="65"/>
      <c r="AH17" s="14"/>
      <c r="AI17" s="14"/>
      <c r="AJ17" s="14"/>
      <c r="AK17" s="66"/>
      <c r="AL17" s="66"/>
      <c r="AM17" s="14"/>
      <c r="AN17" s="14"/>
      <c r="AO17" s="14"/>
      <c r="AP17" s="14"/>
      <c r="AQ17" s="14"/>
      <c r="AR17" s="14"/>
      <c r="AS17" s="14"/>
      <c r="AT17" s="14"/>
      <c r="AU17" s="1">
        <f t="shared" si="1"/>
        <v>10</v>
      </c>
    </row>
    <row r="18" spans="1:47">
      <c r="A18" s="102"/>
      <c r="B18" s="23">
        <v>12</v>
      </c>
      <c r="C18" s="36" t="s">
        <v>279</v>
      </c>
      <c r="D18" s="11" t="s">
        <v>114</v>
      </c>
      <c r="E18" s="65">
        <v>1</v>
      </c>
      <c r="F18" s="65">
        <v>1</v>
      </c>
      <c r="G18" s="65">
        <v>1</v>
      </c>
      <c r="H18" s="65">
        <v>1</v>
      </c>
      <c r="I18" s="65">
        <v>1</v>
      </c>
      <c r="J18" s="65"/>
      <c r="K18" s="66"/>
      <c r="L18" s="66"/>
      <c r="M18" s="65">
        <v>0</v>
      </c>
      <c r="N18" s="65"/>
      <c r="O18" s="65">
        <v>1</v>
      </c>
      <c r="P18" s="65"/>
      <c r="Q18" s="80"/>
      <c r="R18" s="65"/>
      <c r="S18" s="65"/>
      <c r="T18" s="66"/>
      <c r="U18" s="66"/>
      <c r="V18" s="65"/>
      <c r="W18" s="65">
        <v>0</v>
      </c>
      <c r="X18" s="65">
        <v>1</v>
      </c>
      <c r="Y18" s="65">
        <v>0</v>
      </c>
      <c r="Z18" s="65">
        <v>1</v>
      </c>
      <c r="AA18" s="65">
        <v>0</v>
      </c>
      <c r="AB18" s="65">
        <v>0</v>
      </c>
      <c r="AC18" s="66"/>
      <c r="AD18" s="66"/>
      <c r="AE18" s="65">
        <v>0</v>
      </c>
      <c r="AF18" s="65">
        <v>0</v>
      </c>
      <c r="AG18" s="65"/>
      <c r="AH18" s="14"/>
      <c r="AI18" s="14"/>
      <c r="AJ18" s="14"/>
      <c r="AK18" s="66"/>
      <c r="AL18" s="66"/>
      <c r="AM18" s="14"/>
      <c r="AN18" s="14"/>
      <c r="AO18" s="14"/>
      <c r="AP18" s="14"/>
      <c r="AQ18" s="14"/>
      <c r="AR18" s="14"/>
      <c r="AS18" s="14"/>
      <c r="AT18" s="14"/>
      <c r="AU18" s="1">
        <f t="shared" si="1"/>
        <v>4</v>
      </c>
    </row>
    <row r="19" spans="1:47">
      <c r="A19" s="102"/>
      <c r="B19" s="23">
        <v>13</v>
      </c>
      <c r="C19" s="24" t="s">
        <v>280</v>
      </c>
      <c r="D19" s="9" t="s">
        <v>114</v>
      </c>
      <c r="E19" s="65">
        <v>1</v>
      </c>
      <c r="F19" s="65">
        <v>1</v>
      </c>
      <c r="G19" s="65">
        <v>1</v>
      </c>
      <c r="H19" s="65">
        <v>0</v>
      </c>
      <c r="I19" s="65">
        <v>1</v>
      </c>
      <c r="J19" s="65"/>
      <c r="K19" s="66"/>
      <c r="L19" s="66"/>
      <c r="M19" s="65">
        <v>1</v>
      </c>
      <c r="N19" s="65">
        <v>1</v>
      </c>
      <c r="O19" s="65">
        <v>1</v>
      </c>
      <c r="P19" s="65"/>
      <c r="Q19" s="80"/>
      <c r="R19" s="65"/>
      <c r="S19" s="65"/>
      <c r="T19" s="66"/>
      <c r="U19" s="66"/>
      <c r="V19" s="65"/>
      <c r="W19" s="65">
        <v>1</v>
      </c>
      <c r="X19" s="65">
        <v>1</v>
      </c>
      <c r="Y19" s="65">
        <v>1</v>
      </c>
      <c r="Z19" s="65">
        <v>1</v>
      </c>
      <c r="AA19" s="65">
        <v>1</v>
      </c>
      <c r="AB19" s="65">
        <v>0</v>
      </c>
      <c r="AC19" s="66"/>
      <c r="AD19" s="66"/>
      <c r="AE19" s="65">
        <v>1</v>
      </c>
      <c r="AF19" s="65">
        <v>1</v>
      </c>
      <c r="AG19" s="65"/>
      <c r="AH19" s="14"/>
      <c r="AI19" s="14"/>
      <c r="AJ19" s="14"/>
      <c r="AK19" s="66"/>
      <c r="AL19" s="66"/>
      <c r="AM19" s="14"/>
      <c r="AN19" s="14"/>
      <c r="AO19" s="14"/>
      <c r="AP19" s="14"/>
      <c r="AQ19" s="14"/>
      <c r="AR19" s="14"/>
      <c r="AS19" s="14"/>
      <c r="AT19" s="14"/>
      <c r="AU19" s="1">
        <f t="shared" si="1"/>
        <v>11</v>
      </c>
    </row>
    <row r="20" spans="1:47">
      <c r="A20" s="102"/>
      <c r="B20" s="23">
        <v>14</v>
      </c>
      <c r="C20" s="25" t="s">
        <v>281</v>
      </c>
      <c r="D20" s="10" t="s">
        <v>114</v>
      </c>
      <c r="E20" s="65">
        <v>1</v>
      </c>
      <c r="F20" s="65">
        <v>1</v>
      </c>
      <c r="G20" s="65">
        <v>1</v>
      </c>
      <c r="H20" s="65">
        <v>1</v>
      </c>
      <c r="I20" s="65">
        <v>1</v>
      </c>
      <c r="J20" s="65"/>
      <c r="K20" s="66"/>
      <c r="L20" s="66"/>
      <c r="M20" s="65">
        <v>1</v>
      </c>
      <c r="N20" s="65">
        <v>1</v>
      </c>
      <c r="O20" s="65">
        <v>1</v>
      </c>
      <c r="P20" s="65"/>
      <c r="Q20" s="80"/>
      <c r="R20" s="65"/>
      <c r="S20" s="65"/>
      <c r="T20" s="66"/>
      <c r="U20" s="66"/>
      <c r="V20" s="65"/>
      <c r="W20" s="65">
        <v>1</v>
      </c>
      <c r="X20" s="65">
        <v>0</v>
      </c>
      <c r="Y20" s="65">
        <v>1</v>
      </c>
      <c r="Z20" s="65">
        <v>1</v>
      </c>
      <c r="AA20" s="65">
        <v>1</v>
      </c>
      <c r="AB20" s="65">
        <v>1</v>
      </c>
      <c r="AC20" s="66"/>
      <c r="AD20" s="66"/>
      <c r="AE20" s="65">
        <v>1</v>
      </c>
      <c r="AF20" s="65">
        <v>0</v>
      </c>
      <c r="AG20" s="65"/>
      <c r="AH20" s="14"/>
      <c r="AI20" s="14"/>
      <c r="AJ20" s="14"/>
      <c r="AK20" s="66"/>
      <c r="AL20" s="66"/>
      <c r="AM20" s="14"/>
      <c r="AN20" s="14"/>
      <c r="AO20" s="14"/>
      <c r="AP20" s="14"/>
      <c r="AQ20" s="14"/>
      <c r="AR20" s="14"/>
      <c r="AS20" s="14"/>
      <c r="AT20" s="14"/>
      <c r="AU20" s="1">
        <f t="shared" si="1"/>
        <v>10</v>
      </c>
    </row>
    <row r="21" spans="1:47">
      <c r="A21" s="102"/>
      <c r="B21" s="23">
        <v>15</v>
      </c>
      <c r="C21" s="25" t="s">
        <v>282</v>
      </c>
      <c r="D21" s="10" t="s">
        <v>114</v>
      </c>
      <c r="E21" s="65">
        <v>1</v>
      </c>
      <c r="F21" s="65">
        <v>1</v>
      </c>
      <c r="G21" s="65">
        <v>1</v>
      </c>
      <c r="H21" s="65">
        <v>1</v>
      </c>
      <c r="I21" s="65">
        <v>1</v>
      </c>
      <c r="J21" s="65"/>
      <c r="K21" s="66"/>
      <c r="L21" s="66"/>
      <c r="M21" s="65">
        <v>1</v>
      </c>
      <c r="N21" s="65"/>
      <c r="O21" s="65">
        <v>1</v>
      </c>
      <c r="P21" s="65"/>
      <c r="Q21" s="80"/>
      <c r="R21" s="65"/>
      <c r="S21" s="65"/>
      <c r="T21" s="66"/>
      <c r="U21" s="66"/>
      <c r="V21" s="65"/>
      <c r="W21" s="65">
        <v>1</v>
      </c>
      <c r="X21" s="65">
        <v>0</v>
      </c>
      <c r="Y21" s="65">
        <v>1</v>
      </c>
      <c r="Z21" s="65">
        <v>1</v>
      </c>
      <c r="AA21" s="65">
        <v>1</v>
      </c>
      <c r="AB21" s="65">
        <v>1</v>
      </c>
      <c r="AC21" s="66"/>
      <c r="AD21" s="66"/>
      <c r="AE21" s="65">
        <v>1</v>
      </c>
      <c r="AF21" s="65">
        <v>0</v>
      </c>
      <c r="AG21" s="65"/>
      <c r="AH21" s="14"/>
      <c r="AI21" s="14"/>
      <c r="AJ21" s="14"/>
      <c r="AK21" s="66"/>
      <c r="AL21" s="66"/>
      <c r="AM21" s="14"/>
      <c r="AN21" s="14"/>
      <c r="AO21" s="14"/>
      <c r="AP21" s="14"/>
      <c r="AQ21" s="14"/>
      <c r="AR21" s="14"/>
      <c r="AS21" s="14"/>
      <c r="AT21" s="14"/>
      <c r="AU21" s="1">
        <f t="shared" si="1"/>
        <v>9</v>
      </c>
    </row>
    <row r="22" spans="1:47">
      <c r="A22" s="102"/>
      <c r="B22" s="23">
        <v>16</v>
      </c>
      <c r="C22" s="25" t="s">
        <v>283</v>
      </c>
      <c r="D22" s="10" t="s">
        <v>110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/>
      <c r="K22" s="66"/>
      <c r="L22" s="66"/>
      <c r="M22" s="65">
        <v>1</v>
      </c>
      <c r="N22" s="65">
        <v>1</v>
      </c>
      <c r="O22" s="65">
        <v>1</v>
      </c>
      <c r="P22" s="65"/>
      <c r="Q22" s="80"/>
      <c r="R22" s="65"/>
      <c r="S22" s="65"/>
      <c r="T22" s="66"/>
      <c r="U22" s="66"/>
      <c r="V22" s="65"/>
      <c r="W22" s="65">
        <v>0</v>
      </c>
      <c r="X22" s="65">
        <v>1</v>
      </c>
      <c r="Y22" s="65">
        <v>0</v>
      </c>
      <c r="Z22" s="65">
        <v>1</v>
      </c>
      <c r="AA22" s="65">
        <v>1</v>
      </c>
      <c r="AB22" s="65">
        <v>1</v>
      </c>
      <c r="AC22" s="66"/>
      <c r="AD22" s="66"/>
      <c r="AE22" s="65">
        <v>1</v>
      </c>
      <c r="AF22" s="65">
        <v>0</v>
      </c>
      <c r="AG22" s="65"/>
      <c r="AH22" s="14"/>
      <c r="AI22" s="14"/>
      <c r="AJ22" s="14"/>
      <c r="AK22" s="66"/>
      <c r="AL22" s="66"/>
      <c r="AM22" s="14"/>
      <c r="AN22" s="14"/>
      <c r="AO22" s="14"/>
      <c r="AP22" s="14"/>
      <c r="AQ22" s="14"/>
      <c r="AR22" s="14"/>
      <c r="AS22" s="14"/>
      <c r="AT22" s="14"/>
      <c r="AU22" s="1">
        <f t="shared" si="1"/>
        <v>8</v>
      </c>
    </row>
    <row r="23" spans="1:47" ht="19.5">
      <c r="A23" s="3"/>
      <c r="B23" s="68">
        <v>16</v>
      </c>
      <c r="C23" s="12" t="s">
        <v>48</v>
      </c>
      <c r="D23" s="7"/>
      <c r="E23" s="8">
        <f>COUNTIF(E7:E22,"1")</f>
        <v>14</v>
      </c>
      <c r="F23" s="8">
        <f t="shared" ref="F23:AT23" si="2">COUNTIF(F7:F22,"1")</f>
        <v>13</v>
      </c>
      <c r="G23" s="8">
        <f t="shared" si="2"/>
        <v>13</v>
      </c>
      <c r="H23" s="8">
        <f t="shared" si="2"/>
        <v>10</v>
      </c>
      <c r="I23" s="8">
        <f t="shared" si="2"/>
        <v>12</v>
      </c>
      <c r="J23" s="8">
        <f t="shared" si="2"/>
        <v>0</v>
      </c>
      <c r="K23" s="8">
        <f t="shared" si="2"/>
        <v>0</v>
      </c>
      <c r="L23" s="8">
        <f t="shared" si="2"/>
        <v>0</v>
      </c>
      <c r="M23" s="8">
        <f t="shared" si="2"/>
        <v>14</v>
      </c>
      <c r="N23" s="8">
        <f t="shared" si="2"/>
        <v>13</v>
      </c>
      <c r="O23" s="8">
        <f t="shared" si="2"/>
        <v>13</v>
      </c>
      <c r="P23" s="8">
        <f t="shared" si="2"/>
        <v>6</v>
      </c>
      <c r="Q23" s="8">
        <f t="shared" si="2"/>
        <v>7</v>
      </c>
      <c r="R23" s="8">
        <f t="shared" si="2"/>
        <v>6</v>
      </c>
      <c r="S23" s="8">
        <f t="shared" si="2"/>
        <v>0</v>
      </c>
      <c r="T23" s="8">
        <f t="shared" si="2"/>
        <v>0</v>
      </c>
      <c r="U23" s="8">
        <f t="shared" si="2"/>
        <v>0</v>
      </c>
      <c r="V23" s="8">
        <f t="shared" si="2"/>
        <v>7</v>
      </c>
      <c r="W23" s="8">
        <f t="shared" si="2"/>
        <v>12</v>
      </c>
      <c r="X23" s="8">
        <f t="shared" si="2"/>
        <v>14</v>
      </c>
      <c r="Y23" s="8">
        <f t="shared" si="2"/>
        <v>12</v>
      </c>
      <c r="Z23" s="8">
        <f t="shared" si="2"/>
        <v>13</v>
      </c>
      <c r="AA23" s="8">
        <f t="shared" si="2"/>
        <v>14</v>
      </c>
      <c r="AB23" s="8">
        <f t="shared" si="2"/>
        <v>11</v>
      </c>
      <c r="AC23" s="8">
        <f t="shared" si="2"/>
        <v>0</v>
      </c>
      <c r="AD23" s="8">
        <f t="shared" si="2"/>
        <v>8</v>
      </c>
      <c r="AE23" s="8">
        <f t="shared" si="2"/>
        <v>13</v>
      </c>
      <c r="AF23" s="8">
        <f t="shared" si="2"/>
        <v>8</v>
      </c>
      <c r="AG23" s="8">
        <f t="shared" si="2"/>
        <v>0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183</v>
      </c>
    </row>
    <row r="24" spans="1:47" ht="14.45" customHeight="1">
      <c r="B24" s="3"/>
      <c r="C24"/>
      <c r="D24"/>
      <c r="E24" s="99">
        <v>45913</v>
      </c>
      <c r="F24" s="99">
        <f>E24+7</f>
        <v>45920</v>
      </c>
      <c r="G24" s="99">
        <f t="shared" ref="G24:AT24" si="3">F24+7</f>
        <v>45927</v>
      </c>
      <c r="H24" s="99">
        <f t="shared" si="3"/>
        <v>45934</v>
      </c>
      <c r="I24" s="99">
        <f t="shared" si="3"/>
        <v>45941</v>
      </c>
      <c r="J24" s="99">
        <f t="shared" si="3"/>
        <v>45948</v>
      </c>
      <c r="K24" s="99">
        <f t="shared" si="3"/>
        <v>45955</v>
      </c>
      <c r="L24" s="99">
        <f t="shared" si="3"/>
        <v>45962</v>
      </c>
      <c r="M24" s="99">
        <f t="shared" si="3"/>
        <v>45969</v>
      </c>
      <c r="N24" s="99">
        <f t="shared" si="3"/>
        <v>45976</v>
      </c>
      <c r="O24" s="99">
        <f t="shared" si="3"/>
        <v>45983</v>
      </c>
      <c r="P24" s="99">
        <f t="shared" si="3"/>
        <v>45990</v>
      </c>
      <c r="Q24" s="99">
        <f t="shared" si="3"/>
        <v>45997</v>
      </c>
      <c r="R24" s="99">
        <f t="shared" si="3"/>
        <v>46004</v>
      </c>
      <c r="S24" s="99">
        <f t="shared" si="3"/>
        <v>46011</v>
      </c>
      <c r="T24" s="99">
        <f t="shared" si="3"/>
        <v>46018</v>
      </c>
      <c r="U24" s="99">
        <f t="shared" si="3"/>
        <v>46025</v>
      </c>
      <c r="V24" s="99">
        <f t="shared" si="3"/>
        <v>46032</v>
      </c>
      <c r="W24" s="99">
        <f t="shared" si="3"/>
        <v>46039</v>
      </c>
      <c r="X24" s="99">
        <f t="shared" si="3"/>
        <v>46046</v>
      </c>
      <c r="Y24" s="99">
        <f t="shared" si="3"/>
        <v>46053</v>
      </c>
      <c r="Z24" s="99">
        <f t="shared" si="3"/>
        <v>46060</v>
      </c>
      <c r="AA24" s="99">
        <f t="shared" si="3"/>
        <v>46067</v>
      </c>
      <c r="AB24" s="99">
        <f t="shared" si="3"/>
        <v>46074</v>
      </c>
      <c r="AC24" s="99">
        <f t="shared" si="3"/>
        <v>46081</v>
      </c>
      <c r="AD24" s="99">
        <f t="shared" si="3"/>
        <v>46088</v>
      </c>
      <c r="AE24" s="99">
        <f t="shared" si="3"/>
        <v>46095</v>
      </c>
      <c r="AF24" s="99">
        <f t="shared" si="3"/>
        <v>46102</v>
      </c>
      <c r="AG24" s="99">
        <f t="shared" si="3"/>
        <v>46109</v>
      </c>
      <c r="AH24" s="99">
        <f t="shared" si="3"/>
        <v>46116</v>
      </c>
      <c r="AI24" s="99">
        <f t="shared" si="3"/>
        <v>46123</v>
      </c>
      <c r="AJ24" s="99">
        <f t="shared" si="3"/>
        <v>46130</v>
      </c>
      <c r="AK24" s="99">
        <f t="shared" si="3"/>
        <v>46137</v>
      </c>
      <c r="AL24" s="99">
        <f t="shared" si="3"/>
        <v>46144</v>
      </c>
      <c r="AM24" s="99">
        <f t="shared" si="3"/>
        <v>46151</v>
      </c>
      <c r="AN24" s="99">
        <f t="shared" si="3"/>
        <v>46158</v>
      </c>
      <c r="AO24" s="99">
        <f t="shared" si="3"/>
        <v>46165</v>
      </c>
      <c r="AP24" s="99">
        <f t="shared" si="3"/>
        <v>46172</v>
      </c>
      <c r="AQ24" s="99">
        <f t="shared" si="3"/>
        <v>46179</v>
      </c>
      <c r="AR24" s="99">
        <f t="shared" si="3"/>
        <v>46186</v>
      </c>
      <c r="AS24" s="99">
        <f t="shared" si="3"/>
        <v>46193</v>
      </c>
      <c r="AT24" s="99">
        <f t="shared" si="3"/>
        <v>46200</v>
      </c>
    </row>
    <row r="25" spans="1:47" ht="14.45" customHeight="1">
      <c r="B25" s="3"/>
      <c r="C25"/>
      <c r="D25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</row>
    <row r="26" spans="1:47" ht="14.45" customHeight="1">
      <c r="B26" s="3"/>
      <c r="C26"/>
      <c r="D26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>
        <f>SUM(I26:AT26)</f>
        <v>0</v>
      </c>
    </row>
    <row r="27" spans="1:47">
      <c r="A27" s="102" t="s">
        <v>105</v>
      </c>
      <c r="B27" s="23">
        <v>1</v>
      </c>
      <c r="C27" s="11" t="s">
        <v>284</v>
      </c>
      <c r="D27" s="11" t="s">
        <v>114</v>
      </c>
      <c r="E27" s="47">
        <v>1</v>
      </c>
      <c r="F27" s="47">
        <v>1</v>
      </c>
      <c r="G27" s="47">
        <v>0</v>
      </c>
      <c r="H27" s="47">
        <v>0</v>
      </c>
      <c r="I27" s="47">
        <v>1</v>
      </c>
      <c r="J27" s="47">
        <v>1</v>
      </c>
      <c r="K27" s="49"/>
      <c r="L27" s="49"/>
      <c r="M27" s="47">
        <v>1</v>
      </c>
      <c r="N27" s="47">
        <v>1</v>
      </c>
      <c r="O27" s="47">
        <v>1</v>
      </c>
      <c r="P27" s="47">
        <v>1</v>
      </c>
      <c r="Q27" s="77"/>
      <c r="R27" s="47">
        <v>0</v>
      </c>
      <c r="S27" s="47">
        <v>1</v>
      </c>
      <c r="T27" s="49"/>
      <c r="U27" s="49"/>
      <c r="V27" s="47">
        <v>1</v>
      </c>
      <c r="W27" s="47">
        <v>1</v>
      </c>
      <c r="X27" s="47">
        <v>1</v>
      </c>
      <c r="Y27" s="47">
        <v>1</v>
      </c>
      <c r="Z27" s="47">
        <v>1</v>
      </c>
      <c r="AA27" s="47">
        <v>1</v>
      </c>
      <c r="AB27" s="47">
        <v>1</v>
      </c>
      <c r="AC27" s="49"/>
      <c r="AD27" s="49"/>
      <c r="AE27" s="47">
        <v>1</v>
      </c>
      <c r="AF27" s="47">
        <v>1</v>
      </c>
      <c r="AG27" s="47"/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ref="AU27:AU43" si="4">SUM(I27:AT27)</f>
        <v>16</v>
      </c>
    </row>
    <row r="28" spans="1:47">
      <c r="A28" s="102"/>
      <c r="B28" s="23">
        <v>2</v>
      </c>
      <c r="C28" s="11" t="s">
        <v>285</v>
      </c>
      <c r="D28" s="11" t="s">
        <v>114</v>
      </c>
      <c r="E28" s="50">
        <v>1</v>
      </c>
      <c r="F28" s="50">
        <v>1</v>
      </c>
      <c r="G28" s="50">
        <v>1</v>
      </c>
      <c r="H28" s="50">
        <v>1</v>
      </c>
      <c r="I28" s="50">
        <v>1</v>
      </c>
      <c r="J28" s="50">
        <v>1</v>
      </c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78"/>
      <c r="R28" s="50">
        <v>1</v>
      </c>
      <c r="S28" s="50">
        <v>1</v>
      </c>
      <c r="T28" s="52"/>
      <c r="U28" s="52"/>
      <c r="V28" s="50">
        <v>1</v>
      </c>
      <c r="W28" s="50">
        <v>1</v>
      </c>
      <c r="X28" s="50">
        <v>0</v>
      </c>
      <c r="Y28" s="50">
        <v>1</v>
      </c>
      <c r="Z28" s="50">
        <v>0</v>
      </c>
      <c r="AA28" s="50">
        <v>1</v>
      </c>
      <c r="AB28" s="50">
        <v>1</v>
      </c>
      <c r="AC28" s="52"/>
      <c r="AD28" s="52"/>
      <c r="AE28" s="50">
        <v>1</v>
      </c>
      <c r="AF28" s="50">
        <v>0</v>
      </c>
      <c r="AG28" s="50"/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4"/>
        <v>14</v>
      </c>
    </row>
    <row r="29" spans="1:47">
      <c r="A29" s="102"/>
      <c r="B29" s="23">
        <v>3</v>
      </c>
      <c r="C29" s="11" t="s">
        <v>286</v>
      </c>
      <c r="D29" s="11" t="s">
        <v>114</v>
      </c>
      <c r="E29" s="50">
        <v>1</v>
      </c>
      <c r="F29" s="50">
        <v>0</v>
      </c>
      <c r="G29" s="50">
        <v>1</v>
      </c>
      <c r="H29" s="50">
        <v>1</v>
      </c>
      <c r="I29" s="50">
        <v>1</v>
      </c>
      <c r="J29" s="50">
        <v>1</v>
      </c>
      <c r="K29" s="52"/>
      <c r="L29" s="52"/>
      <c r="M29" s="50">
        <v>1</v>
      </c>
      <c r="N29" s="50">
        <v>1</v>
      </c>
      <c r="O29" s="50">
        <v>0</v>
      </c>
      <c r="P29" s="50">
        <v>1</v>
      </c>
      <c r="Q29" s="78"/>
      <c r="R29" s="50">
        <v>1</v>
      </c>
      <c r="S29" s="50">
        <v>1</v>
      </c>
      <c r="T29" s="52"/>
      <c r="U29" s="52"/>
      <c r="V29" s="50">
        <v>1</v>
      </c>
      <c r="W29" s="50">
        <v>1</v>
      </c>
      <c r="X29" s="50">
        <v>0</v>
      </c>
      <c r="Y29" s="50">
        <v>1</v>
      </c>
      <c r="Z29" s="50">
        <v>1</v>
      </c>
      <c r="AA29" s="50">
        <v>1</v>
      </c>
      <c r="AB29" s="50">
        <v>1</v>
      </c>
      <c r="AC29" s="52"/>
      <c r="AD29" s="52"/>
      <c r="AE29" s="50">
        <v>1</v>
      </c>
      <c r="AF29" s="50">
        <v>0</v>
      </c>
      <c r="AG29" s="50"/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4"/>
        <v>14</v>
      </c>
    </row>
    <row r="30" spans="1:47">
      <c r="A30" s="102"/>
      <c r="B30" s="23">
        <v>4</v>
      </c>
      <c r="C30" s="11" t="s">
        <v>287</v>
      </c>
      <c r="D30" s="11" t="s">
        <v>114</v>
      </c>
      <c r="E30" s="50">
        <v>1</v>
      </c>
      <c r="F30" s="50">
        <v>1</v>
      </c>
      <c r="G30" s="50">
        <v>1</v>
      </c>
      <c r="H30" s="50">
        <v>1</v>
      </c>
      <c r="I30" s="50">
        <v>1</v>
      </c>
      <c r="J30" s="50">
        <v>1</v>
      </c>
      <c r="K30" s="52"/>
      <c r="L30" s="52"/>
      <c r="M30" s="50">
        <v>1</v>
      </c>
      <c r="N30" s="50">
        <v>1</v>
      </c>
      <c r="O30" s="50">
        <v>1</v>
      </c>
      <c r="P30" s="50">
        <v>1</v>
      </c>
      <c r="Q30" s="78"/>
      <c r="R30" s="50">
        <v>1</v>
      </c>
      <c r="S30" s="50">
        <v>1</v>
      </c>
      <c r="T30" s="52"/>
      <c r="U30" s="52"/>
      <c r="V30" s="50">
        <v>1</v>
      </c>
      <c r="W30" s="50">
        <v>1</v>
      </c>
      <c r="X30" s="50">
        <v>1</v>
      </c>
      <c r="Y30" s="50">
        <v>1</v>
      </c>
      <c r="Z30" s="50">
        <v>1</v>
      </c>
      <c r="AA30" s="50">
        <v>1</v>
      </c>
      <c r="AB30" s="50">
        <v>1</v>
      </c>
      <c r="AC30" s="52"/>
      <c r="AD30" s="52"/>
      <c r="AE30" s="50">
        <v>1</v>
      </c>
      <c r="AF30" s="50">
        <v>0</v>
      </c>
      <c r="AG30" s="50"/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4"/>
        <v>16</v>
      </c>
    </row>
    <row r="31" spans="1:47">
      <c r="A31" s="102"/>
      <c r="B31" s="23">
        <v>5</v>
      </c>
      <c r="C31" s="9" t="s">
        <v>288</v>
      </c>
      <c r="D31" s="9" t="s">
        <v>114</v>
      </c>
      <c r="E31" s="65">
        <v>1</v>
      </c>
      <c r="F31" s="65">
        <v>0</v>
      </c>
      <c r="G31" s="65">
        <v>1</v>
      </c>
      <c r="H31" s="50">
        <v>1</v>
      </c>
      <c r="I31" s="50">
        <v>1</v>
      </c>
      <c r="J31" s="50">
        <v>1</v>
      </c>
      <c r="K31" s="52"/>
      <c r="L31" s="52"/>
      <c r="M31" s="50">
        <v>1</v>
      </c>
      <c r="N31" s="50">
        <v>1</v>
      </c>
      <c r="O31" s="50">
        <v>1</v>
      </c>
      <c r="P31" s="50">
        <v>1</v>
      </c>
      <c r="Q31" s="78"/>
      <c r="R31" s="50">
        <v>1</v>
      </c>
      <c r="S31" s="50">
        <v>0</v>
      </c>
      <c r="T31" s="52"/>
      <c r="U31" s="52"/>
      <c r="V31" s="50">
        <v>1</v>
      </c>
      <c r="W31" s="50">
        <v>1</v>
      </c>
      <c r="X31" s="50">
        <v>1</v>
      </c>
      <c r="Y31" s="50">
        <v>1</v>
      </c>
      <c r="Z31" s="50">
        <v>1</v>
      </c>
      <c r="AA31" s="50">
        <v>1</v>
      </c>
      <c r="AB31" s="50">
        <v>1</v>
      </c>
      <c r="AC31" s="52"/>
      <c r="AD31" s="52"/>
      <c r="AE31" s="50">
        <v>1</v>
      </c>
      <c r="AF31" s="50">
        <v>1</v>
      </c>
      <c r="AG31" s="50"/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4"/>
        <v>16</v>
      </c>
    </row>
    <row r="32" spans="1:47">
      <c r="A32" s="102"/>
      <c r="B32" s="23">
        <v>6</v>
      </c>
      <c r="C32" s="11" t="s">
        <v>289</v>
      </c>
      <c r="D32" s="11" t="s">
        <v>114</v>
      </c>
      <c r="E32" s="50">
        <v>1</v>
      </c>
      <c r="F32" s="50">
        <v>1</v>
      </c>
      <c r="G32" s="50">
        <v>1</v>
      </c>
      <c r="H32" s="50">
        <v>0</v>
      </c>
      <c r="I32" s="50">
        <v>0</v>
      </c>
      <c r="J32" s="50">
        <v>0</v>
      </c>
      <c r="K32" s="52"/>
      <c r="L32" s="52"/>
      <c r="M32" s="50">
        <v>0</v>
      </c>
      <c r="N32" s="50">
        <v>1</v>
      </c>
      <c r="O32" s="50">
        <v>1</v>
      </c>
      <c r="P32" s="50">
        <v>1</v>
      </c>
      <c r="Q32" s="78"/>
      <c r="R32" s="50">
        <v>0</v>
      </c>
      <c r="S32" s="50">
        <v>1</v>
      </c>
      <c r="T32" s="52"/>
      <c r="U32" s="52"/>
      <c r="V32" s="50">
        <v>1</v>
      </c>
      <c r="W32" s="50">
        <v>0</v>
      </c>
      <c r="X32" s="50">
        <v>0</v>
      </c>
      <c r="Y32" s="50">
        <v>0</v>
      </c>
      <c r="Z32" s="50">
        <v>0</v>
      </c>
      <c r="AA32" s="50">
        <v>1</v>
      </c>
      <c r="AB32" s="50">
        <v>1</v>
      </c>
      <c r="AC32" s="52"/>
      <c r="AD32" s="52"/>
      <c r="AE32" s="50">
        <v>0</v>
      </c>
      <c r="AF32" s="50">
        <v>0</v>
      </c>
      <c r="AG32" s="50"/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4"/>
        <v>7</v>
      </c>
    </row>
    <row r="33" spans="1:47">
      <c r="A33" s="102"/>
      <c r="B33" s="23">
        <v>7</v>
      </c>
      <c r="C33" s="11" t="s">
        <v>290</v>
      </c>
      <c r="D33" s="11" t="s">
        <v>114</v>
      </c>
      <c r="E33" s="89">
        <v>0</v>
      </c>
      <c r="F33" s="89">
        <v>0</v>
      </c>
      <c r="G33" s="89">
        <v>0</v>
      </c>
      <c r="H33" s="87">
        <v>0</v>
      </c>
      <c r="I33" s="87">
        <v>0</v>
      </c>
      <c r="J33" s="50">
        <v>1</v>
      </c>
      <c r="K33" s="52"/>
      <c r="L33" s="52"/>
      <c r="M33" s="50">
        <v>1</v>
      </c>
      <c r="N33" s="50">
        <v>1</v>
      </c>
      <c r="O33" s="50">
        <v>1</v>
      </c>
      <c r="P33" s="50">
        <v>1</v>
      </c>
      <c r="Q33" s="78"/>
      <c r="R33" s="50">
        <v>1</v>
      </c>
      <c r="S33" s="50">
        <v>1</v>
      </c>
      <c r="T33" s="52"/>
      <c r="U33" s="52"/>
      <c r="V33" s="50">
        <v>0</v>
      </c>
      <c r="W33" s="50">
        <v>1</v>
      </c>
      <c r="X33" s="50">
        <v>0</v>
      </c>
      <c r="Y33" s="50">
        <v>1</v>
      </c>
      <c r="Z33" s="50">
        <v>1</v>
      </c>
      <c r="AA33" s="50">
        <v>1</v>
      </c>
      <c r="AB33" s="50">
        <v>0</v>
      </c>
      <c r="AC33" s="52"/>
      <c r="AD33" s="52"/>
      <c r="AE33" s="50">
        <v>1</v>
      </c>
      <c r="AF33" s="50">
        <v>1</v>
      </c>
      <c r="AG33" s="50"/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4"/>
        <v>13</v>
      </c>
    </row>
    <row r="34" spans="1:47">
      <c r="A34" s="102"/>
      <c r="B34" s="23">
        <v>8</v>
      </c>
      <c r="C34" s="11" t="s">
        <v>291</v>
      </c>
      <c r="D34" s="11" t="s">
        <v>120</v>
      </c>
      <c r="E34" s="50">
        <v>1</v>
      </c>
      <c r="F34" s="50">
        <v>0</v>
      </c>
      <c r="G34" s="50">
        <v>1</v>
      </c>
      <c r="H34" s="50">
        <v>1</v>
      </c>
      <c r="I34" s="50">
        <v>1</v>
      </c>
      <c r="J34" s="50">
        <v>1</v>
      </c>
      <c r="K34" s="52"/>
      <c r="L34" s="52"/>
      <c r="M34" s="50">
        <v>1</v>
      </c>
      <c r="N34" s="50">
        <v>1</v>
      </c>
      <c r="O34" s="50">
        <v>1</v>
      </c>
      <c r="P34" s="50">
        <v>1</v>
      </c>
      <c r="Q34" s="78"/>
      <c r="R34" s="50">
        <v>1</v>
      </c>
      <c r="S34" s="50">
        <v>0</v>
      </c>
      <c r="T34" s="52"/>
      <c r="U34" s="52"/>
      <c r="V34" s="50">
        <v>1</v>
      </c>
      <c r="W34" s="50">
        <v>1</v>
      </c>
      <c r="X34" s="50">
        <v>0</v>
      </c>
      <c r="Y34" s="50">
        <v>0</v>
      </c>
      <c r="Z34" s="50">
        <v>1</v>
      </c>
      <c r="AA34" s="50">
        <v>1</v>
      </c>
      <c r="AB34" s="50">
        <v>1</v>
      </c>
      <c r="AC34" s="52"/>
      <c r="AD34" s="52"/>
      <c r="AE34" s="50">
        <v>0</v>
      </c>
      <c r="AF34" s="50">
        <v>1</v>
      </c>
      <c r="AG34" s="50"/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4"/>
        <v>13</v>
      </c>
    </row>
    <row r="35" spans="1:47">
      <c r="B35" s="23">
        <v>9</v>
      </c>
      <c r="C35" s="11" t="s">
        <v>292</v>
      </c>
      <c r="D35" s="11" t="s">
        <v>120</v>
      </c>
      <c r="E35" s="50">
        <v>1</v>
      </c>
      <c r="F35" s="50">
        <v>0</v>
      </c>
      <c r="G35" s="50">
        <v>1</v>
      </c>
      <c r="H35" s="47">
        <v>1</v>
      </c>
      <c r="I35" s="47">
        <v>1</v>
      </c>
      <c r="J35" s="47">
        <v>1</v>
      </c>
      <c r="K35" s="49"/>
      <c r="L35" s="49"/>
      <c r="M35" s="47">
        <v>1</v>
      </c>
      <c r="N35" s="47">
        <v>1</v>
      </c>
      <c r="O35" s="47">
        <v>0</v>
      </c>
      <c r="P35" s="47">
        <v>1</v>
      </c>
      <c r="Q35" s="77"/>
      <c r="R35" s="47">
        <v>0</v>
      </c>
      <c r="S35" s="47">
        <v>1</v>
      </c>
      <c r="T35" s="49"/>
      <c r="U35" s="49"/>
      <c r="V35" s="47">
        <v>0</v>
      </c>
      <c r="W35" s="47">
        <v>1</v>
      </c>
      <c r="X35" s="47">
        <v>0</v>
      </c>
      <c r="Y35" s="47">
        <v>1</v>
      </c>
      <c r="Z35" s="47">
        <v>0</v>
      </c>
      <c r="AA35" s="47">
        <v>1</v>
      </c>
      <c r="AB35" s="47">
        <v>0</v>
      </c>
      <c r="AC35" s="49"/>
      <c r="AD35" s="49"/>
      <c r="AE35" s="47">
        <v>0</v>
      </c>
      <c r="AF35" s="47">
        <v>0</v>
      </c>
      <c r="AG35" s="47"/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4"/>
        <v>9</v>
      </c>
    </row>
    <row r="36" spans="1:47">
      <c r="B36" s="23">
        <v>10</v>
      </c>
      <c r="C36" s="53" t="s">
        <v>293</v>
      </c>
      <c r="D36" s="11" t="s">
        <v>120</v>
      </c>
      <c r="E36" s="50">
        <v>1</v>
      </c>
      <c r="F36" s="50">
        <v>1</v>
      </c>
      <c r="G36" s="50">
        <v>1</v>
      </c>
      <c r="H36" s="50">
        <v>1</v>
      </c>
      <c r="I36" s="50">
        <v>1</v>
      </c>
      <c r="J36" s="50">
        <v>1</v>
      </c>
      <c r="K36" s="52"/>
      <c r="L36" s="52"/>
      <c r="M36" s="50">
        <v>1</v>
      </c>
      <c r="N36" s="50">
        <v>1</v>
      </c>
      <c r="O36" s="50">
        <v>1</v>
      </c>
      <c r="P36" s="50">
        <v>1</v>
      </c>
      <c r="Q36" s="78"/>
      <c r="R36" s="50">
        <v>0</v>
      </c>
      <c r="S36" s="50">
        <v>1</v>
      </c>
      <c r="T36" s="52"/>
      <c r="U36" s="52"/>
      <c r="V36" s="50">
        <v>1</v>
      </c>
      <c r="W36" s="50">
        <v>1</v>
      </c>
      <c r="X36" s="50">
        <v>1</v>
      </c>
      <c r="Y36" s="50">
        <v>0</v>
      </c>
      <c r="Z36" s="50">
        <v>1</v>
      </c>
      <c r="AA36" s="50">
        <v>0</v>
      </c>
      <c r="AB36" s="50">
        <v>1</v>
      </c>
      <c r="AC36" s="52"/>
      <c r="AD36" s="52"/>
      <c r="AE36" s="50">
        <v>1</v>
      </c>
      <c r="AF36" s="50">
        <v>1</v>
      </c>
      <c r="AG36" s="50"/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4"/>
        <v>14</v>
      </c>
    </row>
    <row r="37" spans="1:47">
      <c r="B37" s="23">
        <v>11</v>
      </c>
      <c r="C37" s="24" t="s">
        <v>294</v>
      </c>
      <c r="D37" s="9" t="s">
        <v>120</v>
      </c>
      <c r="E37" s="87">
        <v>0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2"/>
      <c r="L37" s="52"/>
      <c r="M37" s="50">
        <v>1</v>
      </c>
      <c r="N37" s="50">
        <v>1</v>
      </c>
      <c r="O37" s="50">
        <v>1</v>
      </c>
      <c r="P37" s="50">
        <v>0</v>
      </c>
      <c r="Q37" s="78"/>
      <c r="R37" s="50">
        <v>1</v>
      </c>
      <c r="S37" s="50">
        <v>1</v>
      </c>
      <c r="T37" s="52"/>
      <c r="U37" s="52"/>
      <c r="V37" s="50">
        <v>1</v>
      </c>
      <c r="W37" s="50">
        <v>1</v>
      </c>
      <c r="X37" s="50">
        <v>0</v>
      </c>
      <c r="Y37" s="50">
        <v>0</v>
      </c>
      <c r="Z37" s="50">
        <v>0</v>
      </c>
      <c r="AA37" s="50">
        <v>1</v>
      </c>
      <c r="AB37" s="50">
        <v>1</v>
      </c>
      <c r="AC37" s="52"/>
      <c r="AD37" s="52"/>
      <c r="AE37" s="50">
        <v>1</v>
      </c>
      <c r="AF37" s="50">
        <v>0</v>
      </c>
      <c r="AG37" s="50"/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4"/>
        <v>12</v>
      </c>
    </row>
    <row r="38" spans="1:47">
      <c r="B38" s="23">
        <v>12</v>
      </c>
      <c r="C38" s="11" t="s">
        <v>295</v>
      </c>
      <c r="D38" s="11" t="s">
        <v>120</v>
      </c>
      <c r="E38" s="87">
        <v>0</v>
      </c>
      <c r="F38" s="87">
        <v>0</v>
      </c>
      <c r="G38" s="50">
        <v>1</v>
      </c>
      <c r="H38" s="50">
        <v>1</v>
      </c>
      <c r="I38" s="50">
        <v>1</v>
      </c>
      <c r="J38" s="50">
        <v>1</v>
      </c>
      <c r="K38" s="52"/>
      <c r="L38" s="52"/>
      <c r="M38" s="50">
        <v>1</v>
      </c>
      <c r="N38" s="50">
        <v>1</v>
      </c>
      <c r="O38" s="50">
        <v>1</v>
      </c>
      <c r="P38" s="50">
        <v>1</v>
      </c>
      <c r="Q38" s="78"/>
      <c r="R38" s="50">
        <v>1</v>
      </c>
      <c r="S38" s="50">
        <v>1</v>
      </c>
      <c r="T38" s="52"/>
      <c r="U38" s="52"/>
      <c r="V38" s="50">
        <v>1</v>
      </c>
      <c r="W38" s="50">
        <v>1</v>
      </c>
      <c r="X38" s="50">
        <v>1</v>
      </c>
      <c r="Y38" s="50">
        <v>1</v>
      </c>
      <c r="Z38" s="50">
        <v>0</v>
      </c>
      <c r="AA38" s="50">
        <v>1</v>
      </c>
      <c r="AB38" s="50">
        <v>1</v>
      </c>
      <c r="AC38" s="52"/>
      <c r="AD38" s="52"/>
      <c r="AE38" s="50">
        <v>1</v>
      </c>
      <c r="AF38" s="50">
        <v>1</v>
      </c>
      <c r="AG38" s="50"/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4"/>
        <v>16</v>
      </c>
    </row>
    <row r="39" spans="1:47">
      <c r="B39" s="23">
        <v>13</v>
      </c>
      <c r="C39" s="53" t="s">
        <v>296</v>
      </c>
      <c r="D39" s="11" t="s">
        <v>120</v>
      </c>
      <c r="E39" s="87">
        <v>0</v>
      </c>
      <c r="F39" s="50">
        <v>1</v>
      </c>
      <c r="G39" s="50">
        <v>1</v>
      </c>
      <c r="H39" s="50">
        <v>0</v>
      </c>
      <c r="I39" s="50">
        <v>1</v>
      </c>
      <c r="J39" s="50">
        <v>0</v>
      </c>
      <c r="K39" s="52"/>
      <c r="L39" s="52"/>
      <c r="M39" s="50">
        <v>0</v>
      </c>
      <c r="N39" s="50">
        <v>1</v>
      </c>
      <c r="O39" s="50">
        <v>1</v>
      </c>
      <c r="P39" s="50">
        <v>1</v>
      </c>
      <c r="Q39" s="78"/>
      <c r="R39" s="50">
        <v>1</v>
      </c>
      <c r="S39" s="50">
        <v>1</v>
      </c>
      <c r="T39" s="52"/>
      <c r="U39" s="52"/>
      <c r="V39" s="50">
        <v>1</v>
      </c>
      <c r="W39" s="50">
        <v>1</v>
      </c>
      <c r="X39" s="50">
        <v>0</v>
      </c>
      <c r="Y39" s="50">
        <v>1</v>
      </c>
      <c r="Z39" s="50">
        <v>1</v>
      </c>
      <c r="AA39" s="50">
        <v>1</v>
      </c>
      <c r="AB39" s="50">
        <v>1</v>
      </c>
      <c r="AC39" s="52"/>
      <c r="AD39" s="52"/>
      <c r="AE39" s="50">
        <v>0</v>
      </c>
      <c r="AF39" s="50">
        <v>1</v>
      </c>
      <c r="AG39" s="50"/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4"/>
        <v>13</v>
      </c>
    </row>
    <row r="40" spans="1:47">
      <c r="B40" s="23">
        <v>14</v>
      </c>
      <c r="C40" s="11" t="s">
        <v>297</v>
      </c>
      <c r="D40" s="11" t="s">
        <v>120</v>
      </c>
      <c r="E40" s="87">
        <v>0</v>
      </c>
      <c r="F40" s="50">
        <v>1</v>
      </c>
      <c r="G40" s="50">
        <v>1</v>
      </c>
      <c r="H40" s="50">
        <v>1</v>
      </c>
      <c r="I40" s="50">
        <v>1</v>
      </c>
      <c r="J40" s="50">
        <v>0</v>
      </c>
      <c r="K40" s="52"/>
      <c r="L40" s="52"/>
      <c r="M40" s="50">
        <v>0</v>
      </c>
      <c r="N40" s="50">
        <v>0</v>
      </c>
      <c r="O40" s="50">
        <v>0</v>
      </c>
      <c r="P40" s="50">
        <v>1</v>
      </c>
      <c r="Q40" s="78"/>
      <c r="R40" s="50">
        <v>0</v>
      </c>
      <c r="S40" s="50">
        <v>1</v>
      </c>
      <c r="T40" s="52"/>
      <c r="U40" s="52"/>
      <c r="V40" s="50">
        <v>1</v>
      </c>
      <c r="W40" s="50">
        <v>1</v>
      </c>
      <c r="X40" s="50">
        <v>1</v>
      </c>
      <c r="Y40" s="50">
        <v>0</v>
      </c>
      <c r="Z40" s="50">
        <v>1</v>
      </c>
      <c r="AA40" s="50">
        <v>0</v>
      </c>
      <c r="AB40" s="50">
        <v>0</v>
      </c>
      <c r="AC40" s="52"/>
      <c r="AD40" s="52"/>
      <c r="AE40" s="50">
        <v>1</v>
      </c>
      <c r="AF40" s="50">
        <v>1</v>
      </c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4"/>
        <v>9</v>
      </c>
    </row>
    <row r="41" spans="1:47">
      <c r="B41" s="23">
        <v>15</v>
      </c>
      <c r="C41" s="11" t="s">
        <v>298</v>
      </c>
      <c r="D41" s="11" t="s">
        <v>120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/>
      <c r="L41" s="87"/>
      <c r="M41" s="87">
        <v>0</v>
      </c>
      <c r="N41" s="87">
        <v>0</v>
      </c>
      <c r="O41" s="50">
        <v>1</v>
      </c>
      <c r="P41" s="50">
        <v>1</v>
      </c>
      <c r="Q41" s="78"/>
      <c r="R41" s="50">
        <v>1</v>
      </c>
      <c r="S41" s="50">
        <v>1</v>
      </c>
      <c r="T41" s="52"/>
      <c r="U41" s="52"/>
      <c r="V41" s="50">
        <v>1</v>
      </c>
      <c r="W41" s="50">
        <v>1</v>
      </c>
      <c r="X41" s="50">
        <v>0</v>
      </c>
      <c r="Y41" s="50">
        <v>1</v>
      </c>
      <c r="Z41" s="50">
        <v>0</v>
      </c>
      <c r="AA41" s="50">
        <v>1</v>
      </c>
      <c r="AB41" s="50">
        <v>1</v>
      </c>
      <c r="AC41" s="52"/>
      <c r="AD41" s="52"/>
      <c r="AE41" s="50">
        <v>1</v>
      </c>
      <c r="AF41" s="50">
        <v>1</v>
      </c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4"/>
        <v>11</v>
      </c>
    </row>
    <row r="42" spans="1:47">
      <c r="B42" s="23">
        <v>16</v>
      </c>
      <c r="C42" s="11" t="s">
        <v>299</v>
      </c>
      <c r="D42" s="11" t="s">
        <v>114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/>
      <c r="L42" s="87"/>
      <c r="M42" s="87">
        <v>0</v>
      </c>
      <c r="N42" s="87">
        <v>0</v>
      </c>
      <c r="O42" s="87">
        <v>0</v>
      </c>
      <c r="P42" s="87">
        <v>0</v>
      </c>
      <c r="Q42" s="78"/>
      <c r="R42" s="87">
        <v>0</v>
      </c>
      <c r="S42" s="87">
        <v>0</v>
      </c>
      <c r="T42" s="87"/>
      <c r="U42" s="87"/>
      <c r="V42" s="87">
        <v>0</v>
      </c>
      <c r="W42" s="87">
        <v>0</v>
      </c>
      <c r="X42" s="87">
        <v>0</v>
      </c>
      <c r="Y42" s="87">
        <v>0</v>
      </c>
      <c r="Z42" s="87"/>
      <c r="AA42" s="50">
        <v>1</v>
      </c>
      <c r="AB42" s="50">
        <v>1</v>
      </c>
      <c r="AC42" s="52"/>
      <c r="AD42" s="52"/>
      <c r="AE42" s="50">
        <v>1</v>
      </c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4"/>
        <v>3</v>
      </c>
    </row>
    <row r="43" spans="1:47" ht="19.5">
      <c r="B43" s="68">
        <v>16</v>
      </c>
      <c r="C43" s="12" t="s">
        <v>58</v>
      </c>
      <c r="D43" s="11"/>
      <c r="E43" s="8">
        <f>COUNTIF(E27:E42,"1")</f>
        <v>9</v>
      </c>
      <c r="F43" s="8">
        <f t="shared" ref="F43:AT43" si="5">COUNTIF(F27:F42,"1")</f>
        <v>8</v>
      </c>
      <c r="G43" s="8">
        <f t="shared" si="5"/>
        <v>12</v>
      </c>
      <c r="H43" s="8">
        <f t="shared" si="5"/>
        <v>10</v>
      </c>
      <c r="I43" s="8">
        <f t="shared" si="5"/>
        <v>12</v>
      </c>
      <c r="J43" s="8">
        <f t="shared" si="5"/>
        <v>11</v>
      </c>
      <c r="K43" s="8">
        <f t="shared" si="5"/>
        <v>0</v>
      </c>
      <c r="L43" s="8">
        <f t="shared" si="5"/>
        <v>0</v>
      </c>
      <c r="M43" s="8">
        <f t="shared" si="5"/>
        <v>11</v>
      </c>
      <c r="N43" s="8">
        <f t="shared" si="5"/>
        <v>13</v>
      </c>
      <c r="O43" s="8">
        <f t="shared" si="5"/>
        <v>12</v>
      </c>
      <c r="P43" s="8">
        <f t="shared" si="5"/>
        <v>14</v>
      </c>
      <c r="Q43" s="8">
        <f t="shared" si="5"/>
        <v>0</v>
      </c>
      <c r="R43" s="8">
        <f t="shared" si="5"/>
        <v>10</v>
      </c>
      <c r="S43" s="8">
        <f t="shared" si="5"/>
        <v>13</v>
      </c>
      <c r="T43" s="8">
        <f t="shared" si="5"/>
        <v>0</v>
      </c>
      <c r="U43" s="8">
        <f t="shared" si="5"/>
        <v>0</v>
      </c>
      <c r="V43" s="8">
        <f t="shared" si="5"/>
        <v>13</v>
      </c>
      <c r="W43" s="8">
        <f t="shared" si="5"/>
        <v>14</v>
      </c>
      <c r="X43" s="8">
        <f t="shared" si="5"/>
        <v>6</v>
      </c>
      <c r="Y43" s="8">
        <f t="shared" si="5"/>
        <v>10</v>
      </c>
      <c r="Z43" s="8">
        <f t="shared" si="5"/>
        <v>9</v>
      </c>
      <c r="AA43" s="8">
        <f t="shared" si="5"/>
        <v>14</v>
      </c>
      <c r="AB43" s="8">
        <f t="shared" si="5"/>
        <v>13</v>
      </c>
      <c r="AC43" s="8">
        <f t="shared" si="5"/>
        <v>0</v>
      </c>
      <c r="AD43" s="8">
        <f t="shared" si="5"/>
        <v>0</v>
      </c>
      <c r="AE43" s="8">
        <f t="shared" si="5"/>
        <v>12</v>
      </c>
      <c r="AF43" s="8">
        <f t="shared" si="5"/>
        <v>9</v>
      </c>
      <c r="AG43" s="8">
        <f t="shared" si="5"/>
        <v>0</v>
      </c>
      <c r="AH43" s="8">
        <f t="shared" si="5"/>
        <v>0</v>
      </c>
      <c r="AI43" s="8">
        <f t="shared" si="5"/>
        <v>0</v>
      </c>
      <c r="AJ43" s="8">
        <f t="shared" si="5"/>
        <v>0</v>
      </c>
      <c r="AK43" s="8">
        <f t="shared" si="5"/>
        <v>0</v>
      </c>
      <c r="AL43" s="8">
        <f t="shared" si="5"/>
        <v>0</v>
      </c>
      <c r="AM43" s="8">
        <f t="shared" si="5"/>
        <v>0</v>
      </c>
      <c r="AN43" s="8">
        <f t="shared" si="5"/>
        <v>0</v>
      </c>
      <c r="AO43" s="8">
        <f t="shared" si="5"/>
        <v>0</v>
      </c>
      <c r="AP43" s="8">
        <f t="shared" si="5"/>
        <v>0</v>
      </c>
      <c r="AQ43" s="8">
        <f t="shared" si="5"/>
        <v>0</v>
      </c>
      <c r="AR43" s="8">
        <f t="shared" si="5"/>
        <v>0</v>
      </c>
      <c r="AS43" s="8">
        <f t="shared" si="5"/>
        <v>0</v>
      </c>
      <c r="AT43" s="8">
        <f t="shared" si="5"/>
        <v>0</v>
      </c>
      <c r="AU43" s="1">
        <f t="shared" si="4"/>
        <v>196</v>
      </c>
    </row>
    <row r="44" spans="1:47" ht="15" customHeight="1">
      <c r="A44"/>
      <c r="B44"/>
      <c r="C44"/>
      <c r="D44"/>
      <c r="E44" s="99">
        <v>45913</v>
      </c>
      <c r="F44" s="99">
        <f>E44+7</f>
        <v>45920</v>
      </c>
      <c r="G44" s="99">
        <f t="shared" ref="G44:AT44" si="6">F44+7</f>
        <v>45927</v>
      </c>
      <c r="H44" s="99">
        <f t="shared" si="6"/>
        <v>45934</v>
      </c>
      <c r="I44" s="99">
        <f t="shared" si="6"/>
        <v>45941</v>
      </c>
      <c r="J44" s="99">
        <f t="shared" si="6"/>
        <v>45948</v>
      </c>
      <c r="K44" s="99">
        <f t="shared" si="6"/>
        <v>45955</v>
      </c>
      <c r="L44" s="99">
        <f t="shared" si="6"/>
        <v>45962</v>
      </c>
      <c r="M44" s="99">
        <f t="shared" si="6"/>
        <v>45969</v>
      </c>
      <c r="N44" s="99">
        <f t="shared" si="6"/>
        <v>45976</v>
      </c>
      <c r="O44" s="99">
        <f t="shared" si="6"/>
        <v>45983</v>
      </c>
      <c r="P44" s="99">
        <f t="shared" si="6"/>
        <v>45990</v>
      </c>
      <c r="Q44" s="99">
        <f t="shared" si="6"/>
        <v>45997</v>
      </c>
      <c r="R44" s="99">
        <f t="shared" si="6"/>
        <v>46004</v>
      </c>
      <c r="S44" s="99">
        <f t="shared" si="6"/>
        <v>46011</v>
      </c>
      <c r="T44" s="99">
        <f t="shared" si="6"/>
        <v>46018</v>
      </c>
      <c r="U44" s="99">
        <f t="shared" si="6"/>
        <v>46025</v>
      </c>
      <c r="V44" s="99">
        <f t="shared" si="6"/>
        <v>46032</v>
      </c>
      <c r="W44" s="99">
        <f t="shared" si="6"/>
        <v>46039</v>
      </c>
      <c r="X44" s="99">
        <f t="shared" si="6"/>
        <v>46046</v>
      </c>
      <c r="Y44" s="99">
        <f t="shared" si="6"/>
        <v>46053</v>
      </c>
      <c r="Z44" s="99">
        <f t="shared" si="6"/>
        <v>46060</v>
      </c>
      <c r="AA44" s="99">
        <f t="shared" si="6"/>
        <v>46067</v>
      </c>
      <c r="AB44" s="99">
        <f t="shared" si="6"/>
        <v>46074</v>
      </c>
      <c r="AC44" s="99">
        <f t="shared" si="6"/>
        <v>46081</v>
      </c>
      <c r="AD44" s="99">
        <f t="shared" si="6"/>
        <v>46088</v>
      </c>
      <c r="AE44" s="99">
        <f t="shared" si="6"/>
        <v>46095</v>
      </c>
      <c r="AF44" s="99">
        <f t="shared" si="6"/>
        <v>46102</v>
      </c>
      <c r="AG44" s="99">
        <f t="shared" si="6"/>
        <v>46109</v>
      </c>
      <c r="AH44" s="99">
        <f t="shared" si="6"/>
        <v>46116</v>
      </c>
      <c r="AI44" s="99">
        <f t="shared" si="6"/>
        <v>46123</v>
      </c>
      <c r="AJ44" s="99">
        <f t="shared" si="6"/>
        <v>46130</v>
      </c>
      <c r="AK44" s="99">
        <f t="shared" si="6"/>
        <v>46137</v>
      </c>
      <c r="AL44" s="99">
        <f t="shared" si="6"/>
        <v>46144</v>
      </c>
      <c r="AM44" s="99">
        <f t="shared" si="6"/>
        <v>46151</v>
      </c>
      <c r="AN44" s="99">
        <f t="shared" si="6"/>
        <v>46158</v>
      </c>
      <c r="AO44" s="99">
        <f t="shared" si="6"/>
        <v>46165</v>
      </c>
      <c r="AP44" s="99">
        <f t="shared" si="6"/>
        <v>46172</v>
      </c>
      <c r="AQ44" s="99">
        <f t="shared" si="6"/>
        <v>46179</v>
      </c>
      <c r="AR44" s="99">
        <f t="shared" si="6"/>
        <v>46186</v>
      </c>
      <c r="AS44" s="99">
        <f t="shared" si="6"/>
        <v>46193</v>
      </c>
      <c r="AT44" s="99">
        <f t="shared" si="6"/>
        <v>46200</v>
      </c>
    </row>
    <row r="45" spans="1:47" ht="15" customHeight="1">
      <c r="A45"/>
      <c r="B45"/>
      <c r="C45"/>
      <c r="D45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</row>
    <row r="46" spans="1:47" ht="15" customHeight="1">
      <c r="A46"/>
      <c r="B46"/>
      <c r="C46"/>
      <c r="D46"/>
      <c r="E46" s="6" t="s">
        <v>4</v>
      </c>
      <c r="F46" s="15" t="s">
        <v>5</v>
      </c>
      <c r="G46" s="6" t="s">
        <v>6</v>
      </c>
      <c r="H46" s="15" t="s">
        <v>7</v>
      </c>
      <c r="I46" s="6" t="s">
        <v>8</v>
      </c>
      <c r="J46" s="15" t="s">
        <v>9</v>
      </c>
      <c r="K46" s="27" t="s">
        <v>10</v>
      </c>
      <c r="L46" s="27" t="s">
        <v>10</v>
      </c>
      <c r="M46" s="6" t="s">
        <v>11</v>
      </c>
      <c r="N46" s="15" t="s">
        <v>12</v>
      </c>
      <c r="O46" s="6" t="s">
        <v>13</v>
      </c>
      <c r="P46" s="15" t="s">
        <v>14</v>
      </c>
      <c r="Q46" s="6" t="s">
        <v>15</v>
      </c>
      <c r="R46" s="6" t="s">
        <v>16</v>
      </c>
      <c r="S46" s="6" t="s">
        <v>17</v>
      </c>
      <c r="T46" s="27" t="s">
        <v>10</v>
      </c>
      <c r="U46" s="27" t="s">
        <v>10</v>
      </c>
      <c r="V46" s="15" t="s">
        <v>18</v>
      </c>
      <c r="W46" s="6" t="s">
        <v>19</v>
      </c>
      <c r="X46" s="15" t="s">
        <v>20</v>
      </c>
      <c r="Y46" s="6" t="s">
        <v>21</v>
      </c>
      <c r="Z46" s="15" t="s">
        <v>22</v>
      </c>
      <c r="AA46" s="6" t="s">
        <v>23</v>
      </c>
      <c r="AB46" s="15" t="s">
        <v>24</v>
      </c>
      <c r="AC46" s="27" t="s">
        <v>10</v>
      </c>
      <c r="AD46" s="27" t="s">
        <v>10</v>
      </c>
      <c r="AE46" s="6" t="s">
        <v>25</v>
      </c>
      <c r="AF46" s="15" t="s">
        <v>26</v>
      </c>
      <c r="AG46" s="6" t="s">
        <v>27</v>
      </c>
      <c r="AH46" s="6" t="s">
        <v>28</v>
      </c>
      <c r="AI46" s="15" t="s">
        <v>29</v>
      </c>
      <c r="AJ46" s="6" t="s">
        <v>30</v>
      </c>
      <c r="AK46" s="27" t="s">
        <v>10</v>
      </c>
      <c r="AL46" s="27" t="s">
        <v>10</v>
      </c>
      <c r="AM46" s="15" t="s">
        <v>31</v>
      </c>
      <c r="AN46" s="14" t="s">
        <v>32</v>
      </c>
      <c r="AO46" s="15" t="s">
        <v>33</v>
      </c>
      <c r="AP46" s="14" t="s">
        <v>34</v>
      </c>
      <c r="AQ46" s="14" t="s">
        <v>35</v>
      </c>
      <c r="AR46" s="14" t="s">
        <v>36</v>
      </c>
      <c r="AS46" s="14" t="s">
        <v>37</v>
      </c>
      <c r="AT46" s="14" t="s">
        <v>38</v>
      </c>
      <c r="AU46" s="1">
        <f>SUM(I46:AT46)</f>
        <v>0</v>
      </c>
    </row>
    <row r="47" spans="1:47" ht="15" customHeight="1">
      <c r="A47" s="102" t="s">
        <v>157</v>
      </c>
      <c r="B47" s="23">
        <v>1</v>
      </c>
      <c r="C47" s="11" t="s">
        <v>300</v>
      </c>
      <c r="D47" s="11" t="s">
        <v>120</v>
      </c>
      <c r="E47" s="47">
        <v>1</v>
      </c>
      <c r="F47" s="47">
        <v>1</v>
      </c>
      <c r="G47" s="47">
        <v>1</v>
      </c>
      <c r="H47" s="47">
        <v>1</v>
      </c>
      <c r="I47" s="47">
        <v>1</v>
      </c>
      <c r="J47" s="47">
        <v>0</v>
      </c>
      <c r="K47" s="49"/>
      <c r="L47" s="49"/>
      <c r="M47" s="47">
        <v>1</v>
      </c>
      <c r="N47" s="47">
        <v>1</v>
      </c>
      <c r="O47" s="47">
        <v>1</v>
      </c>
      <c r="P47" s="47">
        <v>0</v>
      </c>
      <c r="Q47" s="77"/>
      <c r="R47" s="47">
        <v>1</v>
      </c>
      <c r="S47" s="47">
        <v>1</v>
      </c>
      <c r="T47" s="49"/>
      <c r="U47" s="49"/>
      <c r="V47" s="47"/>
      <c r="W47" s="47">
        <v>1</v>
      </c>
      <c r="X47" s="47">
        <v>1</v>
      </c>
      <c r="Y47" s="47">
        <v>1</v>
      </c>
      <c r="Z47" s="47">
        <v>1</v>
      </c>
      <c r="AA47" s="47">
        <v>1</v>
      </c>
      <c r="AB47" s="47">
        <v>1</v>
      </c>
      <c r="AC47" s="49"/>
      <c r="AD47" s="49"/>
      <c r="AE47" s="47">
        <v>1</v>
      </c>
      <c r="AF47" s="47">
        <v>1</v>
      </c>
      <c r="AG47" s="47">
        <v>1</v>
      </c>
      <c r="AH47" s="48"/>
      <c r="AI47" s="48"/>
      <c r="AJ47" s="48"/>
      <c r="AK47" s="49"/>
      <c r="AL47" s="49"/>
      <c r="AM47" s="48"/>
      <c r="AN47" s="48"/>
      <c r="AO47" s="48"/>
      <c r="AP47" s="48"/>
      <c r="AQ47" s="48"/>
      <c r="AR47" s="48"/>
      <c r="AS47" s="48"/>
      <c r="AT47" s="48"/>
      <c r="AU47" s="1">
        <f t="shared" ref="AU47:AU63" si="7">SUM(I47:AT47)</f>
        <v>15</v>
      </c>
    </row>
    <row r="48" spans="1:47" ht="15" customHeight="1">
      <c r="A48" s="102"/>
      <c r="B48" s="23">
        <v>2</v>
      </c>
      <c r="C48" s="11" t="s">
        <v>301</v>
      </c>
      <c r="D48" s="11" t="s">
        <v>120</v>
      </c>
      <c r="E48" s="50">
        <v>1</v>
      </c>
      <c r="F48" s="50">
        <v>1</v>
      </c>
      <c r="G48" s="50">
        <v>1</v>
      </c>
      <c r="H48" s="50">
        <v>1</v>
      </c>
      <c r="I48" s="50">
        <v>1</v>
      </c>
      <c r="J48" s="50">
        <v>1</v>
      </c>
      <c r="K48" s="52"/>
      <c r="L48" s="52"/>
      <c r="M48" s="50">
        <v>1</v>
      </c>
      <c r="N48" s="50">
        <v>0</v>
      </c>
      <c r="O48" s="50">
        <v>1</v>
      </c>
      <c r="P48" s="50">
        <v>1</v>
      </c>
      <c r="Q48" s="78"/>
      <c r="R48" s="50">
        <v>1</v>
      </c>
      <c r="S48" s="50">
        <v>1</v>
      </c>
      <c r="T48" s="52"/>
      <c r="U48" s="52"/>
      <c r="V48" s="50"/>
      <c r="W48" s="50">
        <v>1</v>
      </c>
      <c r="X48" s="50">
        <v>1</v>
      </c>
      <c r="Y48" s="50">
        <v>1</v>
      </c>
      <c r="Z48" s="50">
        <v>1</v>
      </c>
      <c r="AA48" s="50">
        <v>0</v>
      </c>
      <c r="AB48" s="50">
        <v>1</v>
      </c>
      <c r="AC48" s="52"/>
      <c r="AD48" s="52"/>
      <c r="AE48" s="50">
        <v>1</v>
      </c>
      <c r="AF48" s="50">
        <v>1</v>
      </c>
      <c r="AG48" s="50">
        <v>1</v>
      </c>
      <c r="AH48" s="51"/>
      <c r="AI48" s="51"/>
      <c r="AJ48" s="51"/>
      <c r="AK48" s="52"/>
      <c r="AL48" s="52"/>
      <c r="AM48" s="51"/>
      <c r="AN48" s="51"/>
      <c r="AO48" s="51"/>
      <c r="AP48" s="51"/>
      <c r="AQ48" s="51"/>
      <c r="AR48" s="51"/>
      <c r="AS48" s="51"/>
      <c r="AT48" s="51"/>
      <c r="AU48" s="1">
        <f t="shared" si="7"/>
        <v>15</v>
      </c>
    </row>
    <row r="49" spans="1:47" ht="15" customHeight="1">
      <c r="A49" s="102"/>
      <c r="B49" s="23">
        <v>3</v>
      </c>
      <c r="C49" s="11" t="s">
        <v>302</v>
      </c>
      <c r="D49" s="11" t="s">
        <v>120</v>
      </c>
      <c r="E49" s="50">
        <v>1</v>
      </c>
      <c r="F49" s="50">
        <v>1</v>
      </c>
      <c r="G49" s="50">
        <v>0</v>
      </c>
      <c r="H49" s="50">
        <v>1</v>
      </c>
      <c r="I49" s="50">
        <v>0</v>
      </c>
      <c r="J49" s="50">
        <v>0</v>
      </c>
      <c r="K49" s="52"/>
      <c r="L49" s="52"/>
      <c r="M49" s="50">
        <v>1</v>
      </c>
      <c r="N49" s="50">
        <v>1</v>
      </c>
      <c r="O49" s="50">
        <v>0</v>
      </c>
      <c r="P49" s="50">
        <v>1</v>
      </c>
      <c r="Q49" s="78"/>
      <c r="R49" s="50">
        <v>0</v>
      </c>
      <c r="S49" s="50">
        <v>0</v>
      </c>
      <c r="T49" s="52"/>
      <c r="U49" s="52"/>
      <c r="V49" s="50"/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2"/>
      <c r="AD49" s="52"/>
      <c r="AE49" s="50">
        <v>0</v>
      </c>
      <c r="AF49" s="50">
        <v>0</v>
      </c>
      <c r="AG49" s="50">
        <v>0</v>
      </c>
      <c r="AH49" s="51"/>
      <c r="AI49" s="51"/>
      <c r="AJ49" s="51"/>
      <c r="AK49" s="52"/>
      <c r="AL49" s="52"/>
      <c r="AM49" s="51"/>
      <c r="AN49" s="51"/>
      <c r="AO49" s="51"/>
      <c r="AP49" s="51"/>
      <c r="AQ49" s="51"/>
      <c r="AR49" s="51"/>
      <c r="AS49" s="51"/>
      <c r="AT49" s="51"/>
      <c r="AU49" s="1">
        <f t="shared" si="7"/>
        <v>3</v>
      </c>
    </row>
    <row r="50" spans="1:47" ht="15" customHeight="1">
      <c r="A50" s="102"/>
      <c r="B50" s="23">
        <v>4</v>
      </c>
      <c r="C50" s="11" t="s">
        <v>303</v>
      </c>
      <c r="D50" s="11" t="s">
        <v>123</v>
      </c>
      <c r="E50" s="50">
        <v>1</v>
      </c>
      <c r="F50" s="50">
        <v>1</v>
      </c>
      <c r="G50" s="50">
        <v>1</v>
      </c>
      <c r="H50" s="50">
        <v>1</v>
      </c>
      <c r="I50" s="50">
        <v>1</v>
      </c>
      <c r="J50" s="50" t="s">
        <v>304</v>
      </c>
      <c r="K50" s="52"/>
      <c r="L50" s="52"/>
      <c r="M50" s="50">
        <v>0</v>
      </c>
      <c r="N50" s="50">
        <v>1</v>
      </c>
      <c r="O50" s="50">
        <v>1</v>
      </c>
      <c r="P50" s="50">
        <v>1</v>
      </c>
      <c r="Q50" s="78"/>
      <c r="R50" s="50">
        <v>1</v>
      </c>
      <c r="S50" s="50">
        <v>1</v>
      </c>
      <c r="T50" s="52"/>
      <c r="U50" s="52"/>
      <c r="V50" s="50"/>
      <c r="W50" s="50">
        <v>1</v>
      </c>
      <c r="X50" s="50">
        <v>1</v>
      </c>
      <c r="Y50" s="50">
        <v>1</v>
      </c>
      <c r="Z50" s="50">
        <v>1</v>
      </c>
      <c r="AA50" s="50">
        <v>1</v>
      </c>
      <c r="AB50" s="50">
        <v>1</v>
      </c>
      <c r="AC50" s="52"/>
      <c r="AD50" s="52"/>
      <c r="AE50" s="50">
        <v>1</v>
      </c>
      <c r="AF50" s="50">
        <v>1</v>
      </c>
      <c r="AG50" s="50">
        <v>1</v>
      </c>
      <c r="AH50" s="51"/>
      <c r="AI50" s="51"/>
      <c r="AJ50" s="51"/>
      <c r="AK50" s="52"/>
      <c r="AL50" s="52"/>
      <c r="AM50" s="51"/>
      <c r="AN50" s="51"/>
      <c r="AO50" s="51"/>
      <c r="AP50" s="51"/>
      <c r="AQ50" s="51"/>
      <c r="AR50" s="51"/>
      <c r="AS50" s="51"/>
      <c r="AT50" s="51"/>
      <c r="AU50" s="1">
        <f t="shared" si="7"/>
        <v>15</v>
      </c>
    </row>
    <row r="51" spans="1:47" ht="15" customHeight="1">
      <c r="A51" s="102"/>
      <c r="B51" s="23">
        <v>5</v>
      </c>
      <c r="C51" s="11" t="s">
        <v>305</v>
      </c>
      <c r="D51" s="11" t="s">
        <v>123</v>
      </c>
      <c r="E51" s="50">
        <v>1</v>
      </c>
      <c r="F51" s="50">
        <v>1</v>
      </c>
      <c r="G51" s="50">
        <v>1</v>
      </c>
      <c r="H51" s="50">
        <v>1</v>
      </c>
      <c r="I51" s="50">
        <v>1</v>
      </c>
      <c r="J51" s="50" t="s">
        <v>304</v>
      </c>
      <c r="K51" s="52"/>
      <c r="L51" s="52"/>
      <c r="M51" s="50">
        <v>1</v>
      </c>
      <c r="N51" s="50">
        <v>1</v>
      </c>
      <c r="O51" s="50">
        <v>1</v>
      </c>
      <c r="P51" s="50">
        <v>1</v>
      </c>
      <c r="Q51" s="78"/>
      <c r="R51" s="50">
        <v>1</v>
      </c>
      <c r="S51" s="50">
        <v>1</v>
      </c>
      <c r="T51" s="52"/>
      <c r="U51" s="52"/>
      <c r="V51" s="50"/>
      <c r="W51" s="50">
        <v>1</v>
      </c>
      <c r="X51" s="50">
        <v>1</v>
      </c>
      <c r="Y51" s="50">
        <v>1</v>
      </c>
      <c r="Z51" s="50">
        <v>1</v>
      </c>
      <c r="AA51" s="50">
        <v>1</v>
      </c>
      <c r="AB51" s="50">
        <v>1</v>
      </c>
      <c r="AC51" s="52"/>
      <c r="AD51" s="52"/>
      <c r="AE51" s="50">
        <v>1</v>
      </c>
      <c r="AF51" s="50">
        <v>1</v>
      </c>
      <c r="AG51" s="50">
        <v>1</v>
      </c>
      <c r="AH51" s="51"/>
      <c r="AI51" s="51"/>
      <c r="AJ51" s="51"/>
      <c r="AK51" s="52"/>
      <c r="AL51" s="52"/>
      <c r="AM51" s="51"/>
      <c r="AN51" s="51"/>
      <c r="AO51" s="51"/>
      <c r="AP51" s="51"/>
      <c r="AQ51" s="51"/>
      <c r="AR51" s="51"/>
      <c r="AS51" s="51"/>
      <c r="AT51" s="51"/>
      <c r="AU51" s="1">
        <f t="shared" si="7"/>
        <v>16</v>
      </c>
    </row>
    <row r="52" spans="1:47" ht="15" customHeight="1">
      <c r="A52" s="102"/>
      <c r="B52" s="23">
        <v>6</v>
      </c>
      <c r="C52" s="11" t="s">
        <v>306</v>
      </c>
      <c r="D52" s="11" t="s">
        <v>123</v>
      </c>
      <c r="E52" s="50">
        <v>1</v>
      </c>
      <c r="F52" s="50">
        <v>1</v>
      </c>
      <c r="G52" s="50">
        <v>1</v>
      </c>
      <c r="H52" s="50">
        <v>1</v>
      </c>
      <c r="I52" s="50">
        <v>1</v>
      </c>
      <c r="J52" s="50">
        <v>1</v>
      </c>
      <c r="K52" s="52"/>
      <c r="L52" s="52"/>
      <c r="M52" s="50">
        <v>1</v>
      </c>
      <c r="N52" s="50">
        <v>0</v>
      </c>
      <c r="O52" s="50">
        <v>1</v>
      </c>
      <c r="P52" s="50">
        <v>1</v>
      </c>
      <c r="Q52" s="78"/>
      <c r="R52" s="50">
        <v>1</v>
      </c>
      <c r="S52" s="50">
        <v>0</v>
      </c>
      <c r="T52" s="52"/>
      <c r="U52" s="52"/>
      <c r="V52" s="50"/>
      <c r="W52" s="50">
        <v>0</v>
      </c>
      <c r="X52" s="50">
        <v>1</v>
      </c>
      <c r="Y52" s="50">
        <v>1</v>
      </c>
      <c r="Z52" s="50">
        <v>1</v>
      </c>
      <c r="AA52" s="50">
        <v>1</v>
      </c>
      <c r="AB52" s="50">
        <v>1</v>
      </c>
      <c r="AC52" s="52"/>
      <c r="AD52" s="52"/>
      <c r="AE52" s="50">
        <v>0</v>
      </c>
      <c r="AF52" s="50">
        <v>1</v>
      </c>
      <c r="AG52" s="50">
        <v>0</v>
      </c>
      <c r="AH52" s="51"/>
      <c r="AI52" s="51"/>
      <c r="AJ52" s="51"/>
      <c r="AK52" s="52"/>
      <c r="AL52" s="52"/>
      <c r="AM52" s="51"/>
      <c r="AN52" s="51"/>
      <c r="AO52" s="51"/>
      <c r="AP52" s="51"/>
      <c r="AQ52" s="51"/>
      <c r="AR52" s="51"/>
      <c r="AS52" s="51"/>
      <c r="AT52" s="51"/>
      <c r="AU52" s="1">
        <f t="shared" si="7"/>
        <v>12</v>
      </c>
    </row>
    <row r="53" spans="1:47" ht="15" customHeight="1">
      <c r="A53" s="102"/>
      <c r="B53" s="23">
        <v>7</v>
      </c>
      <c r="C53" s="11" t="s">
        <v>307</v>
      </c>
      <c r="D53" s="11" t="s">
        <v>123</v>
      </c>
      <c r="E53" s="50">
        <v>1</v>
      </c>
      <c r="F53" s="50">
        <v>1</v>
      </c>
      <c r="G53" s="50">
        <v>1</v>
      </c>
      <c r="H53" s="50">
        <v>1</v>
      </c>
      <c r="I53" s="50">
        <v>1</v>
      </c>
      <c r="J53" s="50">
        <v>1</v>
      </c>
      <c r="K53" s="52"/>
      <c r="L53" s="52"/>
      <c r="M53" s="50">
        <v>1</v>
      </c>
      <c r="N53" s="50">
        <v>1</v>
      </c>
      <c r="O53" s="50">
        <v>1</v>
      </c>
      <c r="P53" s="50">
        <v>1</v>
      </c>
      <c r="Q53" s="78"/>
      <c r="R53" s="50">
        <v>1</v>
      </c>
      <c r="S53" s="50">
        <v>1</v>
      </c>
      <c r="T53" s="52"/>
      <c r="U53" s="52"/>
      <c r="V53" s="50"/>
      <c r="W53" s="50">
        <v>0</v>
      </c>
      <c r="X53" s="50">
        <v>1</v>
      </c>
      <c r="Y53" s="50">
        <v>1</v>
      </c>
      <c r="Z53" s="50">
        <v>1</v>
      </c>
      <c r="AA53" s="50">
        <v>1</v>
      </c>
      <c r="AB53" s="50">
        <v>1</v>
      </c>
      <c r="AC53" s="52"/>
      <c r="AD53" s="52"/>
      <c r="AE53" s="50">
        <v>1</v>
      </c>
      <c r="AF53" s="50">
        <v>1</v>
      </c>
      <c r="AG53" s="50">
        <v>1</v>
      </c>
      <c r="AH53" s="51"/>
      <c r="AI53" s="51"/>
      <c r="AJ53" s="51"/>
      <c r="AK53" s="52"/>
      <c r="AL53" s="52"/>
      <c r="AM53" s="51"/>
      <c r="AN53" s="51"/>
      <c r="AO53" s="51"/>
      <c r="AP53" s="51"/>
      <c r="AQ53" s="51"/>
      <c r="AR53" s="51"/>
      <c r="AS53" s="51"/>
      <c r="AT53" s="51"/>
      <c r="AU53" s="1">
        <f t="shared" si="7"/>
        <v>16</v>
      </c>
    </row>
    <row r="54" spans="1:47" ht="15" customHeight="1">
      <c r="A54" s="102"/>
      <c r="B54" s="23">
        <v>8</v>
      </c>
      <c r="C54" s="11" t="s">
        <v>308</v>
      </c>
      <c r="D54" s="11" t="s">
        <v>123</v>
      </c>
      <c r="E54" s="47">
        <v>1</v>
      </c>
      <c r="F54" s="47">
        <v>1</v>
      </c>
      <c r="G54" s="47">
        <v>1</v>
      </c>
      <c r="H54" s="50">
        <v>1</v>
      </c>
      <c r="I54" s="50">
        <v>0</v>
      </c>
      <c r="J54" s="50">
        <v>1</v>
      </c>
      <c r="K54" s="52"/>
      <c r="L54" s="52"/>
      <c r="M54" s="50">
        <v>1</v>
      </c>
      <c r="N54" s="50">
        <v>1</v>
      </c>
      <c r="O54" s="50">
        <v>0</v>
      </c>
      <c r="P54" s="50">
        <v>1</v>
      </c>
      <c r="Q54" s="78"/>
      <c r="R54" s="50">
        <v>1</v>
      </c>
      <c r="S54" s="50">
        <v>1</v>
      </c>
      <c r="T54" s="52"/>
      <c r="U54" s="52"/>
      <c r="V54" s="50"/>
      <c r="W54" s="50">
        <v>1</v>
      </c>
      <c r="X54" s="50">
        <v>1</v>
      </c>
      <c r="Y54" s="50">
        <v>1</v>
      </c>
      <c r="Z54" s="50">
        <v>1</v>
      </c>
      <c r="AA54" s="50">
        <v>1</v>
      </c>
      <c r="AB54" s="50">
        <v>1</v>
      </c>
      <c r="AC54" s="52"/>
      <c r="AD54" s="52"/>
      <c r="AE54" s="50">
        <v>1</v>
      </c>
      <c r="AF54" s="50">
        <v>1</v>
      </c>
      <c r="AG54" s="50">
        <v>1</v>
      </c>
      <c r="AH54" s="51"/>
      <c r="AI54" s="51"/>
      <c r="AJ54" s="51"/>
      <c r="AK54" s="52"/>
      <c r="AL54" s="52"/>
      <c r="AM54" s="51"/>
      <c r="AN54" s="51"/>
      <c r="AO54" s="51"/>
      <c r="AP54" s="51"/>
      <c r="AQ54" s="51"/>
      <c r="AR54" s="51"/>
      <c r="AS54" s="51"/>
      <c r="AT54" s="51"/>
      <c r="AU54" s="1">
        <f t="shared" si="7"/>
        <v>15</v>
      </c>
    </row>
    <row r="55" spans="1:47" ht="15" customHeight="1">
      <c r="B55" s="23">
        <v>9</v>
      </c>
      <c r="C55" s="11" t="s">
        <v>309</v>
      </c>
      <c r="D55" s="11" t="s">
        <v>123</v>
      </c>
      <c r="E55" s="50">
        <v>1</v>
      </c>
      <c r="F55" s="50">
        <v>1</v>
      </c>
      <c r="G55" s="50">
        <v>1</v>
      </c>
      <c r="H55" s="47">
        <v>1</v>
      </c>
      <c r="I55" s="47">
        <v>1</v>
      </c>
      <c r="J55" s="47">
        <v>1</v>
      </c>
      <c r="K55" s="49"/>
      <c r="L55" s="49"/>
      <c r="M55" s="47">
        <v>1</v>
      </c>
      <c r="N55" s="47">
        <v>1</v>
      </c>
      <c r="O55" s="47">
        <v>1</v>
      </c>
      <c r="P55" s="47">
        <v>1</v>
      </c>
      <c r="Q55" s="77"/>
      <c r="R55" s="47">
        <v>1</v>
      </c>
      <c r="S55" s="47">
        <v>1</v>
      </c>
      <c r="T55" s="49"/>
      <c r="U55" s="49"/>
      <c r="V55" s="47"/>
      <c r="W55" s="47">
        <v>1</v>
      </c>
      <c r="X55" s="47">
        <v>1</v>
      </c>
      <c r="Y55" s="47">
        <v>1</v>
      </c>
      <c r="Z55" s="47">
        <v>1</v>
      </c>
      <c r="AA55" s="47">
        <v>1</v>
      </c>
      <c r="AB55" s="47">
        <v>1</v>
      </c>
      <c r="AC55" s="49"/>
      <c r="AD55" s="49"/>
      <c r="AE55" s="47">
        <v>1</v>
      </c>
      <c r="AF55" s="47">
        <v>1</v>
      </c>
      <c r="AG55" s="47">
        <v>1</v>
      </c>
      <c r="AH55" s="48"/>
      <c r="AI55" s="48"/>
      <c r="AJ55" s="48"/>
      <c r="AK55" s="49"/>
      <c r="AL55" s="49"/>
      <c r="AM55" s="48"/>
      <c r="AN55" s="48"/>
      <c r="AO55" s="48"/>
      <c r="AP55" s="48"/>
      <c r="AQ55" s="48"/>
      <c r="AR55" s="48"/>
      <c r="AS55" s="48"/>
      <c r="AT55" s="48"/>
      <c r="AU55" s="1">
        <f t="shared" si="7"/>
        <v>17</v>
      </c>
    </row>
    <row r="56" spans="1:47" ht="15" customHeight="1">
      <c r="B56" s="23">
        <v>10</v>
      </c>
      <c r="C56" s="11" t="s">
        <v>310</v>
      </c>
      <c r="D56" s="11" t="s">
        <v>123</v>
      </c>
      <c r="E56" s="50">
        <v>1</v>
      </c>
      <c r="F56" s="50">
        <v>1</v>
      </c>
      <c r="G56" s="50">
        <v>1</v>
      </c>
      <c r="H56" s="50">
        <v>1</v>
      </c>
      <c r="I56" s="50">
        <v>1</v>
      </c>
      <c r="J56" s="50">
        <v>1</v>
      </c>
      <c r="K56" s="52"/>
      <c r="L56" s="52"/>
      <c r="M56" s="50">
        <v>1</v>
      </c>
      <c r="N56" s="50">
        <v>1</v>
      </c>
      <c r="O56" s="50">
        <v>1</v>
      </c>
      <c r="P56" s="50">
        <v>1</v>
      </c>
      <c r="Q56" s="78"/>
      <c r="R56" s="50">
        <v>1</v>
      </c>
      <c r="S56" s="50">
        <v>0</v>
      </c>
      <c r="T56" s="52"/>
      <c r="U56" s="52"/>
      <c r="V56" s="50"/>
      <c r="W56" s="50">
        <v>1</v>
      </c>
      <c r="X56" s="50">
        <v>0</v>
      </c>
      <c r="Y56" s="50">
        <v>1</v>
      </c>
      <c r="Z56" s="50">
        <v>1</v>
      </c>
      <c r="AA56" s="50">
        <v>1</v>
      </c>
      <c r="AB56" s="50">
        <v>0</v>
      </c>
      <c r="AC56" s="52"/>
      <c r="AD56" s="52"/>
      <c r="AE56" s="50">
        <v>1</v>
      </c>
      <c r="AF56" s="50">
        <v>0</v>
      </c>
      <c r="AG56" s="50">
        <v>1</v>
      </c>
      <c r="AH56" s="51"/>
      <c r="AI56" s="51"/>
      <c r="AJ56" s="51"/>
      <c r="AK56" s="52"/>
      <c r="AL56" s="52"/>
      <c r="AM56" s="51"/>
      <c r="AN56" s="51"/>
      <c r="AO56" s="51"/>
      <c r="AP56" s="51"/>
      <c r="AQ56" s="51"/>
      <c r="AR56" s="51"/>
      <c r="AS56" s="51"/>
      <c r="AT56" s="51"/>
      <c r="AU56" s="1">
        <f t="shared" si="7"/>
        <v>13</v>
      </c>
    </row>
    <row r="57" spans="1:47" ht="15" customHeight="1">
      <c r="B57" s="23">
        <v>11</v>
      </c>
      <c r="C57" s="11" t="s">
        <v>130</v>
      </c>
      <c r="D57" s="11" t="s">
        <v>123</v>
      </c>
      <c r="E57" s="50">
        <v>1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2"/>
      <c r="L57" s="52"/>
      <c r="M57" s="50">
        <v>0</v>
      </c>
      <c r="N57" s="50">
        <v>0</v>
      </c>
      <c r="O57" s="50">
        <v>0</v>
      </c>
      <c r="P57" s="50">
        <v>1</v>
      </c>
      <c r="Q57" s="78"/>
      <c r="R57" s="50">
        <v>0</v>
      </c>
      <c r="S57" s="50">
        <v>0</v>
      </c>
      <c r="T57" s="52"/>
      <c r="U57" s="52"/>
      <c r="V57" s="50"/>
      <c r="W57" s="50">
        <v>0</v>
      </c>
      <c r="X57" s="50">
        <v>1</v>
      </c>
      <c r="Y57" s="50">
        <v>0</v>
      </c>
      <c r="Z57" s="50">
        <v>0</v>
      </c>
      <c r="AA57" s="50">
        <v>1</v>
      </c>
      <c r="AB57" s="50">
        <v>0</v>
      </c>
      <c r="AC57" s="52"/>
      <c r="AD57" s="52"/>
      <c r="AE57" s="50">
        <v>0</v>
      </c>
      <c r="AF57" s="50">
        <v>0</v>
      </c>
      <c r="AG57" s="50">
        <v>0</v>
      </c>
      <c r="AH57" s="51"/>
      <c r="AI57" s="51"/>
      <c r="AJ57" s="51"/>
      <c r="AK57" s="52"/>
      <c r="AL57" s="52"/>
      <c r="AM57" s="51"/>
      <c r="AN57" s="51"/>
      <c r="AO57" s="51"/>
      <c r="AP57" s="51"/>
      <c r="AQ57" s="51"/>
      <c r="AR57" s="51"/>
      <c r="AS57" s="51"/>
      <c r="AT57" s="51"/>
      <c r="AU57" s="1">
        <f t="shared" si="7"/>
        <v>3</v>
      </c>
    </row>
    <row r="58" spans="1:47" ht="15" customHeight="1">
      <c r="B58" s="23">
        <v>12</v>
      </c>
      <c r="C58" s="11" t="s">
        <v>311</v>
      </c>
      <c r="D58" s="11" t="s">
        <v>123</v>
      </c>
      <c r="E58" s="87">
        <v>0</v>
      </c>
      <c r="F58" s="87">
        <v>0</v>
      </c>
      <c r="G58" s="50">
        <v>1</v>
      </c>
      <c r="H58" s="50">
        <v>1</v>
      </c>
      <c r="I58" s="50">
        <v>1</v>
      </c>
      <c r="J58" s="50">
        <v>0</v>
      </c>
      <c r="K58" s="52"/>
      <c r="L58" s="52"/>
      <c r="M58" s="50">
        <v>1</v>
      </c>
      <c r="N58" s="50">
        <v>1</v>
      </c>
      <c r="O58" s="50">
        <v>0</v>
      </c>
      <c r="P58" s="50">
        <v>1</v>
      </c>
      <c r="Q58" s="78"/>
      <c r="R58" s="50">
        <v>1</v>
      </c>
      <c r="S58" s="50">
        <v>1</v>
      </c>
      <c r="T58" s="52"/>
      <c r="U58" s="52"/>
      <c r="V58" s="50"/>
      <c r="W58" s="50">
        <v>1</v>
      </c>
      <c r="X58" s="50">
        <v>1</v>
      </c>
      <c r="Y58" s="50">
        <v>0</v>
      </c>
      <c r="Z58" s="50">
        <v>1</v>
      </c>
      <c r="AA58" s="50">
        <v>1</v>
      </c>
      <c r="AB58" s="50">
        <v>1</v>
      </c>
      <c r="AC58" s="52"/>
      <c r="AD58" s="52"/>
      <c r="AE58" s="50">
        <v>0</v>
      </c>
      <c r="AF58" s="50">
        <v>0</v>
      </c>
      <c r="AG58" s="50">
        <v>0</v>
      </c>
      <c r="AH58" s="51"/>
      <c r="AI58" s="51"/>
      <c r="AJ58" s="51"/>
      <c r="AK58" s="52"/>
      <c r="AL58" s="52"/>
      <c r="AM58" s="51"/>
      <c r="AN58" s="51"/>
      <c r="AO58" s="51"/>
      <c r="AP58" s="51"/>
      <c r="AQ58" s="51"/>
      <c r="AR58" s="51"/>
      <c r="AS58" s="51"/>
      <c r="AT58" s="51"/>
      <c r="AU58" s="1">
        <f t="shared" si="7"/>
        <v>11</v>
      </c>
    </row>
    <row r="59" spans="1:47" ht="15" customHeight="1">
      <c r="B59" s="23">
        <v>13</v>
      </c>
      <c r="C59" s="11" t="s">
        <v>312</v>
      </c>
      <c r="D59" s="11" t="s">
        <v>120</v>
      </c>
      <c r="E59" s="50">
        <v>1</v>
      </c>
      <c r="F59" s="50">
        <v>1</v>
      </c>
      <c r="G59" s="50">
        <v>1</v>
      </c>
      <c r="H59" s="50">
        <v>1</v>
      </c>
      <c r="I59" s="50">
        <v>1</v>
      </c>
      <c r="J59" s="50">
        <v>1</v>
      </c>
      <c r="K59" s="52"/>
      <c r="L59" s="52"/>
      <c r="M59" s="50">
        <v>1</v>
      </c>
      <c r="N59" s="50">
        <v>1</v>
      </c>
      <c r="O59" s="50">
        <v>1</v>
      </c>
      <c r="P59" s="50">
        <v>1</v>
      </c>
      <c r="Q59" s="78"/>
      <c r="R59" s="50">
        <v>0</v>
      </c>
      <c r="S59" s="50">
        <v>1</v>
      </c>
      <c r="T59" s="52"/>
      <c r="U59" s="52"/>
      <c r="V59" s="50">
        <v>1</v>
      </c>
      <c r="W59" s="50">
        <v>1</v>
      </c>
      <c r="X59" s="50">
        <v>1</v>
      </c>
      <c r="Y59" s="50">
        <v>1</v>
      </c>
      <c r="Z59" s="50">
        <v>1</v>
      </c>
      <c r="AA59" s="50">
        <v>0</v>
      </c>
      <c r="AB59" s="50">
        <v>1</v>
      </c>
      <c r="AC59" s="52"/>
      <c r="AD59" s="52"/>
      <c r="AE59" s="50">
        <v>1</v>
      </c>
      <c r="AF59" s="50">
        <v>1</v>
      </c>
      <c r="AG59" s="50">
        <v>1</v>
      </c>
      <c r="AH59" s="51"/>
      <c r="AI59" s="51"/>
      <c r="AJ59" s="51"/>
      <c r="AK59" s="52"/>
      <c r="AL59" s="52"/>
      <c r="AM59" s="51"/>
      <c r="AN59" s="51"/>
      <c r="AO59" s="51"/>
      <c r="AP59" s="51"/>
      <c r="AQ59" s="51"/>
      <c r="AR59" s="51"/>
      <c r="AS59" s="51"/>
      <c r="AT59" s="51"/>
      <c r="AU59" s="1">
        <f>SUM(I59:AT59)</f>
        <v>16</v>
      </c>
    </row>
    <row r="60" spans="1:47" ht="15" customHeight="1">
      <c r="B60" s="23">
        <v>14</v>
      </c>
      <c r="C60" s="83" t="s">
        <v>313</v>
      </c>
      <c r="D60" s="11" t="s">
        <v>123</v>
      </c>
      <c r="E60" s="87"/>
      <c r="F60" s="87"/>
      <c r="G60" s="87"/>
      <c r="H60" s="50">
        <v>1</v>
      </c>
      <c r="I60" s="50">
        <v>1</v>
      </c>
      <c r="J60" s="50">
        <v>1</v>
      </c>
      <c r="K60" s="52"/>
      <c r="L60" s="52"/>
      <c r="M60" s="50">
        <v>0</v>
      </c>
      <c r="N60" s="50">
        <v>1</v>
      </c>
      <c r="O60" s="50">
        <v>1</v>
      </c>
      <c r="P60" s="50">
        <v>0</v>
      </c>
      <c r="Q60" s="78"/>
      <c r="R60" s="50">
        <v>1</v>
      </c>
      <c r="S60" s="50">
        <v>0</v>
      </c>
      <c r="T60" s="52"/>
      <c r="U60" s="52"/>
      <c r="V60" s="50"/>
      <c r="W60" s="50">
        <v>1</v>
      </c>
      <c r="X60" s="50">
        <v>1</v>
      </c>
      <c r="Y60" s="50">
        <v>1</v>
      </c>
      <c r="Z60" s="50">
        <v>1</v>
      </c>
      <c r="AA60" s="50">
        <v>0</v>
      </c>
      <c r="AB60" s="50">
        <v>1</v>
      </c>
      <c r="AC60" s="52"/>
      <c r="AD60" s="52"/>
      <c r="AE60" s="50">
        <v>1</v>
      </c>
      <c r="AF60" s="50">
        <v>1</v>
      </c>
      <c r="AG60" s="50">
        <v>1</v>
      </c>
      <c r="AH60" s="51"/>
      <c r="AI60" s="51"/>
      <c r="AJ60" s="51"/>
      <c r="AK60" s="52"/>
      <c r="AL60" s="52"/>
      <c r="AM60" s="51"/>
      <c r="AN60" s="51"/>
      <c r="AO60" s="51"/>
      <c r="AP60" s="51"/>
      <c r="AQ60" s="51"/>
      <c r="AR60" s="51"/>
      <c r="AS60" s="51"/>
      <c r="AT60" s="51"/>
      <c r="AU60" s="1">
        <f t="shared" si="7"/>
        <v>13</v>
      </c>
    </row>
    <row r="61" spans="1:47" ht="15" customHeight="1">
      <c r="B61" s="23">
        <v>15</v>
      </c>
      <c r="C61" s="83" t="s">
        <v>314</v>
      </c>
      <c r="D61" s="11" t="s">
        <v>114</v>
      </c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78"/>
      <c r="R61" s="87"/>
      <c r="S61" s="87"/>
      <c r="T61" s="87"/>
      <c r="U61" s="87"/>
      <c r="V61" s="87"/>
      <c r="W61" s="87"/>
      <c r="X61" s="50">
        <v>1</v>
      </c>
      <c r="Y61" s="50">
        <v>0</v>
      </c>
      <c r="Z61" s="50">
        <v>1</v>
      </c>
      <c r="AA61" s="50">
        <v>0</v>
      </c>
      <c r="AB61" s="50">
        <v>0</v>
      </c>
      <c r="AC61" s="52"/>
      <c r="AD61" s="52"/>
      <c r="AE61" s="50">
        <v>1</v>
      </c>
      <c r="AF61" s="50">
        <v>1</v>
      </c>
      <c r="AG61" s="50">
        <v>1</v>
      </c>
      <c r="AH61" s="51"/>
      <c r="AI61" s="51"/>
      <c r="AJ61" s="51"/>
      <c r="AK61" s="52"/>
      <c r="AL61" s="52"/>
      <c r="AM61" s="51"/>
      <c r="AN61" s="51"/>
      <c r="AO61" s="51"/>
      <c r="AP61" s="51"/>
      <c r="AQ61" s="51"/>
      <c r="AR61" s="51"/>
      <c r="AS61" s="51"/>
      <c r="AT61" s="51"/>
      <c r="AU61" s="1">
        <f t="shared" si="7"/>
        <v>5</v>
      </c>
    </row>
    <row r="62" spans="1:47" ht="15" customHeight="1">
      <c r="B62" s="23">
        <v>16</v>
      </c>
      <c r="C62" s="11"/>
      <c r="D62" s="11"/>
      <c r="E62" s="50"/>
      <c r="F62" s="50"/>
      <c r="G62" s="50"/>
      <c r="H62" s="50"/>
      <c r="I62" s="50"/>
      <c r="J62" s="50"/>
      <c r="K62" s="52"/>
      <c r="L62" s="52"/>
      <c r="M62" s="50"/>
      <c r="N62" s="50"/>
      <c r="O62" s="50"/>
      <c r="P62" s="50"/>
      <c r="Q62" s="78"/>
      <c r="R62" s="50"/>
      <c r="S62" s="50"/>
      <c r="T62" s="52"/>
      <c r="U62" s="52"/>
      <c r="V62" s="50"/>
      <c r="W62" s="50"/>
      <c r="X62" s="50"/>
      <c r="Y62" s="50"/>
      <c r="Z62" s="50"/>
      <c r="AA62" s="50"/>
      <c r="AB62" s="50"/>
      <c r="AC62" s="52"/>
      <c r="AD62" s="52"/>
      <c r="AE62" s="50"/>
      <c r="AF62" s="50"/>
      <c r="AG62" s="50"/>
      <c r="AH62" s="51"/>
      <c r="AI62" s="51"/>
      <c r="AJ62" s="51"/>
      <c r="AK62" s="52"/>
      <c r="AL62" s="52"/>
      <c r="AM62" s="51"/>
      <c r="AN62" s="51"/>
      <c r="AO62" s="51"/>
      <c r="AP62" s="51"/>
      <c r="AQ62" s="51"/>
      <c r="AR62" s="51"/>
      <c r="AS62" s="51"/>
      <c r="AT62" s="51"/>
      <c r="AU62" s="1">
        <f t="shared" si="7"/>
        <v>0</v>
      </c>
    </row>
    <row r="63" spans="1:47" ht="15" customHeight="1">
      <c r="B63" s="68">
        <v>13</v>
      </c>
      <c r="C63" s="12" t="s">
        <v>70</v>
      </c>
      <c r="D63" s="11"/>
      <c r="E63" s="8">
        <f>COUNTIF(E47:E62,"1")</f>
        <v>12</v>
      </c>
      <c r="F63" s="8">
        <f>COUNTIF(F47:F62,"1")</f>
        <v>11</v>
      </c>
      <c r="G63" s="8">
        <f>COUNTIF(G47:G62,"1")</f>
        <v>11</v>
      </c>
      <c r="H63" s="8">
        <f>COUNTIF(H47:H62,"1")</f>
        <v>14</v>
      </c>
      <c r="I63" s="8">
        <f>COUNTIF(I47:I62,"1")</f>
        <v>11</v>
      </c>
      <c r="J63" s="8">
        <f>COUNTIF(J47:J62,"1")</f>
        <v>8</v>
      </c>
      <c r="K63" s="8">
        <f>COUNTIF(K47:K62,"1")</f>
        <v>0</v>
      </c>
      <c r="L63" s="8">
        <f>COUNTIF(L47:L62,"1")</f>
        <v>0</v>
      </c>
      <c r="M63" s="8">
        <f>COUNTIF(M47:M62,"1")</f>
        <v>11</v>
      </c>
      <c r="N63" s="8">
        <f>COUNTIF(N47:N62,"1")</f>
        <v>11</v>
      </c>
      <c r="O63" s="8">
        <f>COUNTIF(O47:O62,"1")</f>
        <v>10</v>
      </c>
      <c r="P63" s="8">
        <f>COUNTIF(P47:P62,"1")</f>
        <v>12</v>
      </c>
      <c r="Q63" s="8">
        <f>COUNTIF(Q47:Q62,"1")</f>
        <v>0</v>
      </c>
      <c r="R63" s="8">
        <f>COUNTIF(R47:R62,"1")</f>
        <v>11</v>
      </c>
      <c r="S63" s="8">
        <f>COUNTIF(S47:S62,"1")</f>
        <v>9</v>
      </c>
      <c r="T63" s="8">
        <f>COUNTIF(T47:T62,"1")</f>
        <v>0</v>
      </c>
      <c r="U63" s="8">
        <f>COUNTIF(U47:U62,"1")</f>
        <v>0</v>
      </c>
      <c r="V63" s="8">
        <f>COUNTIF(V47:V62,"1")</f>
        <v>1</v>
      </c>
      <c r="W63" s="8">
        <f>COUNTIF(W47:W62,"1")</f>
        <v>10</v>
      </c>
      <c r="X63" s="8">
        <f>COUNTIF(X47:X62,"1")</f>
        <v>13</v>
      </c>
      <c r="Y63" s="8">
        <f>COUNTIF(Y47:Y62,"1")</f>
        <v>11</v>
      </c>
      <c r="Z63" s="8">
        <f>COUNTIF(Z47:Z62,"1")</f>
        <v>13</v>
      </c>
      <c r="AA63" s="8">
        <f>COUNTIF(AA47:AA62,"1")</f>
        <v>10</v>
      </c>
      <c r="AB63" s="8">
        <f>COUNTIF(AB47:AB62,"1")</f>
        <v>11</v>
      </c>
      <c r="AC63" s="8">
        <f>COUNTIF(AC47:AC62,"1")</f>
        <v>0</v>
      </c>
      <c r="AD63" s="8">
        <f>COUNTIF(AD47:AD62,"1")</f>
        <v>0</v>
      </c>
      <c r="AE63" s="8">
        <f>COUNTIF(AE47:AE62,"1")</f>
        <v>11</v>
      </c>
      <c r="AF63" s="8">
        <f>COUNTIF(AF47:AF62,"1")</f>
        <v>11</v>
      </c>
      <c r="AG63" s="8">
        <f>COUNTIF(AG47:AG62,"1")</f>
        <v>11</v>
      </c>
      <c r="AH63" s="8">
        <f>COUNTIF(AH47:AH62,"1")</f>
        <v>0</v>
      </c>
      <c r="AI63" s="8">
        <f>COUNTIF(AI47:AI62,"1")</f>
        <v>0</v>
      </c>
      <c r="AJ63" s="8">
        <f>COUNTIF(AJ47:AJ62,"1")</f>
        <v>0</v>
      </c>
      <c r="AK63" s="8">
        <f>COUNTIF(AK47:AK62,"1")</f>
        <v>0</v>
      </c>
      <c r="AL63" s="8">
        <f>COUNTIF(AL47:AL62,"1")</f>
        <v>0</v>
      </c>
      <c r="AM63" s="8">
        <f>COUNTIF(AM47:AM62,"1")</f>
        <v>0</v>
      </c>
      <c r="AN63" s="8">
        <f>COUNTIF(AN47:AN62,"1")</f>
        <v>0</v>
      </c>
      <c r="AO63" s="8">
        <f>COUNTIF(AO47:AO62,"1")</f>
        <v>0</v>
      </c>
      <c r="AP63" s="8">
        <f>COUNTIF(AP47:AP62,"1")</f>
        <v>0</v>
      </c>
      <c r="AQ63" s="8">
        <f>COUNTIF(AQ47:AQ62,"1")</f>
        <v>0</v>
      </c>
      <c r="AR63" s="8">
        <f>COUNTIF(AR47:AR62,"1")</f>
        <v>0</v>
      </c>
      <c r="AS63" s="8">
        <f>COUNTIF(AS47:AS62,"1")</f>
        <v>0</v>
      </c>
      <c r="AT63" s="8">
        <f>COUNTIF(AT47:AT62,"1")</f>
        <v>0</v>
      </c>
      <c r="AU63" s="1">
        <f t="shared" si="7"/>
        <v>185</v>
      </c>
    </row>
    <row r="64" spans="1:47" ht="15" customHeight="1">
      <c r="A64"/>
      <c r="B64"/>
      <c r="C64"/>
      <c r="D64"/>
      <c r="E64" s="99">
        <v>45913</v>
      </c>
      <c r="F64" s="99">
        <f>E64+7</f>
        <v>45920</v>
      </c>
      <c r="G64" s="99">
        <f t="shared" ref="G64:AT64" si="8">F64+7</f>
        <v>45927</v>
      </c>
      <c r="H64" s="99">
        <f t="shared" si="8"/>
        <v>45934</v>
      </c>
      <c r="I64" s="99">
        <f t="shared" si="8"/>
        <v>45941</v>
      </c>
      <c r="J64" s="99">
        <f t="shared" si="8"/>
        <v>45948</v>
      </c>
      <c r="K64" s="99">
        <f t="shared" si="8"/>
        <v>45955</v>
      </c>
      <c r="L64" s="99">
        <f t="shared" si="8"/>
        <v>45962</v>
      </c>
      <c r="M64" s="99">
        <f t="shared" si="8"/>
        <v>45969</v>
      </c>
      <c r="N64" s="99">
        <f t="shared" si="8"/>
        <v>45976</v>
      </c>
      <c r="O64" s="99">
        <f t="shared" si="8"/>
        <v>45983</v>
      </c>
      <c r="P64" s="99">
        <f t="shared" si="8"/>
        <v>45990</v>
      </c>
      <c r="Q64" s="99">
        <f t="shared" si="8"/>
        <v>45997</v>
      </c>
      <c r="R64" s="99">
        <f t="shared" si="8"/>
        <v>46004</v>
      </c>
      <c r="S64" s="99">
        <f t="shared" si="8"/>
        <v>46011</v>
      </c>
      <c r="T64" s="99">
        <f t="shared" si="8"/>
        <v>46018</v>
      </c>
      <c r="U64" s="99">
        <f t="shared" si="8"/>
        <v>46025</v>
      </c>
      <c r="V64" s="99">
        <f t="shared" si="8"/>
        <v>46032</v>
      </c>
      <c r="W64" s="99">
        <f t="shared" si="8"/>
        <v>46039</v>
      </c>
      <c r="X64" s="99">
        <f t="shared" si="8"/>
        <v>46046</v>
      </c>
      <c r="Y64" s="99">
        <f t="shared" si="8"/>
        <v>46053</v>
      </c>
      <c r="Z64" s="99">
        <f t="shared" si="8"/>
        <v>46060</v>
      </c>
      <c r="AA64" s="99">
        <f t="shared" si="8"/>
        <v>46067</v>
      </c>
      <c r="AB64" s="99">
        <f t="shared" si="8"/>
        <v>46074</v>
      </c>
      <c r="AC64" s="99">
        <f t="shared" si="8"/>
        <v>46081</v>
      </c>
      <c r="AD64" s="99">
        <f t="shared" si="8"/>
        <v>46088</v>
      </c>
      <c r="AE64" s="99">
        <f t="shared" si="8"/>
        <v>46095</v>
      </c>
      <c r="AF64" s="99">
        <f t="shared" si="8"/>
        <v>46102</v>
      </c>
      <c r="AG64" s="99">
        <f t="shared" si="8"/>
        <v>46109</v>
      </c>
      <c r="AH64" s="99">
        <f t="shared" si="8"/>
        <v>46116</v>
      </c>
      <c r="AI64" s="99">
        <f t="shared" si="8"/>
        <v>46123</v>
      </c>
      <c r="AJ64" s="99">
        <f t="shared" si="8"/>
        <v>46130</v>
      </c>
      <c r="AK64" s="99">
        <f t="shared" si="8"/>
        <v>46137</v>
      </c>
      <c r="AL64" s="99">
        <f t="shared" si="8"/>
        <v>46144</v>
      </c>
      <c r="AM64" s="99">
        <f t="shared" si="8"/>
        <v>46151</v>
      </c>
      <c r="AN64" s="99">
        <f t="shared" si="8"/>
        <v>46158</v>
      </c>
      <c r="AO64" s="99">
        <f t="shared" si="8"/>
        <v>46165</v>
      </c>
      <c r="AP64" s="99">
        <f t="shared" si="8"/>
        <v>46172</v>
      </c>
      <c r="AQ64" s="99">
        <f t="shared" si="8"/>
        <v>46179</v>
      </c>
      <c r="AR64" s="99">
        <f t="shared" si="8"/>
        <v>46186</v>
      </c>
      <c r="AS64" s="99">
        <f t="shared" si="8"/>
        <v>46193</v>
      </c>
      <c r="AT64" s="99">
        <f t="shared" si="8"/>
        <v>46200</v>
      </c>
    </row>
    <row r="65" spans="1:47" ht="15" customHeight="1">
      <c r="A65"/>
      <c r="B65"/>
      <c r="C65"/>
      <c r="D65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</row>
    <row r="66" spans="1:47" ht="15" customHeight="1">
      <c r="A66"/>
      <c r="B66"/>
      <c r="C66"/>
      <c r="D66"/>
      <c r="E66" s="6" t="s">
        <v>4</v>
      </c>
      <c r="F66" s="15" t="s">
        <v>5</v>
      </c>
      <c r="G66" s="6" t="s">
        <v>6</v>
      </c>
      <c r="H66" s="15" t="s">
        <v>7</v>
      </c>
      <c r="I66" s="6" t="s">
        <v>8</v>
      </c>
      <c r="J66" s="15" t="s">
        <v>9</v>
      </c>
      <c r="K66" s="27" t="s">
        <v>10</v>
      </c>
      <c r="L66" s="27" t="s">
        <v>10</v>
      </c>
      <c r="M66" s="6" t="s">
        <v>11</v>
      </c>
      <c r="N66" s="15" t="s">
        <v>12</v>
      </c>
      <c r="O66" s="6" t="s">
        <v>13</v>
      </c>
      <c r="P66" s="15" t="s">
        <v>14</v>
      </c>
      <c r="Q66" s="6" t="s">
        <v>15</v>
      </c>
      <c r="R66" s="6" t="s">
        <v>16</v>
      </c>
      <c r="S66" s="6" t="s">
        <v>17</v>
      </c>
      <c r="T66" s="27" t="s">
        <v>10</v>
      </c>
      <c r="U66" s="27" t="s">
        <v>10</v>
      </c>
      <c r="V66" s="15" t="s">
        <v>18</v>
      </c>
      <c r="W66" s="6" t="s">
        <v>19</v>
      </c>
      <c r="X66" s="15" t="s">
        <v>20</v>
      </c>
      <c r="Y66" s="6" t="s">
        <v>21</v>
      </c>
      <c r="Z66" s="15" t="s">
        <v>22</v>
      </c>
      <c r="AA66" s="6" t="s">
        <v>23</v>
      </c>
      <c r="AB66" s="15" t="s">
        <v>24</v>
      </c>
      <c r="AC66" s="27" t="s">
        <v>10</v>
      </c>
      <c r="AD66" s="27" t="s">
        <v>10</v>
      </c>
      <c r="AE66" s="6" t="s">
        <v>25</v>
      </c>
      <c r="AF66" s="15" t="s">
        <v>26</v>
      </c>
      <c r="AG66" s="6" t="s">
        <v>27</v>
      </c>
      <c r="AH66" s="6" t="s">
        <v>28</v>
      </c>
      <c r="AI66" s="15" t="s">
        <v>29</v>
      </c>
      <c r="AJ66" s="6" t="s">
        <v>30</v>
      </c>
      <c r="AK66" s="27" t="s">
        <v>10</v>
      </c>
      <c r="AL66" s="27" t="s">
        <v>10</v>
      </c>
      <c r="AM66" s="15" t="s">
        <v>31</v>
      </c>
      <c r="AN66" s="14" t="s">
        <v>32</v>
      </c>
      <c r="AO66" s="15" t="s">
        <v>33</v>
      </c>
      <c r="AP66" s="14" t="s">
        <v>34</v>
      </c>
      <c r="AQ66" s="14" t="s">
        <v>35</v>
      </c>
      <c r="AR66" s="14" t="s">
        <v>36</v>
      </c>
      <c r="AS66" s="14" t="s">
        <v>37</v>
      </c>
      <c r="AT66" s="14" t="s">
        <v>38</v>
      </c>
      <c r="AU66" s="1">
        <f>SUM(I66:AT66)</f>
        <v>0</v>
      </c>
    </row>
    <row r="67" spans="1:47" ht="15" customHeight="1">
      <c r="A67" s="102" t="s">
        <v>315</v>
      </c>
      <c r="B67" s="23">
        <v>1</v>
      </c>
      <c r="C67" s="11" t="s">
        <v>316</v>
      </c>
      <c r="D67" s="11" t="s">
        <v>110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9"/>
      <c r="L67" s="49"/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9"/>
      <c r="U67" s="49"/>
      <c r="V67" s="47">
        <v>0</v>
      </c>
      <c r="W67" s="47">
        <v>0</v>
      </c>
      <c r="X67" s="47">
        <v>0</v>
      </c>
      <c r="Y67" s="47"/>
      <c r="Z67" s="47"/>
      <c r="AA67" s="47"/>
      <c r="AB67" s="47"/>
      <c r="AC67" s="49"/>
      <c r="AD67" s="49"/>
      <c r="AE67" s="47"/>
      <c r="AF67" s="47"/>
      <c r="AG67" s="47"/>
      <c r="AH67" s="48"/>
      <c r="AI67" s="48"/>
      <c r="AJ67" s="48"/>
      <c r="AK67" s="49"/>
      <c r="AL67" s="49"/>
      <c r="AM67" s="48"/>
      <c r="AN67" s="48"/>
      <c r="AO67" s="48"/>
      <c r="AP67" s="48"/>
      <c r="AQ67" s="48"/>
      <c r="AR67" s="48"/>
      <c r="AS67" s="48"/>
      <c r="AT67" s="48"/>
      <c r="AU67" s="1">
        <f t="shared" ref="AU67:AU83" si="9">SUM(I67:AT67)</f>
        <v>0</v>
      </c>
    </row>
    <row r="68" spans="1:47" ht="15" customHeight="1">
      <c r="A68" s="102"/>
      <c r="B68" s="23">
        <v>2</v>
      </c>
      <c r="C68" s="11"/>
      <c r="D68" s="11"/>
      <c r="E68" s="50"/>
      <c r="F68" s="50"/>
      <c r="G68" s="50"/>
      <c r="H68" s="50"/>
      <c r="I68" s="50"/>
      <c r="J68" s="50"/>
      <c r="K68" s="52"/>
      <c r="L68" s="52"/>
      <c r="M68" s="50"/>
      <c r="N68" s="50"/>
      <c r="O68" s="50"/>
      <c r="P68" s="50"/>
      <c r="Q68" s="50"/>
      <c r="R68" s="50"/>
      <c r="S68" s="50"/>
      <c r="T68" s="52"/>
      <c r="U68" s="52"/>
      <c r="V68" s="50"/>
      <c r="W68" s="50"/>
      <c r="X68" s="50"/>
      <c r="Y68" s="50"/>
      <c r="Z68" s="50"/>
      <c r="AA68" s="50"/>
      <c r="AB68" s="50"/>
      <c r="AC68" s="52"/>
      <c r="AD68" s="52"/>
      <c r="AE68" s="50"/>
      <c r="AF68" s="50"/>
      <c r="AG68" s="50"/>
      <c r="AH68" s="51"/>
      <c r="AI68" s="51"/>
      <c r="AJ68" s="51"/>
      <c r="AK68" s="52"/>
      <c r="AL68" s="52"/>
      <c r="AM68" s="51"/>
      <c r="AN68" s="51"/>
      <c r="AO68" s="51"/>
      <c r="AP68" s="51"/>
      <c r="AQ68" s="51"/>
      <c r="AR68" s="51"/>
      <c r="AS68" s="51"/>
      <c r="AT68" s="51"/>
      <c r="AU68" s="1">
        <f t="shared" si="9"/>
        <v>0</v>
      </c>
    </row>
    <row r="69" spans="1:47" ht="15" customHeight="1">
      <c r="A69" s="102"/>
      <c r="B69" s="23">
        <v>3</v>
      </c>
      <c r="C69" s="11"/>
      <c r="D69" s="11"/>
      <c r="E69" s="50"/>
      <c r="F69" s="50"/>
      <c r="G69" s="50"/>
      <c r="H69" s="50"/>
      <c r="I69" s="50"/>
      <c r="J69" s="50"/>
      <c r="K69" s="52"/>
      <c r="L69" s="52"/>
      <c r="M69" s="50"/>
      <c r="N69" s="50"/>
      <c r="O69" s="50"/>
      <c r="P69" s="50"/>
      <c r="Q69" s="50"/>
      <c r="R69" s="50"/>
      <c r="S69" s="50"/>
      <c r="T69" s="52"/>
      <c r="U69" s="52"/>
      <c r="V69" s="50"/>
      <c r="W69" s="50"/>
      <c r="X69" s="50"/>
      <c r="Y69" s="50"/>
      <c r="Z69" s="50"/>
      <c r="AA69" s="50"/>
      <c r="AB69" s="50"/>
      <c r="AC69" s="52"/>
      <c r="AD69" s="52"/>
      <c r="AE69" s="50"/>
      <c r="AF69" s="50"/>
      <c r="AG69" s="50"/>
      <c r="AH69" s="51"/>
      <c r="AI69" s="51"/>
      <c r="AJ69" s="51"/>
      <c r="AK69" s="52"/>
      <c r="AL69" s="52"/>
      <c r="AM69" s="51"/>
      <c r="AN69" s="51"/>
      <c r="AO69" s="51"/>
      <c r="AP69" s="51"/>
      <c r="AQ69" s="51"/>
      <c r="AR69" s="51"/>
      <c r="AS69" s="51"/>
      <c r="AT69" s="51"/>
      <c r="AU69" s="1">
        <f t="shared" si="9"/>
        <v>0</v>
      </c>
    </row>
    <row r="70" spans="1:47" ht="15" customHeight="1">
      <c r="A70" s="102"/>
      <c r="B70" s="23">
        <v>4</v>
      </c>
      <c r="C70" s="11"/>
      <c r="D70" s="11"/>
      <c r="E70" s="50"/>
      <c r="F70" s="50"/>
      <c r="G70" s="50"/>
      <c r="H70" s="50"/>
      <c r="I70" s="50"/>
      <c r="J70" s="50"/>
      <c r="K70" s="52"/>
      <c r="L70" s="52"/>
      <c r="M70" s="50"/>
      <c r="N70" s="50"/>
      <c r="O70" s="50"/>
      <c r="P70" s="50"/>
      <c r="Q70" s="50"/>
      <c r="R70" s="50"/>
      <c r="S70" s="50"/>
      <c r="T70" s="52"/>
      <c r="U70" s="52"/>
      <c r="V70" s="50"/>
      <c r="W70" s="50"/>
      <c r="X70" s="50"/>
      <c r="Y70" s="50"/>
      <c r="Z70" s="50"/>
      <c r="AA70" s="50"/>
      <c r="AB70" s="50"/>
      <c r="AC70" s="52"/>
      <c r="AD70" s="52"/>
      <c r="AE70" s="50"/>
      <c r="AF70" s="50"/>
      <c r="AG70" s="50"/>
      <c r="AH70" s="51"/>
      <c r="AI70" s="51"/>
      <c r="AJ70" s="51"/>
      <c r="AK70" s="52"/>
      <c r="AL70" s="52"/>
      <c r="AM70" s="51"/>
      <c r="AN70" s="51"/>
      <c r="AO70" s="51"/>
      <c r="AP70" s="51"/>
      <c r="AQ70" s="51"/>
      <c r="AR70" s="51"/>
      <c r="AS70" s="51"/>
      <c r="AT70" s="51"/>
      <c r="AU70" s="1">
        <f t="shared" si="9"/>
        <v>0</v>
      </c>
    </row>
    <row r="71" spans="1:47" ht="15" customHeight="1">
      <c r="A71" s="102"/>
      <c r="B71" s="23">
        <v>5</v>
      </c>
      <c r="C71" s="11"/>
      <c r="D71" s="11"/>
      <c r="E71" s="50"/>
      <c r="F71" s="50"/>
      <c r="G71" s="50"/>
      <c r="H71" s="50"/>
      <c r="I71" s="50"/>
      <c r="J71" s="50"/>
      <c r="K71" s="52"/>
      <c r="L71" s="52"/>
      <c r="M71" s="50"/>
      <c r="N71" s="50"/>
      <c r="O71" s="50"/>
      <c r="P71" s="50"/>
      <c r="Q71" s="50"/>
      <c r="R71" s="50"/>
      <c r="S71" s="50"/>
      <c r="T71" s="52"/>
      <c r="U71" s="52"/>
      <c r="V71" s="50"/>
      <c r="W71" s="50"/>
      <c r="X71" s="50"/>
      <c r="Y71" s="50"/>
      <c r="Z71" s="50"/>
      <c r="AA71" s="50"/>
      <c r="AB71" s="50"/>
      <c r="AC71" s="52"/>
      <c r="AD71" s="52"/>
      <c r="AE71" s="50"/>
      <c r="AF71" s="50"/>
      <c r="AG71" s="50"/>
      <c r="AH71" s="51"/>
      <c r="AI71" s="51"/>
      <c r="AJ71" s="51"/>
      <c r="AK71" s="52"/>
      <c r="AL71" s="52"/>
      <c r="AM71" s="51"/>
      <c r="AN71" s="51"/>
      <c r="AO71" s="51"/>
      <c r="AP71" s="51"/>
      <c r="AQ71" s="51"/>
      <c r="AR71" s="51"/>
      <c r="AS71" s="51"/>
      <c r="AT71" s="51"/>
      <c r="AU71" s="1">
        <f t="shared" si="9"/>
        <v>0</v>
      </c>
    </row>
    <row r="72" spans="1:47" ht="15" customHeight="1">
      <c r="A72" s="102"/>
      <c r="B72" s="23">
        <v>6</v>
      </c>
      <c r="C72" s="11"/>
      <c r="D72" s="11"/>
      <c r="E72" s="50"/>
      <c r="F72" s="50"/>
      <c r="G72" s="50"/>
      <c r="H72" s="50"/>
      <c r="I72" s="50"/>
      <c r="J72" s="50"/>
      <c r="K72" s="52"/>
      <c r="L72" s="52"/>
      <c r="M72" s="50"/>
      <c r="N72" s="50"/>
      <c r="O72" s="50"/>
      <c r="P72" s="50"/>
      <c r="Q72" s="50"/>
      <c r="R72" s="50"/>
      <c r="S72" s="50"/>
      <c r="T72" s="52"/>
      <c r="U72" s="52"/>
      <c r="V72" s="50"/>
      <c r="W72" s="50"/>
      <c r="X72" s="50"/>
      <c r="Y72" s="50"/>
      <c r="Z72" s="50"/>
      <c r="AA72" s="50"/>
      <c r="AB72" s="50"/>
      <c r="AC72" s="52"/>
      <c r="AD72" s="52"/>
      <c r="AE72" s="50"/>
      <c r="AF72" s="50"/>
      <c r="AG72" s="50"/>
      <c r="AH72" s="51"/>
      <c r="AI72" s="51"/>
      <c r="AJ72" s="51"/>
      <c r="AK72" s="52"/>
      <c r="AL72" s="52"/>
      <c r="AM72" s="51"/>
      <c r="AN72" s="51"/>
      <c r="AO72" s="51"/>
      <c r="AP72" s="51"/>
      <c r="AQ72" s="51"/>
      <c r="AR72" s="51"/>
      <c r="AS72" s="51"/>
      <c r="AT72" s="51"/>
      <c r="AU72" s="1">
        <f t="shared" si="9"/>
        <v>0</v>
      </c>
    </row>
    <row r="73" spans="1:47" ht="15" customHeight="1">
      <c r="A73" s="102"/>
      <c r="B73" s="23">
        <v>7</v>
      </c>
      <c r="C73" s="11"/>
      <c r="D73" s="11"/>
      <c r="E73" s="50"/>
      <c r="F73" s="50"/>
      <c r="G73" s="50"/>
      <c r="H73" s="50"/>
      <c r="I73" s="50"/>
      <c r="J73" s="50"/>
      <c r="K73" s="52"/>
      <c r="L73" s="52"/>
      <c r="M73" s="50"/>
      <c r="N73" s="50"/>
      <c r="O73" s="50"/>
      <c r="P73" s="50"/>
      <c r="Q73" s="50"/>
      <c r="R73" s="50"/>
      <c r="S73" s="50"/>
      <c r="T73" s="52"/>
      <c r="U73" s="52"/>
      <c r="V73" s="50"/>
      <c r="W73" s="50"/>
      <c r="X73" s="50"/>
      <c r="Y73" s="50"/>
      <c r="Z73" s="50"/>
      <c r="AA73" s="50"/>
      <c r="AB73" s="50"/>
      <c r="AC73" s="52"/>
      <c r="AD73" s="52"/>
      <c r="AE73" s="50"/>
      <c r="AF73" s="50"/>
      <c r="AG73" s="50"/>
      <c r="AH73" s="51"/>
      <c r="AI73" s="51"/>
      <c r="AJ73" s="51"/>
      <c r="AK73" s="52"/>
      <c r="AL73" s="52"/>
      <c r="AM73" s="51"/>
      <c r="AN73" s="51"/>
      <c r="AO73" s="51"/>
      <c r="AP73" s="51"/>
      <c r="AQ73" s="51"/>
      <c r="AR73" s="51"/>
      <c r="AS73" s="51"/>
      <c r="AT73" s="51"/>
      <c r="AU73" s="1">
        <f t="shared" si="9"/>
        <v>0</v>
      </c>
    </row>
    <row r="74" spans="1:47" ht="15" customHeight="1">
      <c r="A74" s="102"/>
      <c r="B74" s="23">
        <v>8</v>
      </c>
      <c r="C74" s="11"/>
      <c r="D74" s="11"/>
      <c r="E74" s="50"/>
      <c r="F74" s="50"/>
      <c r="G74" s="50"/>
      <c r="H74" s="50"/>
      <c r="I74" s="50"/>
      <c r="J74" s="50"/>
      <c r="K74" s="52"/>
      <c r="L74" s="52"/>
      <c r="M74" s="50"/>
      <c r="N74" s="50"/>
      <c r="O74" s="50"/>
      <c r="P74" s="50"/>
      <c r="Q74" s="50"/>
      <c r="R74" s="50"/>
      <c r="S74" s="50"/>
      <c r="T74" s="52"/>
      <c r="U74" s="52"/>
      <c r="V74" s="50"/>
      <c r="W74" s="50"/>
      <c r="X74" s="50"/>
      <c r="Y74" s="50"/>
      <c r="Z74" s="50"/>
      <c r="AA74" s="50"/>
      <c r="AB74" s="50"/>
      <c r="AC74" s="52"/>
      <c r="AD74" s="52"/>
      <c r="AE74" s="50"/>
      <c r="AF74" s="50"/>
      <c r="AG74" s="50"/>
      <c r="AH74" s="51"/>
      <c r="AI74" s="51"/>
      <c r="AJ74" s="51"/>
      <c r="AK74" s="52"/>
      <c r="AL74" s="52"/>
      <c r="AM74" s="51"/>
      <c r="AN74" s="51"/>
      <c r="AO74" s="51"/>
      <c r="AP74" s="51"/>
      <c r="AQ74" s="51"/>
      <c r="AR74" s="51"/>
      <c r="AS74" s="51"/>
      <c r="AT74" s="51"/>
      <c r="AU74" s="1">
        <f t="shared" si="9"/>
        <v>0</v>
      </c>
    </row>
    <row r="75" spans="1:47" ht="15" customHeight="1">
      <c r="B75" s="23">
        <v>9</v>
      </c>
      <c r="C75" s="11"/>
      <c r="D75" s="11"/>
      <c r="E75" s="47"/>
      <c r="F75" s="47"/>
      <c r="G75" s="47"/>
      <c r="H75" s="47"/>
      <c r="I75" s="47"/>
      <c r="J75" s="47"/>
      <c r="K75" s="49"/>
      <c r="L75" s="49"/>
      <c r="M75" s="47"/>
      <c r="N75" s="47"/>
      <c r="O75" s="47"/>
      <c r="P75" s="47"/>
      <c r="Q75" s="47"/>
      <c r="R75" s="47"/>
      <c r="S75" s="47"/>
      <c r="T75" s="49"/>
      <c r="U75" s="49"/>
      <c r="V75" s="47"/>
      <c r="W75" s="47"/>
      <c r="X75" s="47"/>
      <c r="Y75" s="47"/>
      <c r="Z75" s="47"/>
      <c r="AA75" s="47"/>
      <c r="AB75" s="47"/>
      <c r="AC75" s="49"/>
      <c r="AD75" s="49"/>
      <c r="AE75" s="47"/>
      <c r="AF75" s="47"/>
      <c r="AG75" s="47"/>
      <c r="AH75" s="48"/>
      <c r="AI75" s="48"/>
      <c r="AJ75" s="48"/>
      <c r="AK75" s="49"/>
      <c r="AL75" s="49"/>
      <c r="AM75" s="48"/>
      <c r="AN75" s="48"/>
      <c r="AO75" s="48"/>
      <c r="AP75" s="48"/>
      <c r="AQ75" s="48"/>
      <c r="AR75" s="48"/>
      <c r="AS75" s="48"/>
      <c r="AT75" s="48"/>
      <c r="AU75" s="1">
        <f t="shared" si="9"/>
        <v>0</v>
      </c>
    </row>
    <row r="76" spans="1:47" ht="15" customHeight="1">
      <c r="B76" s="23">
        <v>10</v>
      </c>
      <c r="C76" s="11"/>
      <c r="D76" s="11"/>
      <c r="E76" s="50"/>
      <c r="F76" s="50"/>
      <c r="G76" s="50"/>
      <c r="H76" s="50"/>
      <c r="I76" s="50"/>
      <c r="J76" s="50"/>
      <c r="K76" s="52"/>
      <c r="L76" s="52"/>
      <c r="M76" s="50"/>
      <c r="N76" s="50"/>
      <c r="O76" s="50"/>
      <c r="P76" s="50"/>
      <c r="Q76" s="50"/>
      <c r="R76" s="50"/>
      <c r="S76" s="50"/>
      <c r="T76" s="52"/>
      <c r="U76" s="52"/>
      <c r="V76" s="50"/>
      <c r="W76" s="50"/>
      <c r="X76" s="50"/>
      <c r="Y76" s="50"/>
      <c r="Z76" s="50"/>
      <c r="AA76" s="50"/>
      <c r="AB76" s="50"/>
      <c r="AC76" s="52"/>
      <c r="AD76" s="52"/>
      <c r="AE76" s="50"/>
      <c r="AF76" s="50"/>
      <c r="AG76" s="50"/>
      <c r="AH76" s="51"/>
      <c r="AI76" s="51"/>
      <c r="AJ76" s="51"/>
      <c r="AK76" s="52"/>
      <c r="AL76" s="52"/>
      <c r="AM76" s="51"/>
      <c r="AN76" s="51"/>
      <c r="AO76" s="51"/>
      <c r="AP76" s="51"/>
      <c r="AQ76" s="51"/>
      <c r="AR76" s="51"/>
      <c r="AS76" s="51"/>
      <c r="AT76" s="51"/>
      <c r="AU76" s="1">
        <f t="shared" si="9"/>
        <v>0</v>
      </c>
    </row>
    <row r="77" spans="1:47" ht="15" customHeight="1">
      <c r="B77" s="23">
        <v>11</v>
      </c>
      <c r="C77" s="11"/>
      <c r="D77" s="11"/>
      <c r="E77" s="50"/>
      <c r="F77" s="50"/>
      <c r="G77" s="50"/>
      <c r="H77" s="50"/>
      <c r="I77" s="50"/>
      <c r="J77" s="50"/>
      <c r="K77" s="52"/>
      <c r="L77" s="52"/>
      <c r="M77" s="50"/>
      <c r="N77" s="50"/>
      <c r="O77" s="50"/>
      <c r="P77" s="50"/>
      <c r="Q77" s="50"/>
      <c r="R77" s="50"/>
      <c r="S77" s="50"/>
      <c r="T77" s="52"/>
      <c r="U77" s="52"/>
      <c r="V77" s="50"/>
      <c r="W77" s="50"/>
      <c r="X77" s="50"/>
      <c r="Y77" s="50"/>
      <c r="Z77" s="50"/>
      <c r="AA77" s="50"/>
      <c r="AB77" s="50"/>
      <c r="AC77" s="52"/>
      <c r="AD77" s="52"/>
      <c r="AE77" s="50"/>
      <c r="AF77" s="50"/>
      <c r="AG77" s="50"/>
      <c r="AH77" s="51"/>
      <c r="AI77" s="51"/>
      <c r="AJ77" s="51"/>
      <c r="AK77" s="52"/>
      <c r="AL77" s="52"/>
      <c r="AM77" s="51"/>
      <c r="AN77" s="51"/>
      <c r="AO77" s="51"/>
      <c r="AP77" s="51"/>
      <c r="AQ77" s="51"/>
      <c r="AR77" s="51"/>
      <c r="AS77" s="51"/>
      <c r="AT77" s="51"/>
      <c r="AU77" s="1">
        <f t="shared" si="9"/>
        <v>0</v>
      </c>
    </row>
    <row r="78" spans="1:47" ht="15" customHeight="1">
      <c r="B78" s="23">
        <v>12</v>
      </c>
      <c r="C78" s="11"/>
      <c r="D78" s="11"/>
      <c r="E78" s="50"/>
      <c r="F78" s="50"/>
      <c r="G78" s="50"/>
      <c r="H78" s="50"/>
      <c r="I78" s="50"/>
      <c r="J78" s="50"/>
      <c r="K78" s="52"/>
      <c r="L78" s="52"/>
      <c r="M78" s="50"/>
      <c r="N78" s="50"/>
      <c r="O78" s="50"/>
      <c r="P78" s="50"/>
      <c r="Q78" s="50"/>
      <c r="R78" s="50"/>
      <c r="S78" s="50"/>
      <c r="T78" s="52"/>
      <c r="U78" s="52"/>
      <c r="V78" s="50"/>
      <c r="W78" s="50"/>
      <c r="X78" s="50"/>
      <c r="Y78" s="50"/>
      <c r="Z78" s="50"/>
      <c r="AA78" s="50"/>
      <c r="AB78" s="50"/>
      <c r="AC78" s="52"/>
      <c r="AD78" s="52"/>
      <c r="AE78" s="50"/>
      <c r="AF78" s="50"/>
      <c r="AG78" s="50"/>
      <c r="AH78" s="51"/>
      <c r="AI78" s="51"/>
      <c r="AJ78" s="51"/>
      <c r="AK78" s="52"/>
      <c r="AL78" s="52"/>
      <c r="AM78" s="51"/>
      <c r="AN78" s="51"/>
      <c r="AO78" s="51"/>
      <c r="AP78" s="51"/>
      <c r="AQ78" s="51"/>
      <c r="AR78" s="51"/>
      <c r="AS78" s="51"/>
      <c r="AT78" s="51"/>
      <c r="AU78" s="1">
        <f t="shared" si="9"/>
        <v>0</v>
      </c>
    </row>
    <row r="79" spans="1:47" ht="15" customHeight="1">
      <c r="B79" s="23">
        <v>13</v>
      </c>
      <c r="C79" s="11"/>
      <c r="D79" s="11"/>
      <c r="E79" s="50"/>
      <c r="F79" s="50"/>
      <c r="G79" s="50"/>
      <c r="H79" s="50"/>
      <c r="I79" s="50"/>
      <c r="J79" s="50"/>
      <c r="K79" s="52"/>
      <c r="L79" s="52"/>
      <c r="M79" s="50"/>
      <c r="N79" s="50"/>
      <c r="O79" s="50"/>
      <c r="P79" s="50"/>
      <c r="Q79" s="50"/>
      <c r="R79" s="50"/>
      <c r="S79" s="50"/>
      <c r="T79" s="52"/>
      <c r="U79" s="52"/>
      <c r="V79" s="50"/>
      <c r="W79" s="50"/>
      <c r="X79" s="50"/>
      <c r="Y79" s="50"/>
      <c r="Z79" s="50"/>
      <c r="AA79" s="50"/>
      <c r="AB79" s="50"/>
      <c r="AC79" s="52"/>
      <c r="AD79" s="52"/>
      <c r="AE79" s="50"/>
      <c r="AF79" s="50"/>
      <c r="AG79" s="50"/>
      <c r="AH79" s="51"/>
      <c r="AI79" s="51"/>
      <c r="AJ79" s="51"/>
      <c r="AK79" s="52"/>
      <c r="AL79" s="52"/>
      <c r="AM79" s="51"/>
      <c r="AN79" s="51"/>
      <c r="AO79" s="51"/>
      <c r="AP79" s="51"/>
      <c r="AQ79" s="51"/>
      <c r="AR79" s="51"/>
      <c r="AS79" s="51"/>
      <c r="AT79" s="51"/>
      <c r="AU79" s="1">
        <f t="shared" si="9"/>
        <v>0</v>
      </c>
    </row>
    <row r="80" spans="1:47" ht="15" customHeight="1">
      <c r="B80" s="23">
        <v>14</v>
      </c>
      <c r="C80" s="11"/>
      <c r="D80" s="11"/>
      <c r="E80" s="50"/>
      <c r="F80" s="50"/>
      <c r="G80" s="50"/>
      <c r="H80" s="50"/>
      <c r="I80" s="50"/>
      <c r="J80" s="50"/>
      <c r="K80" s="52"/>
      <c r="L80" s="52"/>
      <c r="M80" s="50"/>
      <c r="N80" s="50"/>
      <c r="O80" s="50"/>
      <c r="P80" s="50"/>
      <c r="Q80" s="50"/>
      <c r="R80" s="50"/>
      <c r="S80" s="50"/>
      <c r="T80" s="52"/>
      <c r="U80" s="52"/>
      <c r="V80" s="50"/>
      <c r="W80" s="50"/>
      <c r="X80" s="50"/>
      <c r="Y80" s="50"/>
      <c r="Z80" s="50"/>
      <c r="AA80" s="50"/>
      <c r="AB80" s="50"/>
      <c r="AC80" s="52"/>
      <c r="AD80" s="52"/>
      <c r="AE80" s="50"/>
      <c r="AF80" s="50"/>
      <c r="AG80" s="50"/>
      <c r="AH80" s="51"/>
      <c r="AI80" s="51"/>
      <c r="AJ80" s="51"/>
      <c r="AK80" s="52"/>
      <c r="AL80" s="52"/>
      <c r="AM80" s="51"/>
      <c r="AN80" s="51"/>
      <c r="AO80" s="51"/>
      <c r="AP80" s="51"/>
      <c r="AQ80" s="51"/>
      <c r="AR80" s="51"/>
      <c r="AS80" s="51"/>
      <c r="AT80" s="51"/>
      <c r="AU80" s="1">
        <f t="shared" si="9"/>
        <v>0</v>
      </c>
    </row>
    <row r="81" spans="2:47" ht="15" customHeight="1">
      <c r="B81" s="23">
        <v>15</v>
      </c>
      <c r="C81" s="11"/>
      <c r="D81" s="11"/>
      <c r="E81" s="50"/>
      <c r="F81" s="50"/>
      <c r="G81" s="50"/>
      <c r="H81" s="50"/>
      <c r="I81" s="50"/>
      <c r="J81" s="50"/>
      <c r="K81" s="52"/>
      <c r="L81" s="52"/>
      <c r="M81" s="50"/>
      <c r="N81" s="50"/>
      <c r="O81" s="50"/>
      <c r="P81" s="50"/>
      <c r="Q81" s="50"/>
      <c r="R81" s="50"/>
      <c r="S81" s="50"/>
      <c r="T81" s="52"/>
      <c r="U81" s="52"/>
      <c r="V81" s="50"/>
      <c r="W81" s="50"/>
      <c r="X81" s="50"/>
      <c r="Y81" s="50"/>
      <c r="Z81" s="50"/>
      <c r="AA81" s="50"/>
      <c r="AB81" s="50"/>
      <c r="AC81" s="52"/>
      <c r="AD81" s="52"/>
      <c r="AE81" s="50"/>
      <c r="AF81" s="50"/>
      <c r="AG81" s="50"/>
      <c r="AH81" s="51"/>
      <c r="AI81" s="51"/>
      <c r="AJ81" s="51"/>
      <c r="AK81" s="52"/>
      <c r="AL81" s="52"/>
      <c r="AM81" s="51"/>
      <c r="AN81" s="51"/>
      <c r="AO81" s="51"/>
      <c r="AP81" s="51"/>
      <c r="AQ81" s="51"/>
      <c r="AR81" s="51"/>
      <c r="AS81" s="51"/>
      <c r="AT81" s="51"/>
      <c r="AU81" s="1">
        <f t="shared" si="9"/>
        <v>0</v>
      </c>
    </row>
    <row r="82" spans="2:47" ht="15" customHeight="1">
      <c r="B82" s="23">
        <v>16</v>
      </c>
      <c r="C82" s="11"/>
      <c r="D82" s="11"/>
      <c r="E82" s="50"/>
      <c r="F82" s="50"/>
      <c r="G82" s="50"/>
      <c r="H82" s="50"/>
      <c r="I82" s="50"/>
      <c r="J82" s="50"/>
      <c r="K82" s="52"/>
      <c r="L82" s="52"/>
      <c r="M82" s="50"/>
      <c r="N82" s="50"/>
      <c r="O82" s="50"/>
      <c r="P82" s="50"/>
      <c r="Q82" s="50"/>
      <c r="R82" s="50"/>
      <c r="S82" s="50"/>
      <c r="T82" s="52"/>
      <c r="U82" s="52"/>
      <c r="V82" s="50"/>
      <c r="W82" s="50"/>
      <c r="X82" s="50"/>
      <c r="Y82" s="50"/>
      <c r="Z82" s="50"/>
      <c r="AA82" s="50"/>
      <c r="AB82" s="50"/>
      <c r="AC82" s="52"/>
      <c r="AD82" s="52"/>
      <c r="AE82" s="50"/>
      <c r="AF82" s="50"/>
      <c r="AG82" s="50"/>
      <c r="AH82" s="51"/>
      <c r="AI82" s="51"/>
      <c r="AJ82" s="51"/>
      <c r="AK82" s="52"/>
      <c r="AL82" s="52"/>
      <c r="AM82" s="51"/>
      <c r="AN82" s="51"/>
      <c r="AO82" s="51"/>
      <c r="AP82" s="51"/>
      <c r="AQ82" s="51"/>
      <c r="AR82" s="51"/>
      <c r="AS82" s="51"/>
      <c r="AT82" s="51"/>
      <c r="AU82" s="1">
        <f t="shared" si="9"/>
        <v>0</v>
      </c>
    </row>
    <row r="83" spans="2:47" ht="15" customHeight="1">
      <c r="B83" s="82">
        <v>1</v>
      </c>
      <c r="C83" s="12" t="s">
        <v>84</v>
      </c>
      <c r="D83" s="11"/>
      <c r="E83" s="8">
        <f>COUNTIF(E67:E82,"1")</f>
        <v>0</v>
      </c>
      <c r="F83" s="8">
        <f t="shared" ref="F83:AT83" si="10">COUNTIF(F67:F82,"1")</f>
        <v>0</v>
      </c>
      <c r="G83" s="8">
        <f t="shared" si="10"/>
        <v>0</v>
      </c>
      <c r="H83" s="8">
        <f t="shared" si="10"/>
        <v>0</v>
      </c>
      <c r="I83" s="8">
        <f t="shared" si="10"/>
        <v>0</v>
      </c>
      <c r="J83" s="8">
        <f t="shared" si="10"/>
        <v>0</v>
      </c>
      <c r="K83" s="8">
        <f t="shared" si="10"/>
        <v>0</v>
      </c>
      <c r="L83" s="8">
        <f t="shared" si="10"/>
        <v>0</v>
      </c>
      <c r="M83" s="8">
        <f t="shared" si="10"/>
        <v>0</v>
      </c>
      <c r="N83" s="8">
        <f t="shared" si="10"/>
        <v>0</v>
      </c>
      <c r="O83" s="8">
        <f t="shared" si="10"/>
        <v>0</v>
      </c>
      <c r="P83" s="8">
        <f t="shared" si="10"/>
        <v>0</v>
      </c>
      <c r="Q83" s="8">
        <f t="shared" si="10"/>
        <v>0</v>
      </c>
      <c r="R83" s="8">
        <f t="shared" si="10"/>
        <v>0</v>
      </c>
      <c r="S83" s="8">
        <f t="shared" si="10"/>
        <v>0</v>
      </c>
      <c r="T83" s="8">
        <f t="shared" si="10"/>
        <v>0</v>
      </c>
      <c r="U83" s="8">
        <f t="shared" si="10"/>
        <v>0</v>
      </c>
      <c r="V83" s="8">
        <f t="shared" si="10"/>
        <v>0</v>
      </c>
      <c r="W83" s="8">
        <f t="shared" si="10"/>
        <v>0</v>
      </c>
      <c r="X83" s="8">
        <f t="shared" si="10"/>
        <v>0</v>
      </c>
      <c r="Y83" s="8">
        <f t="shared" si="10"/>
        <v>0</v>
      </c>
      <c r="Z83" s="8">
        <f t="shared" si="10"/>
        <v>0</v>
      </c>
      <c r="AA83" s="8">
        <f t="shared" si="10"/>
        <v>0</v>
      </c>
      <c r="AB83" s="8">
        <f t="shared" si="10"/>
        <v>0</v>
      </c>
      <c r="AC83" s="8">
        <f t="shared" si="10"/>
        <v>0</v>
      </c>
      <c r="AD83" s="8">
        <f t="shared" si="10"/>
        <v>0</v>
      </c>
      <c r="AE83" s="8">
        <f t="shared" si="10"/>
        <v>0</v>
      </c>
      <c r="AF83" s="8">
        <f t="shared" si="10"/>
        <v>0</v>
      </c>
      <c r="AG83" s="8">
        <f t="shared" si="10"/>
        <v>0</v>
      </c>
      <c r="AH83" s="8">
        <f t="shared" si="10"/>
        <v>0</v>
      </c>
      <c r="AI83" s="8">
        <f t="shared" si="10"/>
        <v>0</v>
      </c>
      <c r="AJ83" s="8">
        <f t="shared" si="10"/>
        <v>0</v>
      </c>
      <c r="AK83" s="8">
        <f t="shared" si="10"/>
        <v>0</v>
      </c>
      <c r="AL83" s="8">
        <f t="shared" si="10"/>
        <v>0</v>
      </c>
      <c r="AM83" s="8">
        <f t="shared" si="10"/>
        <v>0</v>
      </c>
      <c r="AN83" s="8">
        <f t="shared" si="10"/>
        <v>0</v>
      </c>
      <c r="AO83" s="8">
        <f t="shared" si="10"/>
        <v>0</v>
      </c>
      <c r="AP83" s="8">
        <f t="shared" si="10"/>
        <v>0</v>
      </c>
      <c r="AQ83" s="8">
        <f t="shared" si="10"/>
        <v>0</v>
      </c>
      <c r="AR83" s="8">
        <f t="shared" si="10"/>
        <v>0</v>
      </c>
      <c r="AS83" s="8">
        <f t="shared" si="10"/>
        <v>0</v>
      </c>
      <c r="AT83" s="8">
        <f t="shared" si="10"/>
        <v>0</v>
      </c>
      <c r="AU83" s="1">
        <f t="shared" si="9"/>
        <v>0</v>
      </c>
    </row>
    <row r="85" spans="2:47" ht="15" customHeight="1">
      <c r="C85" s="71">
        <f>SUM(B23+B43+B63+B83)</f>
        <v>46</v>
      </c>
    </row>
  </sheetData>
  <sortState xmlns:xlrd2="http://schemas.microsoft.com/office/spreadsheetml/2017/richdata2" ref="C27:J41">
    <sortCondition ref="D27:D41"/>
  </sortState>
  <mergeCells count="174"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AQ44:AQ45"/>
    <mergeCell ref="AR44:AR45"/>
    <mergeCell ref="AS44:AS45"/>
    <mergeCell ref="AT44:AT4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AL44:AL45"/>
    <mergeCell ref="AM44:AM45"/>
    <mergeCell ref="AN44:AN45"/>
    <mergeCell ref="AO44:AO45"/>
    <mergeCell ref="AP44:AP45"/>
    <mergeCell ref="AG44:AG45"/>
    <mergeCell ref="AH44:AH45"/>
    <mergeCell ref="AI44:AI45"/>
    <mergeCell ref="AJ44:AJ45"/>
    <mergeCell ref="AK44:AK45"/>
    <mergeCell ref="AB44:AB45"/>
    <mergeCell ref="AC44:AC45"/>
    <mergeCell ref="AD44:AD45"/>
    <mergeCell ref="AE44:AE45"/>
    <mergeCell ref="AF44:AF45"/>
    <mergeCell ref="W44:W45"/>
    <mergeCell ref="X44:X45"/>
    <mergeCell ref="Y44:Y45"/>
    <mergeCell ref="Z44:Z45"/>
    <mergeCell ref="AA44:AA45"/>
    <mergeCell ref="R44:R45"/>
    <mergeCell ref="S44:S45"/>
    <mergeCell ref="T44:T45"/>
    <mergeCell ref="U44:U45"/>
    <mergeCell ref="V44:V45"/>
    <mergeCell ref="AR24:AR25"/>
    <mergeCell ref="AS24:AS25"/>
    <mergeCell ref="AT24:AT2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AM24:AM25"/>
    <mergeCell ref="AN24:AN25"/>
    <mergeCell ref="AO24:AO25"/>
    <mergeCell ref="AP24:AP25"/>
    <mergeCell ref="AQ24:AQ25"/>
    <mergeCell ref="AH24:AH25"/>
    <mergeCell ref="AI24:AI25"/>
    <mergeCell ref="AJ24:AJ25"/>
    <mergeCell ref="AK24:AK25"/>
    <mergeCell ref="AL24:AL25"/>
    <mergeCell ref="AC24:AC25"/>
    <mergeCell ref="AD24:AD25"/>
    <mergeCell ref="AE24:AE25"/>
    <mergeCell ref="AF24:AF25"/>
    <mergeCell ref="AG24:AG25"/>
    <mergeCell ref="X24:X25"/>
    <mergeCell ref="Y24:Y25"/>
    <mergeCell ref="Z24:Z25"/>
    <mergeCell ref="AA24:AA25"/>
    <mergeCell ref="AB24:AB25"/>
    <mergeCell ref="S24:S25"/>
    <mergeCell ref="T24:T25"/>
    <mergeCell ref="U24:U25"/>
    <mergeCell ref="V24:V25"/>
    <mergeCell ref="W24:W25"/>
    <mergeCell ref="AS4:AS5"/>
    <mergeCell ref="AT4:AT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AK4:AK5"/>
    <mergeCell ref="AL4:AL5"/>
    <mergeCell ref="AM4:AM5"/>
    <mergeCell ref="AQ4:AQ5"/>
    <mergeCell ref="AR4:AR5"/>
    <mergeCell ref="AF4:AF5"/>
    <mergeCell ref="AG4:AG5"/>
    <mergeCell ref="AH4:AH5"/>
    <mergeCell ref="O4:O5"/>
    <mergeCell ref="P4:P5"/>
    <mergeCell ref="AI4:AI5"/>
    <mergeCell ref="AJ4:AJ5"/>
    <mergeCell ref="AA4:AA5"/>
    <mergeCell ref="AB4:AB5"/>
    <mergeCell ref="AC4:AC5"/>
    <mergeCell ref="AD4:AD5"/>
    <mergeCell ref="AE4:AE5"/>
    <mergeCell ref="V4:V5"/>
    <mergeCell ref="W4:W5"/>
    <mergeCell ref="X4:X5"/>
    <mergeCell ref="Y4:Y5"/>
    <mergeCell ref="Z4:Z5"/>
    <mergeCell ref="A47:A54"/>
    <mergeCell ref="A67:A74"/>
    <mergeCell ref="C1:AP3"/>
    <mergeCell ref="AN4:AN5"/>
    <mergeCell ref="AO4:AO5"/>
    <mergeCell ref="AP4:AP5"/>
    <mergeCell ref="A6:A13"/>
    <mergeCell ref="A14:A22"/>
    <mergeCell ref="A27:A34"/>
    <mergeCell ref="E4:E5"/>
    <mergeCell ref="F4:F5"/>
    <mergeCell ref="G4:G5"/>
    <mergeCell ref="H4:H5"/>
    <mergeCell ref="I4:I5"/>
    <mergeCell ref="J4:J5"/>
    <mergeCell ref="K4:K5"/>
    <mergeCell ref="Q4:Q5"/>
    <mergeCell ref="R4:R5"/>
    <mergeCell ref="S4:S5"/>
    <mergeCell ref="T4:T5"/>
    <mergeCell ref="U4:U5"/>
    <mergeCell ref="L4:L5"/>
    <mergeCell ref="M4:M5"/>
    <mergeCell ref="N4:N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83" orientation="portrait" r:id="rId1"/>
  <rowBreaks count="1" manualBreakCount="1">
    <brk id="4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B3AB-B0AE-49F6-9967-8DA6F172891A}">
  <sheetPr>
    <tabColor theme="4" tint="-0.499984740745262"/>
    <pageSetUpPr fitToPage="1"/>
  </sheetPr>
  <dimension ref="A1:AV85"/>
  <sheetViews>
    <sheetView tabSelected="1" topLeftCell="N1" workbookViewId="0">
      <selection activeCell="AC47" sqref="AC47:AD61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30" style="4" bestFit="1" customWidth="1"/>
    <col min="4" max="4" width="4.28515625" style="4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8" ht="14.45" customHeight="1">
      <c r="C1" s="101" t="s">
        <v>317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8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8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8" ht="21" customHeight="1">
      <c r="B4" s="22"/>
      <c r="C4" s="13"/>
      <c r="D4" s="13"/>
      <c r="E4" s="99">
        <v>45913</v>
      </c>
      <c r="F4" s="99">
        <f>E4+7</f>
        <v>45920</v>
      </c>
      <c r="G4" s="99">
        <f t="shared" ref="G4:AT4" si="0">F4+7</f>
        <v>45927</v>
      </c>
      <c r="H4" s="99">
        <f t="shared" si="0"/>
        <v>45934</v>
      </c>
      <c r="I4" s="99">
        <f t="shared" si="0"/>
        <v>45941</v>
      </c>
      <c r="J4" s="99">
        <f t="shared" si="0"/>
        <v>45948</v>
      </c>
      <c r="K4" s="99">
        <f t="shared" si="0"/>
        <v>45955</v>
      </c>
      <c r="L4" s="99">
        <f t="shared" si="0"/>
        <v>45962</v>
      </c>
      <c r="M4" s="99">
        <f t="shared" si="0"/>
        <v>45969</v>
      </c>
      <c r="N4" s="99">
        <f t="shared" si="0"/>
        <v>45976</v>
      </c>
      <c r="O4" s="99">
        <f t="shared" si="0"/>
        <v>45983</v>
      </c>
      <c r="P4" s="99">
        <f t="shared" si="0"/>
        <v>45990</v>
      </c>
      <c r="Q4" s="99">
        <f t="shared" si="0"/>
        <v>45997</v>
      </c>
      <c r="R4" s="99">
        <f t="shared" si="0"/>
        <v>46004</v>
      </c>
      <c r="S4" s="99">
        <f t="shared" si="0"/>
        <v>46011</v>
      </c>
      <c r="T4" s="99">
        <f t="shared" si="0"/>
        <v>46018</v>
      </c>
      <c r="U4" s="99">
        <f t="shared" si="0"/>
        <v>46025</v>
      </c>
      <c r="V4" s="99">
        <f t="shared" si="0"/>
        <v>46032</v>
      </c>
      <c r="W4" s="99">
        <f t="shared" si="0"/>
        <v>46039</v>
      </c>
      <c r="X4" s="99">
        <f t="shared" si="0"/>
        <v>46046</v>
      </c>
      <c r="Y4" s="99">
        <f t="shared" si="0"/>
        <v>46053</v>
      </c>
      <c r="Z4" s="99">
        <f t="shared" si="0"/>
        <v>46060</v>
      </c>
      <c r="AA4" s="99">
        <f t="shared" si="0"/>
        <v>46067</v>
      </c>
      <c r="AB4" s="99">
        <f t="shared" si="0"/>
        <v>46074</v>
      </c>
      <c r="AC4" s="99">
        <f t="shared" si="0"/>
        <v>46081</v>
      </c>
      <c r="AD4" s="99">
        <f t="shared" si="0"/>
        <v>46088</v>
      </c>
      <c r="AE4" s="99">
        <f t="shared" si="0"/>
        <v>46095</v>
      </c>
      <c r="AF4" s="99">
        <f t="shared" si="0"/>
        <v>46102</v>
      </c>
      <c r="AG4" s="99">
        <f t="shared" si="0"/>
        <v>46109</v>
      </c>
      <c r="AH4" s="99">
        <f t="shared" si="0"/>
        <v>46116</v>
      </c>
      <c r="AI4" s="99">
        <f t="shared" si="0"/>
        <v>46123</v>
      </c>
      <c r="AJ4" s="99">
        <f t="shared" si="0"/>
        <v>46130</v>
      </c>
      <c r="AK4" s="99">
        <f t="shared" si="0"/>
        <v>46137</v>
      </c>
      <c r="AL4" s="99">
        <f t="shared" si="0"/>
        <v>46144</v>
      </c>
      <c r="AM4" s="99">
        <f t="shared" si="0"/>
        <v>46151</v>
      </c>
      <c r="AN4" s="99">
        <f t="shared" si="0"/>
        <v>46158</v>
      </c>
      <c r="AO4" s="99">
        <f t="shared" si="0"/>
        <v>46165</v>
      </c>
      <c r="AP4" s="99">
        <f t="shared" si="0"/>
        <v>46172</v>
      </c>
      <c r="AQ4" s="99">
        <f t="shared" si="0"/>
        <v>46179</v>
      </c>
      <c r="AR4" s="99">
        <f t="shared" si="0"/>
        <v>46186</v>
      </c>
      <c r="AS4" s="99">
        <f t="shared" si="0"/>
        <v>46193</v>
      </c>
      <c r="AT4" s="99">
        <f t="shared" si="0"/>
        <v>46200</v>
      </c>
    </row>
    <row r="5" spans="1:48" ht="21" customHeight="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8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>
        <f>SUM(I6:AT6)</f>
        <v>0</v>
      </c>
    </row>
    <row r="7" spans="1:48">
      <c r="A7" s="102"/>
      <c r="B7" s="23">
        <v>1</v>
      </c>
      <c r="C7" s="33" t="s">
        <v>318</v>
      </c>
      <c r="D7" s="9" t="s">
        <v>88</v>
      </c>
      <c r="E7" s="47">
        <v>0</v>
      </c>
      <c r="F7" s="47">
        <v>0</v>
      </c>
      <c r="G7" s="47">
        <v>1</v>
      </c>
      <c r="H7" s="47">
        <v>1</v>
      </c>
      <c r="I7" s="47">
        <v>1</v>
      </c>
      <c r="J7" s="47">
        <v>0</v>
      </c>
      <c r="K7" s="49"/>
      <c r="L7" s="49"/>
      <c r="M7" s="47">
        <v>0</v>
      </c>
      <c r="N7" s="47">
        <v>1</v>
      </c>
      <c r="O7" s="47">
        <v>1</v>
      </c>
      <c r="P7" s="47">
        <v>0</v>
      </c>
      <c r="Q7" s="77">
        <v>1</v>
      </c>
      <c r="R7" s="47">
        <v>1</v>
      </c>
      <c r="S7" s="47">
        <v>1</v>
      </c>
      <c r="T7" s="49"/>
      <c r="U7" s="49"/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49"/>
      <c r="AD7" s="49">
        <v>0</v>
      </c>
      <c r="AE7" s="47">
        <v>1</v>
      </c>
      <c r="AF7" s="47">
        <v>1</v>
      </c>
      <c r="AG7" s="47">
        <v>0</v>
      </c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 t="shared" ref="AU7:AU23" si="1">SUM(I7:AT7)</f>
        <v>15</v>
      </c>
    </row>
    <row r="8" spans="1:48">
      <c r="A8" s="102"/>
      <c r="B8" s="23">
        <v>2</v>
      </c>
      <c r="C8" s="24" t="s">
        <v>171</v>
      </c>
      <c r="D8" s="9" t="s">
        <v>88</v>
      </c>
      <c r="E8" s="50">
        <v>1</v>
      </c>
      <c r="F8" s="50">
        <v>1</v>
      </c>
      <c r="G8" s="50">
        <v>0</v>
      </c>
      <c r="H8" s="50">
        <v>0</v>
      </c>
      <c r="I8" s="50">
        <v>1</v>
      </c>
      <c r="J8" s="50">
        <v>0</v>
      </c>
      <c r="K8" s="52"/>
      <c r="L8" s="52"/>
      <c r="M8" s="50">
        <v>1</v>
      </c>
      <c r="N8" s="50">
        <v>1</v>
      </c>
      <c r="O8" s="50">
        <v>1</v>
      </c>
      <c r="P8" s="50">
        <v>0</v>
      </c>
      <c r="Q8" s="78">
        <v>1</v>
      </c>
      <c r="R8" s="50">
        <v>1</v>
      </c>
      <c r="S8" s="50">
        <v>1</v>
      </c>
      <c r="T8" s="52"/>
      <c r="U8" s="52"/>
      <c r="V8" s="50">
        <v>1</v>
      </c>
      <c r="W8" s="50">
        <v>1</v>
      </c>
      <c r="X8" s="50">
        <v>1</v>
      </c>
      <c r="Y8" s="50">
        <v>1</v>
      </c>
      <c r="Z8" s="50">
        <v>1</v>
      </c>
      <c r="AA8" s="50">
        <v>1</v>
      </c>
      <c r="AB8" s="50">
        <v>0</v>
      </c>
      <c r="AC8" s="52"/>
      <c r="AD8" s="52">
        <v>0</v>
      </c>
      <c r="AE8" s="50">
        <v>0</v>
      </c>
      <c r="AF8" s="50">
        <v>1</v>
      </c>
      <c r="AG8" s="50"/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si="1"/>
        <v>14</v>
      </c>
    </row>
    <row r="9" spans="1:48">
      <c r="A9" s="102"/>
      <c r="B9" s="23">
        <v>3</v>
      </c>
      <c r="C9" s="24" t="s">
        <v>319</v>
      </c>
      <c r="D9" s="9" t="s">
        <v>88</v>
      </c>
      <c r="E9" s="50">
        <v>1</v>
      </c>
      <c r="F9" s="50">
        <v>1</v>
      </c>
      <c r="G9" s="50">
        <v>1</v>
      </c>
      <c r="H9" s="50">
        <v>1</v>
      </c>
      <c r="I9" s="50">
        <v>1</v>
      </c>
      <c r="J9" s="50">
        <v>1</v>
      </c>
      <c r="K9" s="52"/>
      <c r="L9" s="52"/>
      <c r="M9" s="50">
        <v>1</v>
      </c>
      <c r="N9" s="50">
        <v>1</v>
      </c>
      <c r="O9" s="50">
        <v>1</v>
      </c>
      <c r="P9" s="50">
        <v>1</v>
      </c>
      <c r="Q9" s="78">
        <v>1</v>
      </c>
      <c r="R9" s="50">
        <v>1</v>
      </c>
      <c r="S9" s="50">
        <v>1</v>
      </c>
      <c r="T9" s="52"/>
      <c r="U9" s="52"/>
      <c r="V9" s="50">
        <v>0</v>
      </c>
      <c r="W9" s="50">
        <v>1</v>
      </c>
      <c r="X9" s="50">
        <v>1</v>
      </c>
      <c r="Y9" s="50">
        <v>1</v>
      </c>
      <c r="Z9" s="50">
        <v>1</v>
      </c>
      <c r="AA9" s="50">
        <v>1</v>
      </c>
      <c r="AB9" s="50">
        <v>1</v>
      </c>
      <c r="AC9" s="52"/>
      <c r="AD9" s="52">
        <v>1</v>
      </c>
      <c r="AE9" s="50">
        <v>1</v>
      </c>
      <c r="AF9" s="50">
        <v>1</v>
      </c>
      <c r="AG9" s="50"/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18</v>
      </c>
    </row>
    <row r="10" spans="1:48">
      <c r="A10" s="102"/>
      <c r="B10" s="23">
        <v>4</v>
      </c>
      <c r="C10" s="24" t="s">
        <v>174</v>
      </c>
      <c r="D10" s="9" t="s">
        <v>88</v>
      </c>
      <c r="E10" s="87">
        <v>1</v>
      </c>
      <c r="F10" s="50">
        <v>1</v>
      </c>
      <c r="G10" s="50">
        <v>1</v>
      </c>
      <c r="H10" s="50">
        <v>1</v>
      </c>
      <c r="I10" s="50">
        <v>1</v>
      </c>
      <c r="J10" s="50">
        <v>1</v>
      </c>
      <c r="K10" s="52"/>
      <c r="L10" s="52"/>
      <c r="M10" s="50">
        <v>1</v>
      </c>
      <c r="N10" s="50">
        <v>0</v>
      </c>
      <c r="O10" s="50">
        <v>1</v>
      </c>
      <c r="P10" s="50">
        <v>1</v>
      </c>
      <c r="Q10" s="78">
        <v>1</v>
      </c>
      <c r="R10" s="50">
        <v>0</v>
      </c>
      <c r="S10" s="50">
        <v>1</v>
      </c>
      <c r="T10" s="52"/>
      <c r="U10" s="52"/>
      <c r="V10" s="50">
        <v>1</v>
      </c>
      <c r="W10" s="50">
        <v>1</v>
      </c>
      <c r="X10" s="50">
        <v>1</v>
      </c>
      <c r="Y10" s="50">
        <v>1</v>
      </c>
      <c r="Z10" s="50">
        <v>0</v>
      </c>
      <c r="AA10" s="50">
        <v>1</v>
      </c>
      <c r="AB10" s="50">
        <v>1</v>
      </c>
      <c r="AC10" s="52"/>
      <c r="AD10" s="52">
        <v>1</v>
      </c>
      <c r="AE10" s="50">
        <v>1</v>
      </c>
      <c r="AF10" s="50">
        <v>1</v>
      </c>
      <c r="AG10" s="50"/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16</v>
      </c>
    </row>
    <row r="11" spans="1:48">
      <c r="A11" s="102"/>
      <c r="B11" s="23">
        <v>5</v>
      </c>
      <c r="C11" s="24" t="s">
        <v>320</v>
      </c>
      <c r="D11" s="9" t="s">
        <v>88</v>
      </c>
      <c r="E11" s="50">
        <v>1</v>
      </c>
      <c r="F11" s="50">
        <v>1</v>
      </c>
      <c r="G11" s="50">
        <v>1</v>
      </c>
      <c r="H11" s="50">
        <v>1</v>
      </c>
      <c r="I11" s="50">
        <v>1</v>
      </c>
      <c r="J11" s="50">
        <v>1</v>
      </c>
      <c r="K11" s="52"/>
      <c r="L11" s="52"/>
      <c r="M11" s="50">
        <v>1</v>
      </c>
      <c r="N11" s="50">
        <v>1</v>
      </c>
      <c r="O11" s="50">
        <v>1</v>
      </c>
      <c r="P11" s="50">
        <v>1</v>
      </c>
      <c r="Q11" s="78">
        <v>1</v>
      </c>
      <c r="R11" s="50">
        <v>0</v>
      </c>
      <c r="S11" s="50">
        <v>1</v>
      </c>
      <c r="T11" s="52"/>
      <c r="U11" s="52"/>
      <c r="V11" s="50">
        <v>1</v>
      </c>
      <c r="W11" s="50">
        <v>1</v>
      </c>
      <c r="X11" s="50">
        <v>1</v>
      </c>
      <c r="Y11" s="50">
        <v>1</v>
      </c>
      <c r="Z11" s="50">
        <v>1</v>
      </c>
      <c r="AA11" s="50">
        <v>1</v>
      </c>
      <c r="AB11" s="50">
        <v>0</v>
      </c>
      <c r="AC11" s="52"/>
      <c r="AD11" s="52">
        <v>0</v>
      </c>
      <c r="AE11" s="50">
        <v>1</v>
      </c>
      <c r="AF11" s="50">
        <v>1</v>
      </c>
      <c r="AG11" s="50"/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16</v>
      </c>
    </row>
    <row r="12" spans="1:48">
      <c r="A12" s="102"/>
      <c r="B12" s="23">
        <v>6</v>
      </c>
      <c r="C12" s="24" t="s">
        <v>321</v>
      </c>
      <c r="D12" s="9" t="s">
        <v>88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1</v>
      </c>
      <c r="K12" s="52"/>
      <c r="L12" s="52"/>
      <c r="M12" s="50">
        <v>1</v>
      </c>
      <c r="N12" s="50">
        <v>1</v>
      </c>
      <c r="O12" s="50">
        <v>0</v>
      </c>
      <c r="P12" s="50">
        <v>1</v>
      </c>
      <c r="Q12" s="78">
        <v>0</v>
      </c>
      <c r="R12" s="50">
        <v>1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2"/>
      <c r="AD12" s="52">
        <v>0</v>
      </c>
      <c r="AE12" s="50">
        <v>1</v>
      </c>
      <c r="AF12" s="50">
        <v>1</v>
      </c>
      <c r="AG12" s="50"/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16</v>
      </c>
    </row>
    <row r="13" spans="1:48">
      <c r="A13" s="102"/>
      <c r="B13" s="23">
        <v>7</v>
      </c>
      <c r="C13" s="24" t="s">
        <v>322</v>
      </c>
      <c r="D13" s="9" t="s">
        <v>88</v>
      </c>
      <c r="E13" s="87">
        <v>1</v>
      </c>
      <c r="F13" s="50">
        <v>1</v>
      </c>
      <c r="G13" s="50">
        <v>1</v>
      </c>
      <c r="H13" s="50">
        <v>0</v>
      </c>
      <c r="I13" s="50">
        <v>1</v>
      </c>
      <c r="J13" s="50">
        <v>1</v>
      </c>
      <c r="K13" s="52"/>
      <c r="L13" s="52"/>
      <c r="M13" s="50">
        <v>0</v>
      </c>
      <c r="N13" s="50">
        <v>1</v>
      </c>
      <c r="O13" s="50">
        <v>0</v>
      </c>
      <c r="P13" s="50">
        <v>1</v>
      </c>
      <c r="Q13" s="78">
        <v>1</v>
      </c>
      <c r="R13" s="50">
        <v>0</v>
      </c>
      <c r="S13" s="50">
        <v>1</v>
      </c>
      <c r="T13" s="52"/>
      <c r="U13" s="52"/>
      <c r="V13" s="50">
        <v>1</v>
      </c>
      <c r="W13" s="50">
        <v>0</v>
      </c>
      <c r="X13" s="50">
        <v>1</v>
      </c>
      <c r="Y13" s="50">
        <v>1</v>
      </c>
      <c r="Z13" s="50">
        <v>1</v>
      </c>
      <c r="AA13" s="50">
        <v>1</v>
      </c>
      <c r="AB13" s="50">
        <v>1</v>
      </c>
      <c r="AC13" s="52"/>
      <c r="AD13" s="52">
        <v>0</v>
      </c>
      <c r="AE13" s="50">
        <v>0</v>
      </c>
      <c r="AF13" s="50">
        <v>1</v>
      </c>
      <c r="AG13" s="50"/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13</v>
      </c>
    </row>
    <row r="14" spans="1:48">
      <c r="A14" s="102"/>
      <c r="B14" s="23">
        <v>8</v>
      </c>
      <c r="C14" s="24" t="s">
        <v>323</v>
      </c>
      <c r="D14" s="9" t="s">
        <v>88</v>
      </c>
      <c r="E14" s="87">
        <v>1</v>
      </c>
      <c r="F14" s="50">
        <v>1</v>
      </c>
      <c r="G14" s="50">
        <v>1</v>
      </c>
      <c r="H14" s="50">
        <v>1</v>
      </c>
      <c r="I14" s="50">
        <v>1</v>
      </c>
      <c r="J14" s="50">
        <v>1</v>
      </c>
      <c r="K14" s="52"/>
      <c r="L14" s="52"/>
      <c r="M14" s="50">
        <v>1</v>
      </c>
      <c r="N14" s="50">
        <v>1</v>
      </c>
      <c r="O14" s="50">
        <v>1</v>
      </c>
      <c r="P14" s="50">
        <v>1</v>
      </c>
      <c r="Q14" s="78">
        <v>1</v>
      </c>
      <c r="R14" s="50">
        <v>0</v>
      </c>
      <c r="S14" s="50">
        <v>1</v>
      </c>
      <c r="T14" s="52"/>
      <c r="U14" s="52"/>
      <c r="V14" s="50">
        <v>1</v>
      </c>
      <c r="W14" s="50">
        <v>0</v>
      </c>
      <c r="X14" s="50">
        <v>1</v>
      </c>
      <c r="Y14" s="50">
        <v>0</v>
      </c>
      <c r="Z14" s="50">
        <v>0</v>
      </c>
      <c r="AA14" s="50">
        <v>1</v>
      </c>
      <c r="AB14" s="50">
        <v>1</v>
      </c>
      <c r="AC14" s="52"/>
      <c r="AD14" s="52">
        <v>1</v>
      </c>
      <c r="AE14" s="50">
        <v>0</v>
      </c>
      <c r="AF14" s="50">
        <v>0</v>
      </c>
      <c r="AG14" s="50"/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13</v>
      </c>
    </row>
    <row r="15" spans="1:48">
      <c r="A15" s="102"/>
      <c r="B15" s="23">
        <v>9</v>
      </c>
      <c r="C15" s="24" t="s">
        <v>324</v>
      </c>
      <c r="D15" s="9" t="s">
        <v>88</v>
      </c>
      <c r="E15" s="47">
        <v>1</v>
      </c>
      <c r="F15" s="47">
        <v>1</v>
      </c>
      <c r="G15" s="47">
        <v>0</v>
      </c>
      <c r="H15" s="47">
        <v>1</v>
      </c>
      <c r="I15" s="47">
        <v>0</v>
      </c>
      <c r="J15" s="47">
        <v>1</v>
      </c>
      <c r="K15" s="49"/>
      <c r="L15" s="49"/>
      <c r="M15" s="47">
        <v>1</v>
      </c>
      <c r="N15" s="47">
        <v>1</v>
      </c>
      <c r="O15" s="47">
        <v>1</v>
      </c>
      <c r="P15" s="47">
        <v>1</v>
      </c>
      <c r="Q15" s="77">
        <v>1</v>
      </c>
      <c r="R15" s="47">
        <v>1</v>
      </c>
      <c r="S15" s="47">
        <v>1</v>
      </c>
      <c r="T15" s="49"/>
      <c r="U15" s="49"/>
      <c r="V15" s="4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0</v>
      </c>
      <c r="AC15" s="49"/>
      <c r="AD15" s="49">
        <v>0</v>
      </c>
      <c r="AE15" s="47">
        <v>1</v>
      </c>
      <c r="AF15" s="47">
        <v>1</v>
      </c>
      <c r="AG15" s="47"/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16</v>
      </c>
      <c r="AV15" s="28"/>
    </row>
    <row r="16" spans="1:48">
      <c r="A16" s="102"/>
      <c r="B16" s="23">
        <v>10</v>
      </c>
      <c r="C16" s="24" t="s">
        <v>325</v>
      </c>
      <c r="D16" s="9" t="s">
        <v>88</v>
      </c>
      <c r="E16" s="87">
        <v>1</v>
      </c>
      <c r="F16" s="50">
        <v>1</v>
      </c>
      <c r="G16" s="50">
        <v>1</v>
      </c>
      <c r="H16" s="50">
        <v>1</v>
      </c>
      <c r="I16" s="50">
        <v>1</v>
      </c>
      <c r="J16" s="50">
        <v>0</v>
      </c>
      <c r="K16" s="52"/>
      <c r="L16" s="52"/>
      <c r="M16" s="50">
        <v>1</v>
      </c>
      <c r="N16" s="50">
        <v>1</v>
      </c>
      <c r="O16" s="50">
        <v>1</v>
      </c>
      <c r="P16" s="50">
        <v>1</v>
      </c>
      <c r="Q16" s="78">
        <v>1</v>
      </c>
      <c r="R16" s="50">
        <v>1</v>
      </c>
      <c r="S16" s="50">
        <v>1</v>
      </c>
      <c r="T16" s="52"/>
      <c r="U16" s="52"/>
      <c r="V16" s="50">
        <v>1</v>
      </c>
      <c r="W16" s="50">
        <v>1</v>
      </c>
      <c r="X16" s="50">
        <v>1</v>
      </c>
      <c r="Y16" s="50">
        <v>1</v>
      </c>
      <c r="Z16" s="50">
        <v>0</v>
      </c>
      <c r="AA16" s="50">
        <v>1</v>
      </c>
      <c r="AB16" s="50">
        <v>1</v>
      </c>
      <c r="AC16" s="52"/>
      <c r="AD16" s="52">
        <v>1</v>
      </c>
      <c r="AE16" s="50">
        <v>1</v>
      </c>
      <c r="AF16" s="50">
        <v>1</v>
      </c>
      <c r="AG16" s="50"/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17</v>
      </c>
    </row>
    <row r="17" spans="1:47">
      <c r="A17" s="102"/>
      <c r="B17" s="23">
        <v>11</v>
      </c>
      <c r="C17" s="24" t="s">
        <v>326</v>
      </c>
      <c r="D17" s="9" t="s">
        <v>88</v>
      </c>
      <c r="E17" s="50">
        <v>0</v>
      </c>
      <c r="F17" s="50">
        <v>1</v>
      </c>
      <c r="G17" s="50">
        <v>1</v>
      </c>
      <c r="H17" s="50">
        <v>0</v>
      </c>
      <c r="I17" s="50">
        <v>1</v>
      </c>
      <c r="J17" s="50">
        <v>1</v>
      </c>
      <c r="K17" s="52"/>
      <c r="L17" s="52"/>
      <c r="M17" s="50">
        <v>0</v>
      </c>
      <c r="N17" s="50">
        <v>1</v>
      </c>
      <c r="O17" s="50">
        <v>1</v>
      </c>
      <c r="P17" s="50">
        <v>1</v>
      </c>
      <c r="Q17" s="78">
        <v>0</v>
      </c>
      <c r="R17" s="50">
        <v>1</v>
      </c>
      <c r="S17" s="50">
        <v>1</v>
      </c>
      <c r="T17" s="52"/>
      <c r="U17" s="52"/>
      <c r="V17" s="50">
        <v>1</v>
      </c>
      <c r="W17" s="50">
        <v>1</v>
      </c>
      <c r="X17" s="50">
        <v>1</v>
      </c>
      <c r="Y17" s="50">
        <v>0</v>
      </c>
      <c r="Z17" s="50">
        <v>0</v>
      </c>
      <c r="AA17" s="50">
        <v>1</v>
      </c>
      <c r="AB17" s="50">
        <v>1</v>
      </c>
      <c r="AC17" s="52"/>
      <c r="AD17" s="52">
        <v>1</v>
      </c>
      <c r="AE17" s="50">
        <v>1</v>
      </c>
      <c r="AF17" s="50">
        <v>1</v>
      </c>
      <c r="AG17" s="50"/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15</v>
      </c>
    </row>
    <row r="18" spans="1:47">
      <c r="A18" s="102"/>
      <c r="B18" s="23">
        <v>12</v>
      </c>
      <c r="C18" s="24"/>
      <c r="D18" s="9"/>
      <c r="E18" s="50"/>
      <c r="F18" s="50"/>
      <c r="G18" s="50"/>
      <c r="H18" s="50"/>
      <c r="I18" s="50"/>
      <c r="J18" s="50"/>
      <c r="K18" s="52"/>
      <c r="L18" s="52"/>
      <c r="M18" s="50"/>
      <c r="N18" s="50"/>
      <c r="O18" s="50"/>
      <c r="P18" s="50"/>
      <c r="Q18" s="78"/>
      <c r="R18" s="50"/>
      <c r="S18" s="50"/>
      <c r="T18" s="52"/>
      <c r="U18" s="52"/>
      <c r="V18" s="50"/>
      <c r="W18" s="50"/>
      <c r="X18" s="50"/>
      <c r="Y18" s="50"/>
      <c r="Z18" s="50"/>
      <c r="AA18" s="50"/>
      <c r="AB18" s="50"/>
      <c r="AC18" s="52"/>
      <c r="AD18" s="52"/>
      <c r="AE18" s="50"/>
      <c r="AF18" s="50"/>
      <c r="AG18" s="50"/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0</v>
      </c>
    </row>
    <row r="19" spans="1:47">
      <c r="A19" s="102"/>
      <c r="B19" s="23">
        <v>13</v>
      </c>
      <c r="C19" s="24"/>
      <c r="D19" s="9"/>
      <c r="E19" s="50"/>
      <c r="F19" s="50"/>
      <c r="G19" s="50"/>
      <c r="H19" s="50"/>
      <c r="I19" s="50"/>
      <c r="J19" s="50"/>
      <c r="K19" s="52"/>
      <c r="L19" s="52"/>
      <c r="M19" s="50"/>
      <c r="N19" s="50"/>
      <c r="O19" s="50"/>
      <c r="P19" s="50"/>
      <c r="Q19" s="78"/>
      <c r="R19" s="50"/>
      <c r="S19" s="50"/>
      <c r="T19" s="52"/>
      <c r="U19" s="52"/>
      <c r="V19" s="50"/>
      <c r="W19" s="50"/>
      <c r="X19" s="50"/>
      <c r="Y19" s="50"/>
      <c r="Z19" s="50"/>
      <c r="AA19" s="50"/>
      <c r="AB19" s="50"/>
      <c r="AC19" s="52"/>
      <c r="AD19" s="52"/>
      <c r="AE19" s="50"/>
      <c r="AF19" s="50"/>
      <c r="AG19" s="50"/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0</v>
      </c>
    </row>
    <row r="20" spans="1:47">
      <c r="A20" s="102"/>
      <c r="B20" s="23">
        <v>14</v>
      </c>
      <c r="C20" s="24"/>
      <c r="D20" s="9"/>
      <c r="E20" s="50"/>
      <c r="F20" s="50"/>
      <c r="G20" s="50"/>
      <c r="H20" s="50"/>
      <c r="I20" s="50"/>
      <c r="J20" s="50"/>
      <c r="K20" s="52"/>
      <c r="L20" s="52"/>
      <c r="M20" s="50"/>
      <c r="N20" s="50"/>
      <c r="O20" s="50"/>
      <c r="P20" s="50"/>
      <c r="Q20" s="78"/>
      <c r="R20" s="50"/>
      <c r="S20" s="50"/>
      <c r="T20" s="52"/>
      <c r="U20" s="52"/>
      <c r="V20" s="50"/>
      <c r="W20" s="50"/>
      <c r="X20" s="50"/>
      <c r="Y20" s="50"/>
      <c r="Z20" s="50"/>
      <c r="AA20" s="50"/>
      <c r="AB20" s="50"/>
      <c r="AC20" s="52"/>
      <c r="AD20" s="52"/>
      <c r="AE20" s="50"/>
      <c r="AF20" s="50"/>
      <c r="AG20" s="50"/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0</v>
      </c>
    </row>
    <row r="21" spans="1:47">
      <c r="A21" s="102"/>
      <c r="B21" s="23">
        <v>15</v>
      </c>
      <c r="C21" s="24"/>
      <c r="D21" s="9"/>
      <c r="E21" s="50">
        <v>0</v>
      </c>
      <c r="F21" s="50">
        <v>1</v>
      </c>
      <c r="G21" s="50">
        <v>1</v>
      </c>
      <c r="H21" s="50">
        <v>1</v>
      </c>
      <c r="I21" s="50">
        <v>1</v>
      </c>
      <c r="J21" s="50"/>
      <c r="K21" s="52"/>
      <c r="L21" s="52"/>
      <c r="M21" s="50">
        <v>1</v>
      </c>
      <c r="N21" s="50">
        <v>1</v>
      </c>
      <c r="O21" s="50">
        <v>1</v>
      </c>
      <c r="P21" s="50">
        <v>1</v>
      </c>
      <c r="Q21" s="78">
        <v>1</v>
      </c>
      <c r="R21" s="50">
        <v>1</v>
      </c>
      <c r="S21" s="50"/>
      <c r="T21" s="52"/>
      <c r="U21" s="52"/>
      <c r="V21" s="50">
        <v>0</v>
      </c>
      <c r="W21" s="50">
        <v>1</v>
      </c>
      <c r="X21" s="50">
        <v>1</v>
      </c>
      <c r="Y21" s="50">
        <v>1</v>
      </c>
      <c r="Z21" s="50">
        <v>1</v>
      </c>
      <c r="AA21" s="50"/>
      <c r="AB21" s="50"/>
      <c r="AC21" s="52"/>
      <c r="AD21" s="52">
        <v>0</v>
      </c>
      <c r="AE21" s="50"/>
      <c r="AF21" s="50"/>
      <c r="AG21" s="50"/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11</v>
      </c>
    </row>
    <row r="22" spans="1:47">
      <c r="A22" s="102"/>
      <c r="B22" s="23">
        <v>16</v>
      </c>
      <c r="C22" s="24"/>
      <c r="D22" s="9"/>
      <c r="E22" s="50">
        <v>1</v>
      </c>
      <c r="F22" s="50">
        <v>1</v>
      </c>
      <c r="G22" s="50">
        <v>1</v>
      </c>
      <c r="H22" s="50">
        <v>0</v>
      </c>
      <c r="I22" s="50">
        <v>1</v>
      </c>
      <c r="J22" s="50"/>
      <c r="K22" s="52"/>
      <c r="L22" s="52"/>
      <c r="M22" s="50">
        <v>0</v>
      </c>
      <c r="N22" s="50">
        <v>1</v>
      </c>
      <c r="O22" s="50">
        <v>1</v>
      </c>
      <c r="P22" s="50">
        <v>1</v>
      </c>
      <c r="Q22" s="78">
        <v>1</v>
      </c>
      <c r="R22" s="50">
        <v>0</v>
      </c>
      <c r="S22" s="50"/>
      <c r="T22" s="52"/>
      <c r="U22" s="52"/>
      <c r="V22" s="50">
        <v>1</v>
      </c>
      <c r="W22" s="50">
        <v>1</v>
      </c>
      <c r="X22" s="50">
        <v>1</v>
      </c>
      <c r="Y22" s="50">
        <v>0</v>
      </c>
      <c r="Z22" s="50">
        <v>1</v>
      </c>
      <c r="AA22" s="50"/>
      <c r="AB22" s="50"/>
      <c r="AC22" s="52"/>
      <c r="AD22" s="52">
        <v>0</v>
      </c>
      <c r="AE22" s="50"/>
      <c r="AF22" s="50"/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9</v>
      </c>
    </row>
    <row r="23" spans="1:47" ht="19.5">
      <c r="A23" s="3"/>
      <c r="B23" s="68">
        <v>11</v>
      </c>
      <c r="C23" s="12" t="s">
        <v>48</v>
      </c>
      <c r="D23" s="7"/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f t="shared" ref="F23:AT23" si="2">COUNTIF(J7:J22,"1")</f>
        <v>8</v>
      </c>
      <c r="K23" s="8">
        <f t="shared" si="2"/>
        <v>0</v>
      </c>
      <c r="L23" s="8">
        <f t="shared" si="2"/>
        <v>0</v>
      </c>
      <c r="M23" s="8">
        <v>1</v>
      </c>
      <c r="N23" s="8">
        <v>1</v>
      </c>
      <c r="O23" s="8">
        <v>0</v>
      </c>
      <c r="P23" s="8">
        <v>0</v>
      </c>
      <c r="Q23" s="8">
        <v>0</v>
      </c>
      <c r="R23" s="8">
        <v>1</v>
      </c>
      <c r="S23" s="8">
        <f t="shared" si="2"/>
        <v>11</v>
      </c>
      <c r="T23" s="8">
        <f t="shared" si="2"/>
        <v>0</v>
      </c>
      <c r="U23" s="8">
        <f t="shared" si="2"/>
        <v>0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f t="shared" si="2"/>
        <v>11</v>
      </c>
      <c r="AB23" s="8">
        <f t="shared" si="2"/>
        <v>8</v>
      </c>
      <c r="AC23" s="8">
        <f t="shared" si="2"/>
        <v>0</v>
      </c>
      <c r="AD23" s="8">
        <v>1</v>
      </c>
      <c r="AE23" s="8">
        <f t="shared" si="2"/>
        <v>8</v>
      </c>
      <c r="AF23" s="8">
        <f t="shared" si="2"/>
        <v>10</v>
      </c>
      <c r="AG23" s="8">
        <f t="shared" si="2"/>
        <v>0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66</v>
      </c>
    </row>
    <row r="24" spans="1:47" ht="14.45" customHeight="1">
      <c r="B24" s="3"/>
      <c r="C24"/>
      <c r="D24"/>
      <c r="E24" s="99">
        <v>1</v>
      </c>
      <c r="F24" s="99">
        <v>1</v>
      </c>
      <c r="G24" s="99">
        <v>1</v>
      </c>
      <c r="H24" s="99">
        <v>0</v>
      </c>
      <c r="I24" s="99">
        <v>1</v>
      </c>
      <c r="J24" s="99">
        <f t="shared" ref="G24:AT24" si="3">I24+7</f>
        <v>8</v>
      </c>
      <c r="K24" s="99">
        <f t="shared" si="3"/>
        <v>15</v>
      </c>
      <c r="L24" s="99">
        <f t="shared" si="3"/>
        <v>22</v>
      </c>
      <c r="M24" s="99">
        <v>0</v>
      </c>
      <c r="N24" s="99">
        <v>1</v>
      </c>
      <c r="O24" s="99">
        <v>1</v>
      </c>
      <c r="P24" s="99">
        <v>1</v>
      </c>
      <c r="Q24" s="99">
        <v>1</v>
      </c>
      <c r="R24" s="99">
        <v>1</v>
      </c>
      <c r="S24" s="99">
        <f t="shared" si="3"/>
        <v>8</v>
      </c>
      <c r="T24" s="99">
        <f t="shared" si="3"/>
        <v>15</v>
      </c>
      <c r="U24" s="99">
        <f t="shared" si="3"/>
        <v>22</v>
      </c>
      <c r="V24" s="99">
        <v>1</v>
      </c>
      <c r="W24" s="99">
        <v>1</v>
      </c>
      <c r="X24" s="99">
        <v>1</v>
      </c>
      <c r="Y24" s="99">
        <v>1</v>
      </c>
      <c r="Z24" s="99">
        <v>1</v>
      </c>
      <c r="AA24" s="99">
        <f t="shared" si="3"/>
        <v>8</v>
      </c>
      <c r="AB24" s="99">
        <f t="shared" si="3"/>
        <v>15</v>
      </c>
      <c r="AC24" s="99">
        <f t="shared" si="3"/>
        <v>22</v>
      </c>
      <c r="AD24" s="99">
        <v>1</v>
      </c>
      <c r="AE24" s="99">
        <f t="shared" si="3"/>
        <v>8</v>
      </c>
      <c r="AF24" s="99">
        <f t="shared" si="3"/>
        <v>15</v>
      </c>
      <c r="AG24" s="99">
        <f t="shared" si="3"/>
        <v>22</v>
      </c>
      <c r="AH24" s="99">
        <f t="shared" si="3"/>
        <v>29</v>
      </c>
      <c r="AI24" s="99">
        <f t="shared" si="3"/>
        <v>36</v>
      </c>
      <c r="AJ24" s="99">
        <f t="shared" si="3"/>
        <v>43</v>
      </c>
      <c r="AK24" s="99">
        <f t="shared" si="3"/>
        <v>50</v>
      </c>
      <c r="AL24" s="99">
        <f t="shared" si="3"/>
        <v>57</v>
      </c>
      <c r="AM24" s="99">
        <f t="shared" si="3"/>
        <v>64</v>
      </c>
      <c r="AN24" s="99">
        <f t="shared" si="3"/>
        <v>71</v>
      </c>
      <c r="AO24" s="99">
        <f t="shared" si="3"/>
        <v>78</v>
      </c>
      <c r="AP24" s="99">
        <f t="shared" si="3"/>
        <v>85</v>
      </c>
      <c r="AQ24" s="99">
        <f t="shared" si="3"/>
        <v>92</v>
      </c>
      <c r="AR24" s="99">
        <f t="shared" si="3"/>
        <v>99</v>
      </c>
      <c r="AS24" s="99">
        <f t="shared" si="3"/>
        <v>106</v>
      </c>
      <c r="AT24" s="99">
        <f t="shared" si="3"/>
        <v>113</v>
      </c>
    </row>
    <row r="25" spans="1:47" ht="14.45" customHeight="1">
      <c r="B25" s="3"/>
      <c r="C25"/>
      <c r="D25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</row>
    <row r="26" spans="1:47" ht="14.45" customHeight="1">
      <c r="B26" s="3"/>
      <c r="C26"/>
      <c r="D26"/>
      <c r="E26" s="6">
        <v>0</v>
      </c>
      <c r="F26" s="15">
        <v>0</v>
      </c>
      <c r="G26" s="6">
        <v>1</v>
      </c>
      <c r="H26" s="15">
        <v>1</v>
      </c>
      <c r="I26" s="6">
        <v>1</v>
      </c>
      <c r="J26" s="15" t="s">
        <v>9</v>
      </c>
      <c r="K26" s="27" t="s">
        <v>10</v>
      </c>
      <c r="L26" s="27" t="s">
        <v>10</v>
      </c>
      <c r="M26" s="6">
        <v>1</v>
      </c>
      <c r="N26" s="15">
        <v>1</v>
      </c>
      <c r="O26" s="6">
        <v>1</v>
      </c>
      <c r="P26" s="15">
        <v>1</v>
      </c>
      <c r="Q26" s="6">
        <v>1</v>
      </c>
      <c r="R26" s="6">
        <v>1</v>
      </c>
      <c r="S26" s="6" t="s">
        <v>17</v>
      </c>
      <c r="T26" s="27" t="s">
        <v>10</v>
      </c>
      <c r="U26" s="27" t="s">
        <v>10</v>
      </c>
      <c r="V26" s="15">
        <v>1</v>
      </c>
      <c r="W26" s="6">
        <v>1</v>
      </c>
      <c r="X26" s="15">
        <v>1</v>
      </c>
      <c r="Y26" s="6">
        <v>0</v>
      </c>
      <c r="Z26" s="15">
        <v>1</v>
      </c>
      <c r="AA26" s="6" t="s">
        <v>23</v>
      </c>
      <c r="AB26" s="15" t="s">
        <v>24</v>
      </c>
      <c r="AC26" s="27" t="s">
        <v>10</v>
      </c>
      <c r="AD26" s="27">
        <v>1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>
        <f>SUM(I26:AT26)</f>
        <v>12</v>
      </c>
    </row>
    <row r="27" spans="1:47">
      <c r="A27" s="102" t="s">
        <v>105</v>
      </c>
      <c r="B27" s="23">
        <v>1</v>
      </c>
      <c r="C27" s="24" t="s">
        <v>188</v>
      </c>
      <c r="D27" s="9" t="s">
        <v>94</v>
      </c>
      <c r="E27" s="89">
        <v>1</v>
      </c>
      <c r="F27" s="47">
        <v>1</v>
      </c>
      <c r="G27" s="47">
        <v>1</v>
      </c>
      <c r="H27" s="47">
        <v>1</v>
      </c>
      <c r="I27" s="47">
        <v>1</v>
      </c>
      <c r="J27" s="47"/>
      <c r="K27" s="49"/>
      <c r="L27" s="49"/>
      <c r="M27" s="47">
        <v>1</v>
      </c>
      <c r="N27" s="47">
        <v>1</v>
      </c>
      <c r="O27" s="47">
        <v>1</v>
      </c>
      <c r="P27" s="47">
        <v>0</v>
      </c>
      <c r="Q27" s="77">
        <v>1</v>
      </c>
      <c r="R27" s="47">
        <v>0</v>
      </c>
      <c r="S27" s="47"/>
      <c r="T27" s="49"/>
      <c r="U27" s="49"/>
      <c r="V27" s="47">
        <v>1</v>
      </c>
      <c r="W27" s="47">
        <v>1</v>
      </c>
      <c r="X27" s="47">
        <v>1</v>
      </c>
      <c r="Y27" s="47">
        <v>1</v>
      </c>
      <c r="Z27" s="47">
        <v>0</v>
      </c>
      <c r="AA27" s="47">
        <v>1</v>
      </c>
      <c r="AB27" s="47">
        <v>0</v>
      </c>
      <c r="AC27" s="49"/>
      <c r="AD27" s="49">
        <v>1</v>
      </c>
      <c r="AE27" s="47">
        <v>1</v>
      </c>
      <c r="AF27" s="47">
        <v>1</v>
      </c>
      <c r="AG27" s="47"/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ref="AU27:AU43" si="4">SUM(I27:AT27)</f>
        <v>13</v>
      </c>
    </row>
    <row r="28" spans="1:47">
      <c r="A28" s="102"/>
      <c r="B28" s="23">
        <v>2</v>
      </c>
      <c r="C28" s="24" t="s">
        <v>327</v>
      </c>
      <c r="D28" s="9" t="s">
        <v>94</v>
      </c>
      <c r="E28" s="87">
        <v>1</v>
      </c>
      <c r="F28" s="50">
        <v>1</v>
      </c>
      <c r="G28" s="50">
        <v>0</v>
      </c>
      <c r="H28" s="50">
        <v>1</v>
      </c>
      <c r="I28" s="50">
        <v>0</v>
      </c>
      <c r="J28" s="50"/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78">
        <v>1</v>
      </c>
      <c r="R28" s="50">
        <v>1</v>
      </c>
      <c r="S28" s="50"/>
      <c r="T28" s="52"/>
      <c r="U28" s="52"/>
      <c r="V28" s="50">
        <v>1</v>
      </c>
      <c r="W28" s="50">
        <v>1</v>
      </c>
      <c r="X28" s="50">
        <v>1</v>
      </c>
      <c r="Y28" s="50">
        <v>1</v>
      </c>
      <c r="Z28" s="50">
        <v>1</v>
      </c>
      <c r="AA28" s="50">
        <v>1</v>
      </c>
      <c r="AB28" s="50">
        <v>1</v>
      </c>
      <c r="AC28" s="52"/>
      <c r="AD28" s="52">
        <v>0</v>
      </c>
      <c r="AE28" s="50">
        <v>1</v>
      </c>
      <c r="AF28" s="50">
        <v>1</v>
      </c>
      <c r="AG28" s="50"/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4"/>
        <v>15</v>
      </c>
    </row>
    <row r="29" spans="1:47">
      <c r="A29" s="102"/>
      <c r="B29" s="23">
        <v>3</v>
      </c>
      <c r="C29" s="53" t="s">
        <v>328</v>
      </c>
      <c r="D29" s="11" t="s">
        <v>94</v>
      </c>
      <c r="E29" s="50">
        <v>1</v>
      </c>
      <c r="F29" s="50">
        <v>1</v>
      </c>
      <c r="G29" s="50">
        <v>0</v>
      </c>
      <c r="H29" s="50">
        <v>1</v>
      </c>
      <c r="I29" s="50">
        <v>1</v>
      </c>
      <c r="J29" s="50"/>
      <c r="K29" s="52"/>
      <c r="L29" s="52"/>
      <c r="M29" s="50">
        <v>1</v>
      </c>
      <c r="N29" s="50">
        <v>0</v>
      </c>
      <c r="O29" s="50">
        <v>1</v>
      </c>
      <c r="P29" s="50">
        <v>1</v>
      </c>
      <c r="Q29" s="78">
        <v>1</v>
      </c>
      <c r="R29" s="50">
        <v>1</v>
      </c>
      <c r="S29" s="50"/>
      <c r="T29" s="52"/>
      <c r="U29" s="52"/>
      <c r="V29" s="50">
        <v>1</v>
      </c>
      <c r="W29" s="50">
        <v>1</v>
      </c>
      <c r="X29" s="50">
        <v>1</v>
      </c>
      <c r="Y29" s="50">
        <v>1</v>
      </c>
      <c r="Z29" s="50">
        <v>1</v>
      </c>
      <c r="AA29" s="50">
        <v>0</v>
      </c>
      <c r="AB29" s="50">
        <v>1</v>
      </c>
      <c r="AC29" s="52"/>
      <c r="AD29" s="52">
        <v>1</v>
      </c>
      <c r="AE29" s="50">
        <v>1</v>
      </c>
      <c r="AF29" s="50">
        <v>1</v>
      </c>
      <c r="AG29" s="50"/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4"/>
        <v>15</v>
      </c>
    </row>
    <row r="30" spans="1:47">
      <c r="A30" s="102"/>
      <c r="B30" s="23">
        <v>4</v>
      </c>
      <c r="C30" s="53" t="s">
        <v>329</v>
      </c>
      <c r="D30" s="11" t="s">
        <v>94</v>
      </c>
      <c r="E30" s="50">
        <v>1</v>
      </c>
      <c r="F30" s="50">
        <v>1</v>
      </c>
      <c r="G30" s="50">
        <v>1</v>
      </c>
      <c r="H30" s="50">
        <v>1</v>
      </c>
      <c r="I30" s="50">
        <v>0</v>
      </c>
      <c r="J30" s="50"/>
      <c r="K30" s="52"/>
      <c r="L30" s="52"/>
      <c r="M30" s="50">
        <v>1</v>
      </c>
      <c r="N30" s="50">
        <v>1</v>
      </c>
      <c r="O30" s="50">
        <v>1</v>
      </c>
      <c r="P30" s="50">
        <v>0</v>
      </c>
      <c r="Q30" s="78">
        <v>1</v>
      </c>
      <c r="R30" s="50">
        <v>1</v>
      </c>
      <c r="S30" s="50"/>
      <c r="T30" s="52"/>
      <c r="U30" s="52"/>
      <c r="V30" s="50">
        <v>1</v>
      </c>
      <c r="W30" s="50">
        <v>0</v>
      </c>
      <c r="X30" s="50">
        <v>1</v>
      </c>
      <c r="Y30" s="50">
        <v>1</v>
      </c>
      <c r="Z30" s="50">
        <v>0</v>
      </c>
      <c r="AA30" s="50">
        <v>1</v>
      </c>
      <c r="AB30" s="50">
        <v>0</v>
      </c>
      <c r="AC30" s="52"/>
      <c r="AD30" s="52">
        <v>1</v>
      </c>
      <c r="AE30" s="50">
        <v>0</v>
      </c>
      <c r="AF30" s="50">
        <v>0</v>
      </c>
      <c r="AG30" s="50"/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4"/>
        <v>10</v>
      </c>
    </row>
    <row r="31" spans="1:47">
      <c r="A31" s="102"/>
      <c r="B31" s="23">
        <v>5</v>
      </c>
      <c r="C31" s="24" t="s">
        <v>330</v>
      </c>
      <c r="D31" s="9" t="s">
        <v>101</v>
      </c>
      <c r="E31" s="87">
        <v>1</v>
      </c>
      <c r="F31" s="50">
        <v>1</v>
      </c>
      <c r="G31" s="50">
        <v>1</v>
      </c>
      <c r="H31" s="50">
        <v>1</v>
      </c>
      <c r="I31" s="50">
        <v>1</v>
      </c>
      <c r="J31" s="50"/>
      <c r="K31" s="52"/>
      <c r="L31" s="52"/>
      <c r="M31" s="50">
        <v>0</v>
      </c>
      <c r="N31" s="50">
        <v>1</v>
      </c>
      <c r="O31" s="50">
        <v>1</v>
      </c>
      <c r="P31" s="50">
        <v>1</v>
      </c>
      <c r="Q31" s="78">
        <v>1</v>
      </c>
      <c r="R31" s="50">
        <v>1</v>
      </c>
      <c r="S31" s="50"/>
      <c r="T31" s="52"/>
      <c r="U31" s="52"/>
      <c r="V31" s="50">
        <v>1</v>
      </c>
      <c r="W31" s="50">
        <v>1</v>
      </c>
      <c r="X31" s="50">
        <v>1</v>
      </c>
      <c r="Y31" s="50">
        <v>0</v>
      </c>
      <c r="Z31" s="50">
        <v>1</v>
      </c>
      <c r="AA31" s="50">
        <v>1</v>
      </c>
      <c r="AB31" s="50">
        <v>1</v>
      </c>
      <c r="AC31" s="52"/>
      <c r="AD31" s="52">
        <v>1</v>
      </c>
      <c r="AE31" s="50">
        <v>1</v>
      </c>
      <c r="AF31" s="50">
        <v>1</v>
      </c>
      <c r="AG31" s="50"/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4"/>
        <v>15</v>
      </c>
    </row>
    <row r="32" spans="1:47">
      <c r="A32" s="102"/>
      <c r="B32" s="23">
        <v>6</v>
      </c>
      <c r="C32" s="9" t="s">
        <v>331</v>
      </c>
      <c r="D32" s="9" t="s">
        <v>101</v>
      </c>
      <c r="E32" s="87">
        <v>1</v>
      </c>
      <c r="F32" s="50">
        <v>0</v>
      </c>
      <c r="G32" s="50">
        <v>1</v>
      </c>
      <c r="H32" s="50">
        <v>1</v>
      </c>
      <c r="I32" s="50">
        <v>1</v>
      </c>
      <c r="J32" s="50"/>
      <c r="K32" s="52"/>
      <c r="L32" s="52"/>
      <c r="M32" s="50">
        <v>1</v>
      </c>
      <c r="N32" s="50">
        <v>1</v>
      </c>
      <c r="O32" s="50">
        <v>1</v>
      </c>
      <c r="P32" s="50">
        <v>1</v>
      </c>
      <c r="Q32" s="78">
        <v>0</v>
      </c>
      <c r="R32" s="50">
        <v>0</v>
      </c>
      <c r="S32" s="50"/>
      <c r="T32" s="52"/>
      <c r="U32" s="52"/>
      <c r="V32" s="50">
        <v>1</v>
      </c>
      <c r="W32" s="50">
        <v>1</v>
      </c>
      <c r="X32" s="50">
        <v>1</v>
      </c>
      <c r="Y32" s="50">
        <v>1</v>
      </c>
      <c r="Z32" s="50">
        <v>1</v>
      </c>
      <c r="AA32" s="50">
        <v>1</v>
      </c>
      <c r="AB32" s="50">
        <v>0</v>
      </c>
      <c r="AC32" s="52"/>
      <c r="AD32" s="52">
        <v>1</v>
      </c>
      <c r="AE32" s="50">
        <v>1</v>
      </c>
      <c r="AF32" s="50">
        <v>1</v>
      </c>
      <c r="AG32" s="50"/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4"/>
        <v>14</v>
      </c>
    </row>
    <row r="33" spans="1:47">
      <c r="A33" s="102"/>
      <c r="B33" s="23">
        <v>7</v>
      </c>
      <c r="C33" s="11" t="s">
        <v>332</v>
      </c>
      <c r="D33" s="11" t="s">
        <v>101</v>
      </c>
      <c r="E33" s="87">
        <v>1</v>
      </c>
      <c r="F33" s="87">
        <v>1</v>
      </c>
      <c r="G33" s="87">
        <v>1</v>
      </c>
      <c r="H33" s="87">
        <v>0</v>
      </c>
      <c r="I33" s="87">
        <v>1</v>
      </c>
      <c r="J33" s="87"/>
      <c r="K33" s="87"/>
      <c r="L33" s="87"/>
      <c r="M33" s="87">
        <v>1</v>
      </c>
      <c r="N33" s="87">
        <v>1</v>
      </c>
      <c r="O33" s="87">
        <v>1</v>
      </c>
      <c r="P33" s="50">
        <v>1</v>
      </c>
      <c r="Q33" s="78">
        <v>1</v>
      </c>
      <c r="R33" s="50">
        <v>1</v>
      </c>
      <c r="S33" s="50"/>
      <c r="T33" s="52"/>
      <c r="U33" s="52"/>
      <c r="V33" s="50">
        <v>1</v>
      </c>
      <c r="W33" s="50">
        <v>1</v>
      </c>
      <c r="X33" s="50">
        <v>1</v>
      </c>
      <c r="Y33" s="50">
        <v>1</v>
      </c>
      <c r="Z33" s="50">
        <v>0</v>
      </c>
      <c r="AA33" s="50">
        <v>1</v>
      </c>
      <c r="AB33" s="50">
        <v>1</v>
      </c>
      <c r="AC33" s="52"/>
      <c r="AD33" s="52">
        <v>1</v>
      </c>
      <c r="AE33" s="50">
        <v>1</v>
      </c>
      <c r="AF33" s="50">
        <v>0</v>
      </c>
      <c r="AG33" s="50"/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4"/>
        <v>15</v>
      </c>
    </row>
    <row r="34" spans="1:47">
      <c r="A34" s="102"/>
      <c r="B34" s="23">
        <v>8</v>
      </c>
      <c r="C34" s="11" t="s">
        <v>196</v>
      </c>
      <c r="D34" s="11" t="s">
        <v>101</v>
      </c>
      <c r="E34" s="50">
        <v>1</v>
      </c>
      <c r="F34" s="50">
        <v>1</v>
      </c>
      <c r="G34" s="50">
        <v>1</v>
      </c>
      <c r="H34" s="50">
        <v>1</v>
      </c>
      <c r="I34" s="50">
        <v>1</v>
      </c>
      <c r="J34" s="50"/>
      <c r="K34" s="52"/>
      <c r="L34" s="52"/>
      <c r="M34" s="50">
        <v>0</v>
      </c>
      <c r="N34" s="50">
        <v>1</v>
      </c>
      <c r="O34" s="50">
        <v>1</v>
      </c>
      <c r="P34" s="50">
        <v>1</v>
      </c>
      <c r="Q34" s="78">
        <v>1</v>
      </c>
      <c r="R34" s="50">
        <v>1</v>
      </c>
      <c r="S34" s="50"/>
      <c r="T34" s="52"/>
      <c r="U34" s="52"/>
      <c r="V34" s="50">
        <v>0</v>
      </c>
      <c r="W34" s="50">
        <v>0</v>
      </c>
      <c r="X34" s="50">
        <v>0</v>
      </c>
      <c r="Y34" s="50">
        <v>0</v>
      </c>
      <c r="Z34" s="50">
        <v>1</v>
      </c>
      <c r="AA34" s="50">
        <v>1</v>
      </c>
      <c r="AB34" s="50">
        <v>0</v>
      </c>
      <c r="AC34" s="52"/>
      <c r="AD34" s="52">
        <v>1</v>
      </c>
      <c r="AE34" s="50">
        <v>0</v>
      </c>
      <c r="AF34" s="50">
        <v>1</v>
      </c>
      <c r="AG34" s="50"/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4"/>
        <v>10</v>
      </c>
    </row>
    <row r="35" spans="1:47">
      <c r="B35" s="23">
        <v>9</v>
      </c>
      <c r="C35" s="11" t="s">
        <v>333</v>
      </c>
      <c r="D35" s="11" t="s">
        <v>101</v>
      </c>
      <c r="E35" s="47">
        <v>1</v>
      </c>
      <c r="F35" s="47">
        <v>1</v>
      </c>
      <c r="G35" s="47">
        <v>1</v>
      </c>
      <c r="H35" s="47">
        <v>1</v>
      </c>
      <c r="I35" s="47">
        <v>1</v>
      </c>
      <c r="J35" s="47"/>
      <c r="K35" s="49"/>
      <c r="L35" s="49"/>
      <c r="M35" s="47">
        <v>1</v>
      </c>
      <c r="N35" s="47">
        <v>1</v>
      </c>
      <c r="O35" s="47">
        <v>0</v>
      </c>
      <c r="P35" s="47">
        <v>1</v>
      </c>
      <c r="Q35" s="77">
        <v>1</v>
      </c>
      <c r="R35" s="47">
        <v>1</v>
      </c>
      <c r="S35" s="47"/>
      <c r="T35" s="49"/>
      <c r="U35" s="49"/>
      <c r="V35" s="47">
        <v>1</v>
      </c>
      <c r="W35" s="47">
        <v>1</v>
      </c>
      <c r="X35" s="47">
        <v>1</v>
      </c>
      <c r="Y35" s="47">
        <v>1</v>
      </c>
      <c r="Z35" s="47">
        <v>1</v>
      </c>
      <c r="AA35" s="47">
        <v>1</v>
      </c>
      <c r="AB35" s="47">
        <v>1</v>
      </c>
      <c r="AC35" s="49"/>
      <c r="AD35" s="49">
        <v>1</v>
      </c>
      <c r="AE35" s="47">
        <v>1</v>
      </c>
      <c r="AF35" s="47">
        <v>1</v>
      </c>
      <c r="AG35" s="47"/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4"/>
        <v>16</v>
      </c>
    </row>
    <row r="36" spans="1:47">
      <c r="B36" s="23">
        <v>10</v>
      </c>
      <c r="C36" s="11" t="s">
        <v>195</v>
      </c>
      <c r="D36" s="11" t="s">
        <v>101</v>
      </c>
      <c r="E36" s="50">
        <v>1</v>
      </c>
      <c r="F36" s="50">
        <v>1</v>
      </c>
      <c r="G36" s="50">
        <v>1</v>
      </c>
      <c r="H36" s="50">
        <v>1</v>
      </c>
      <c r="I36" s="50">
        <v>1</v>
      </c>
      <c r="J36" s="50"/>
      <c r="K36" s="52"/>
      <c r="L36" s="52"/>
      <c r="M36" s="50">
        <v>1</v>
      </c>
      <c r="N36" s="50"/>
      <c r="O36" s="50"/>
      <c r="P36" s="50">
        <v>1</v>
      </c>
      <c r="Q36" s="78"/>
      <c r="R36" s="50"/>
      <c r="S36" s="50"/>
      <c r="T36" s="52"/>
      <c r="U36" s="52"/>
      <c r="V36" s="50"/>
      <c r="W36" s="50">
        <v>1</v>
      </c>
      <c r="X36" s="50">
        <v>1</v>
      </c>
      <c r="Y36" s="50">
        <v>1</v>
      </c>
      <c r="Z36" s="50">
        <v>1</v>
      </c>
      <c r="AA36" s="50">
        <v>1</v>
      </c>
      <c r="AB36" s="50">
        <v>1</v>
      </c>
      <c r="AC36" s="52"/>
      <c r="AD36" s="52"/>
      <c r="AE36" s="50">
        <v>1</v>
      </c>
      <c r="AF36" s="50">
        <v>1</v>
      </c>
      <c r="AG36" s="50"/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4"/>
        <v>11</v>
      </c>
    </row>
    <row r="37" spans="1:47">
      <c r="B37" s="23">
        <v>11</v>
      </c>
      <c r="C37" s="11" t="s">
        <v>334</v>
      </c>
      <c r="D37" s="11" t="s">
        <v>101</v>
      </c>
      <c r="E37" s="50">
        <v>1</v>
      </c>
      <c r="F37" s="50">
        <v>1</v>
      </c>
      <c r="G37" s="50">
        <v>1</v>
      </c>
      <c r="H37" s="50">
        <v>1</v>
      </c>
      <c r="I37" s="50">
        <v>0</v>
      </c>
      <c r="J37" s="50"/>
      <c r="K37" s="52"/>
      <c r="L37" s="52"/>
      <c r="M37" s="50">
        <v>1</v>
      </c>
      <c r="N37" s="50"/>
      <c r="O37" s="50"/>
      <c r="P37" s="50">
        <v>1</v>
      </c>
      <c r="Q37" s="78"/>
      <c r="R37" s="50"/>
      <c r="S37" s="50"/>
      <c r="T37" s="52"/>
      <c r="U37" s="52"/>
      <c r="V37" s="50"/>
      <c r="W37" s="50">
        <v>1</v>
      </c>
      <c r="X37" s="50">
        <v>1</v>
      </c>
      <c r="Y37" s="50">
        <v>1</v>
      </c>
      <c r="Z37" s="50">
        <v>1</v>
      </c>
      <c r="AA37" s="50">
        <v>1</v>
      </c>
      <c r="AB37" s="50">
        <v>1</v>
      </c>
      <c r="AC37" s="52"/>
      <c r="AD37" s="52"/>
      <c r="AE37" s="50">
        <v>1</v>
      </c>
      <c r="AF37" s="50">
        <v>1</v>
      </c>
      <c r="AG37" s="50"/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4"/>
        <v>10</v>
      </c>
    </row>
    <row r="38" spans="1:47">
      <c r="B38" s="23">
        <v>12</v>
      </c>
      <c r="C38" s="11" t="s">
        <v>335</v>
      </c>
      <c r="D38" s="11" t="s">
        <v>101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J38" s="50"/>
      <c r="K38" s="52"/>
      <c r="L38" s="52"/>
      <c r="M38" s="50">
        <v>1</v>
      </c>
      <c r="N38" s="50"/>
      <c r="O38" s="50"/>
      <c r="P38" s="50">
        <v>1</v>
      </c>
      <c r="Q38" s="78"/>
      <c r="R38" s="50"/>
      <c r="S38" s="50"/>
      <c r="T38" s="52"/>
      <c r="U38" s="52"/>
      <c r="V38" s="50"/>
      <c r="W38" s="50">
        <v>1</v>
      </c>
      <c r="X38" s="50">
        <v>1</v>
      </c>
      <c r="Y38" s="50">
        <v>1</v>
      </c>
      <c r="Z38" s="50">
        <v>1</v>
      </c>
      <c r="AA38" s="50">
        <v>1</v>
      </c>
      <c r="AB38" s="50">
        <v>1</v>
      </c>
      <c r="AC38" s="52"/>
      <c r="AD38" s="52"/>
      <c r="AE38" s="50">
        <v>1</v>
      </c>
      <c r="AF38" s="50">
        <v>1</v>
      </c>
      <c r="AG38" s="50"/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4"/>
        <v>11</v>
      </c>
    </row>
    <row r="39" spans="1:47">
      <c r="B39" s="23">
        <v>13</v>
      </c>
      <c r="C39" s="11" t="s">
        <v>336</v>
      </c>
      <c r="D39" s="11" t="s">
        <v>103</v>
      </c>
      <c r="E39" s="87">
        <v>0</v>
      </c>
      <c r="F39" s="50">
        <v>1</v>
      </c>
      <c r="G39" s="50">
        <v>1</v>
      </c>
      <c r="H39" s="50">
        <v>1</v>
      </c>
      <c r="I39" s="50">
        <v>1</v>
      </c>
      <c r="J39" s="50"/>
      <c r="K39" s="52"/>
      <c r="L39" s="52"/>
      <c r="M39" s="50">
        <v>1</v>
      </c>
      <c r="N39" s="50"/>
      <c r="O39" s="50"/>
      <c r="P39" s="50">
        <v>1</v>
      </c>
      <c r="Q39" s="78"/>
      <c r="R39" s="50"/>
      <c r="S39" s="50"/>
      <c r="T39" s="52"/>
      <c r="U39" s="52"/>
      <c r="V39" s="50"/>
      <c r="W39" s="50">
        <v>1</v>
      </c>
      <c r="X39" s="50">
        <v>1</v>
      </c>
      <c r="Y39" s="50">
        <v>1</v>
      </c>
      <c r="Z39" s="50">
        <v>0</v>
      </c>
      <c r="AA39" s="50">
        <v>1</v>
      </c>
      <c r="AB39" s="50">
        <v>0</v>
      </c>
      <c r="AC39" s="52"/>
      <c r="AD39" s="52"/>
      <c r="AE39" s="50">
        <v>1</v>
      </c>
      <c r="AF39" s="50">
        <v>1</v>
      </c>
      <c r="AG39" s="50"/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4"/>
        <v>9</v>
      </c>
    </row>
    <row r="40" spans="1:47">
      <c r="B40" s="23">
        <v>14</v>
      </c>
      <c r="C40" s="11" t="s">
        <v>337</v>
      </c>
      <c r="D40" s="11" t="s">
        <v>103</v>
      </c>
      <c r="E40" s="87">
        <v>0</v>
      </c>
      <c r="F40" s="50">
        <v>1</v>
      </c>
      <c r="G40" s="50">
        <v>1</v>
      </c>
      <c r="H40" s="50">
        <v>0</v>
      </c>
      <c r="I40" s="50">
        <v>1</v>
      </c>
      <c r="J40" s="50"/>
      <c r="K40" s="52"/>
      <c r="L40" s="52"/>
      <c r="M40" s="50">
        <v>1</v>
      </c>
      <c r="N40" s="50"/>
      <c r="O40" s="50"/>
      <c r="P40" s="50">
        <v>1</v>
      </c>
      <c r="Q40" s="78"/>
      <c r="R40" s="50"/>
      <c r="S40" s="50"/>
      <c r="T40" s="52"/>
      <c r="U40" s="52"/>
      <c r="V40" s="50"/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2"/>
      <c r="AD40" s="52"/>
      <c r="AE40" s="50">
        <v>0</v>
      </c>
      <c r="AF40" s="50">
        <v>0</v>
      </c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4"/>
        <v>3</v>
      </c>
    </row>
    <row r="41" spans="1:47">
      <c r="B41" s="23">
        <v>15</v>
      </c>
      <c r="C41" s="11" t="s">
        <v>338</v>
      </c>
      <c r="D41" s="11"/>
      <c r="E41" s="50"/>
      <c r="F41" s="50"/>
      <c r="G41" s="50"/>
      <c r="H41" s="50"/>
      <c r="I41" s="50"/>
      <c r="J41" s="50"/>
      <c r="K41" s="52"/>
      <c r="L41" s="52"/>
      <c r="M41" s="50"/>
      <c r="N41" s="50"/>
      <c r="O41" s="50"/>
      <c r="P41" s="50"/>
      <c r="Q41" s="78"/>
      <c r="R41" s="50"/>
      <c r="S41" s="50"/>
      <c r="T41" s="52"/>
      <c r="U41" s="52"/>
      <c r="V41" s="50"/>
      <c r="W41" s="50">
        <v>1</v>
      </c>
      <c r="X41" s="50">
        <v>1</v>
      </c>
      <c r="Y41" s="50">
        <v>0</v>
      </c>
      <c r="Z41" s="50">
        <v>1</v>
      </c>
      <c r="AA41" s="50">
        <v>1</v>
      </c>
      <c r="AB41" s="50">
        <v>1</v>
      </c>
      <c r="AC41" s="52"/>
      <c r="AD41" s="52"/>
      <c r="AE41" s="50">
        <v>1</v>
      </c>
      <c r="AF41" s="50">
        <v>0</v>
      </c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4"/>
        <v>6</v>
      </c>
    </row>
    <row r="42" spans="1:47">
      <c r="B42" s="23">
        <v>16</v>
      </c>
      <c r="C42" s="11"/>
      <c r="D42" s="11"/>
      <c r="E42" s="50"/>
      <c r="F42" s="50"/>
      <c r="G42" s="50"/>
      <c r="H42" s="50"/>
      <c r="I42" s="50"/>
      <c r="J42" s="50"/>
      <c r="K42" s="52"/>
      <c r="L42" s="52"/>
      <c r="M42" s="50"/>
      <c r="N42" s="50"/>
      <c r="O42" s="50"/>
      <c r="P42" s="50"/>
      <c r="Q42" s="78"/>
      <c r="R42" s="50"/>
      <c r="S42" s="50"/>
      <c r="T42" s="52"/>
      <c r="U42" s="52"/>
      <c r="V42" s="50"/>
      <c r="W42" s="50"/>
      <c r="X42" s="50"/>
      <c r="Y42" s="50"/>
      <c r="Z42" s="50"/>
      <c r="AA42" s="50"/>
      <c r="AB42" s="50"/>
      <c r="AC42" s="52"/>
      <c r="AD42" s="52"/>
      <c r="AE42" s="50"/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4"/>
        <v>0</v>
      </c>
    </row>
    <row r="43" spans="1:47" ht="19.5">
      <c r="B43" s="68">
        <v>14</v>
      </c>
      <c r="C43" s="12" t="s">
        <v>58</v>
      </c>
      <c r="D43" s="11"/>
      <c r="E43" s="8">
        <f>COUNTIF(E27:E42,"1")</f>
        <v>12</v>
      </c>
      <c r="F43" s="8">
        <f t="shared" ref="F43:AT43" si="5">COUNTIF(F27:F42,"1")</f>
        <v>13</v>
      </c>
      <c r="G43" s="8">
        <f t="shared" si="5"/>
        <v>12</v>
      </c>
      <c r="H43" s="8">
        <f t="shared" si="5"/>
        <v>12</v>
      </c>
      <c r="I43" s="8">
        <f t="shared" si="5"/>
        <v>11</v>
      </c>
      <c r="J43" s="8">
        <f t="shared" si="5"/>
        <v>0</v>
      </c>
      <c r="K43" s="8">
        <f t="shared" si="5"/>
        <v>0</v>
      </c>
      <c r="L43" s="8">
        <f t="shared" si="5"/>
        <v>0</v>
      </c>
      <c r="M43" s="8">
        <f t="shared" si="5"/>
        <v>12</v>
      </c>
      <c r="N43" s="8">
        <f t="shared" si="5"/>
        <v>8</v>
      </c>
      <c r="O43" s="8">
        <f t="shared" si="5"/>
        <v>8</v>
      </c>
      <c r="P43" s="8">
        <f t="shared" si="5"/>
        <v>12</v>
      </c>
      <c r="Q43" s="8">
        <f t="shared" si="5"/>
        <v>8</v>
      </c>
      <c r="R43" s="8">
        <f t="shared" si="5"/>
        <v>7</v>
      </c>
      <c r="S43" s="8">
        <f t="shared" si="5"/>
        <v>0</v>
      </c>
      <c r="T43" s="8">
        <f t="shared" si="5"/>
        <v>0</v>
      </c>
      <c r="U43" s="8">
        <f t="shared" si="5"/>
        <v>0</v>
      </c>
      <c r="V43" s="8">
        <f t="shared" si="5"/>
        <v>8</v>
      </c>
      <c r="W43" s="8">
        <f t="shared" si="5"/>
        <v>12</v>
      </c>
      <c r="X43" s="8">
        <f t="shared" si="5"/>
        <v>13</v>
      </c>
      <c r="Y43" s="8">
        <f t="shared" si="5"/>
        <v>11</v>
      </c>
      <c r="Z43" s="8">
        <f t="shared" si="5"/>
        <v>10</v>
      </c>
      <c r="AA43" s="8">
        <f t="shared" si="5"/>
        <v>13</v>
      </c>
      <c r="AB43" s="8">
        <f t="shared" si="5"/>
        <v>9</v>
      </c>
      <c r="AC43" s="8">
        <f t="shared" si="5"/>
        <v>0</v>
      </c>
      <c r="AD43" s="8">
        <f t="shared" si="5"/>
        <v>8</v>
      </c>
      <c r="AE43" s="8">
        <f t="shared" si="5"/>
        <v>12</v>
      </c>
      <c r="AF43" s="8">
        <f t="shared" si="5"/>
        <v>11</v>
      </c>
      <c r="AG43" s="8">
        <f t="shared" si="5"/>
        <v>0</v>
      </c>
      <c r="AH43" s="8">
        <f t="shared" si="5"/>
        <v>0</v>
      </c>
      <c r="AI43" s="8">
        <f t="shared" si="5"/>
        <v>0</v>
      </c>
      <c r="AJ43" s="8">
        <f t="shared" si="5"/>
        <v>0</v>
      </c>
      <c r="AK43" s="8">
        <f t="shared" si="5"/>
        <v>0</v>
      </c>
      <c r="AL43" s="8">
        <f t="shared" si="5"/>
        <v>0</v>
      </c>
      <c r="AM43" s="8">
        <f t="shared" si="5"/>
        <v>0</v>
      </c>
      <c r="AN43" s="8">
        <f t="shared" si="5"/>
        <v>0</v>
      </c>
      <c r="AO43" s="8">
        <f t="shared" si="5"/>
        <v>0</v>
      </c>
      <c r="AP43" s="8">
        <f t="shared" si="5"/>
        <v>0</v>
      </c>
      <c r="AQ43" s="8">
        <f t="shared" si="5"/>
        <v>0</v>
      </c>
      <c r="AR43" s="8">
        <f t="shared" si="5"/>
        <v>0</v>
      </c>
      <c r="AS43" s="8">
        <f t="shared" si="5"/>
        <v>0</v>
      </c>
      <c r="AT43" s="8">
        <f t="shared" si="5"/>
        <v>0</v>
      </c>
      <c r="AU43" s="1">
        <f t="shared" si="4"/>
        <v>173</v>
      </c>
    </row>
    <row r="44" spans="1:47" ht="15" customHeight="1">
      <c r="A44"/>
      <c r="B44"/>
      <c r="C44"/>
      <c r="D44"/>
      <c r="E44" s="99">
        <v>45913</v>
      </c>
      <c r="F44" s="99">
        <f>E44+7</f>
        <v>45920</v>
      </c>
      <c r="G44" s="99">
        <f t="shared" ref="G44:AT44" si="6">F44+7</f>
        <v>45927</v>
      </c>
      <c r="H44" s="99">
        <f t="shared" si="6"/>
        <v>45934</v>
      </c>
      <c r="I44" s="99">
        <f t="shared" si="6"/>
        <v>45941</v>
      </c>
      <c r="J44" s="99">
        <f t="shared" si="6"/>
        <v>45948</v>
      </c>
      <c r="K44" s="99">
        <f t="shared" si="6"/>
        <v>45955</v>
      </c>
      <c r="L44" s="99">
        <f t="shared" si="6"/>
        <v>45962</v>
      </c>
      <c r="M44" s="99">
        <f t="shared" si="6"/>
        <v>45969</v>
      </c>
      <c r="N44" s="99">
        <f t="shared" si="6"/>
        <v>45976</v>
      </c>
      <c r="O44" s="99">
        <f t="shared" si="6"/>
        <v>45983</v>
      </c>
      <c r="P44" s="99">
        <f t="shared" si="6"/>
        <v>45990</v>
      </c>
      <c r="Q44" s="99">
        <f t="shared" si="6"/>
        <v>45997</v>
      </c>
      <c r="R44" s="99">
        <f t="shared" si="6"/>
        <v>46004</v>
      </c>
      <c r="S44" s="99">
        <f t="shared" si="6"/>
        <v>46011</v>
      </c>
      <c r="T44" s="99">
        <f t="shared" si="6"/>
        <v>46018</v>
      </c>
      <c r="U44" s="99">
        <f t="shared" si="6"/>
        <v>46025</v>
      </c>
      <c r="V44" s="99">
        <f t="shared" si="6"/>
        <v>46032</v>
      </c>
      <c r="W44" s="99">
        <f t="shared" si="6"/>
        <v>46039</v>
      </c>
      <c r="X44" s="99">
        <f t="shared" si="6"/>
        <v>46046</v>
      </c>
      <c r="Y44" s="99">
        <f t="shared" si="6"/>
        <v>46053</v>
      </c>
      <c r="Z44" s="99">
        <f t="shared" si="6"/>
        <v>46060</v>
      </c>
      <c r="AA44" s="99">
        <f t="shared" si="6"/>
        <v>46067</v>
      </c>
      <c r="AB44" s="99">
        <f t="shared" si="6"/>
        <v>46074</v>
      </c>
      <c r="AC44" s="99">
        <f t="shared" si="6"/>
        <v>46081</v>
      </c>
      <c r="AD44" s="99">
        <f t="shared" si="6"/>
        <v>46088</v>
      </c>
      <c r="AE44" s="99">
        <f t="shared" si="6"/>
        <v>46095</v>
      </c>
      <c r="AF44" s="99">
        <f t="shared" si="6"/>
        <v>46102</v>
      </c>
      <c r="AG44" s="99">
        <f t="shared" si="6"/>
        <v>46109</v>
      </c>
      <c r="AH44" s="99">
        <f t="shared" si="6"/>
        <v>46116</v>
      </c>
      <c r="AI44" s="99">
        <f t="shared" si="6"/>
        <v>46123</v>
      </c>
      <c r="AJ44" s="99">
        <f t="shared" si="6"/>
        <v>46130</v>
      </c>
      <c r="AK44" s="99">
        <f t="shared" si="6"/>
        <v>46137</v>
      </c>
      <c r="AL44" s="99">
        <f t="shared" si="6"/>
        <v>46144</v>
      </c>
      <c r="AM44" s="99">
        <f t="shared" si="6"/>
        <v>46151</v>
      </c>
      <c r="AN44" s="99">
        <f t="shared" si="6"/>
        <v>46158</v>
      </c>
      <c r="AO44" s="99">
        <f t="shared" si="6"/>
        <v>46165</v>
      </c>
      <c r="AP44" s="99">
        <f t="shared" si="6"/>
        <v>46172</v>
      </c>
      <c r="AQ44" s="99">
        <f t="shared" si="6"/>
        <v>46179</v>
      </c>
      <c r="AR44" s="99">
        <f t="shared" si="6"/>
        <v>46186</v>
      </c>
      <c r="AS44" s="99">
        <f t="shared" si="6"/>
        <v>46193</v>
      </c>
      <c r="AT44" s="99">
        <f t="shared" si="6"/>
        <v>46200</v>
      </c>
    </row>
    <row r="45" spans="1:47" ht="15" customHeight="1">
      <c r="A45"/>
      <c r="B45"/>
      <c r="C45"/>
      <c r="D45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</row>
    <row r="46" spans="1:47" ht="15" customHeight="1">
      <c r="A46"/>
      <c r="B46"/>
      <c r="C46"/>
      <c r="D46"/>
      <c r="E46" s="6" t="s">
        <v>4</v>
      </c>
      <c r="F46" s="15" t="s">
        <v>5</v>
      </c>
      <c r="G46" s="6" t="s">
        <v>6</v>
      </c>
      <c r="H46" s="15" t="s">
        <v>7</v>
      </c>
      <c r="I46" s="6" t="s">
        <v>8</v>
      </c>
      <c r="J46" s="15" t="s">
        <v>9</v>
      </c>
      <c r="K46" s="27" t="s">
        <v>10</v>
      </c>
      <c r="L46" s="27" t="s">
        <v>10</v>
      </c>
      <c r="M46" s="6" t="s">
        <v>11</v>
      </c>
      <c r="N46" s="15" t="s">
        <v>12</v>
      </c>
      <c r="O46" s="6" t="s">
        <v>13</v>
      </c>
      <c r="P46" s="15" t="s">
        <v>14</v>
      </c>
      <c r="Q46" s="6" t="s">
        <v>15</v>
      </c>
      <c r="R46" s="6" t="s">
        <v>16</v>
      </c>
      <c r="S46" s="6" t="s">
        <v>17</v>
      </c>
      <c r="T46" s="27" t="s">
        <v>10</v>
      </c>
      <c r="U46" s="27" t="s">
        <v>10</v>
      </c>
      <c r="V46" s="15" t="s">
        <v>18</v>
      </c>
      <c r="W46" s="6" t="s">
        <v>19</v>
      </c>
      <c r="X46" s="15" t="s">
        <v>20</v>
      </c>
      <c r="Y46" s="6" t="s">
        <v>21</v>
      </c>
      <c r="Z46" s="15" t="s">
        <v>22</v>
      </c>
      <c r="AA46" s="6" t="s">
        <v>23</v>
      </c>
      <c r="AB46" s="15" t="s">
        <v>24</v>
      </c>
      <c r="AC46" s="27" t="s">
        <v>10</v>
      </c>
      <c r="AD46" s="27" t="s">
        <v>10</v>
      </c>
      <c r="AE46" s="6" t="s">
        <v>25</v>
      </c>
      <c r="AF46" s="15" t="s">
        <v>26</v>
      </c>
      <c r="AG46" s="6" t="s">
        <v>27</v>
      </c>
      <c r="AH46" s="6" t="s">
        <v>28</v>
      </c>
      <c r="AI46" s="15" t="s">
        <v>29</v>
      </c>
      <c r="AJ46" s="6" t="s">
        <v>30</v>
      </c>
      <c r="AK46" s="27" t="s">
        <v>10</v>
      </c>
      <c r="AL46" s="27" t="s">
        <v>10</v>
      </c>
      <c r="AM46" s="15" t="s">
        <v>31</v>
      </c>
      <c r="AN46" s="14" t="s">
        <v>32</v>
      </c>
      <c r="AO46" s="15" t="s">
        <v>33</v>
      </c>
      <c r="AP46" s="14" t="s">
        <v>34</v>
      </c>
      <c r="AQ46" s="14" t="s">
        <v>35</v>
      </c>
      <c r="AR46" s="14" t="s">
        <v>36</v>
      </c>
      <c r="AS46" s="14" t="s">
        <v>37</v>
      </c>
      <c r="AT46" s="14" t="s">
        <v>38</v>
      </c>
      <c r="AU46" s="1">
        <f>SUM(I46:AT46)</f>
        <v>0</v>
      </c>
    </row>
    <row r="47" spans="1:47" ht="15" customHeight="1">
      <c r="A47" s="102" t="s">
        <v>157</v>
      </c>
      <c r="B47" s="23">
        <v>1</v>
      </c>
      <c r="C47" s="11" t="s">
        <v>202</v>
      </c>
      <c r="D47" s="11" t="s">
        <v>103</v>
      </c>
      <c r="E47" s="89">
        <v>0</v>
      </c>
      <c r="F47" s="47">
        <v>1</v>
      </c>
      <c r="G47" s="47">
        <v>1</v>
      </c>
      <c r="H47" s="47">
        <v>1</v>
      </c>
      <c r="I47" s="47">
        <v>1</v>
      </c>
      <c r="J47" s="47">
        <v>1</v>
      </c>
      <c r="K47" s="49"/>
      <c r="L47" s="49"/>
      <c r="M47" s="47">
        <v>1</v>
      </c>
      <c r="N47" s="47">
        <v>0</v>
      </c>
      <c r="O47" s="47">
        <v>1</v>
      </c>
      <c r="P47" s="47">
        <v>0</v>
      </c>
      <c r="Q47" s="77"/>
      <c r="R47" s="47">
        <v>0</v>
      </c>
      <c r="S47" s="47">
        <v>1</v>
      </c>
      <c r="T47" s="49"/>
      <c r="U47" s="49"/>
      <c r="V47" s="47"/>
      <c r="W47" s="47">
        <v>1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9"/>
      <c r="AD47" s="49"/>
      <c r="AE47" s="47">
        <v>0</v>
      </c>
      <c r="AF47" s="47">
        <v>0</v>
      </c>
      <c r="AG47" s="47"/>
      <c r="AH47" s="48"/>
      <c r="AI47" s="48"/>
      <c r="AJ47" s="48"/>
      <c r="AK47" s="49"/>
      <c r="AL47" s="49"/>
      <c r="AM47" s="48"/>
      <c r="AN47" s="48"/>
      <c r="AO47" s="48"/>
      <c r="AP47" s="48"/>
      <c r="AQ47" s="48"/>
      <c r="AR47" s="48"/>
      <c r="AS47" s="48"/>
      <c r="AT47" s="48"/>
      <c r="AU47" s="1">
        <f t="shared" ref="AU47:AU63" si="7">SUM(I47:AT47)</f>
        <v>6</v>
      </c>
    </row>
    <row r="48" spans="1:47" ht="15" customHeight="1">
      <c r="A48" s="102"/>
      <c r="B48" s="23">
        <v>2</v>
      </c>
      <c r="C48" s="11" t="s">
        <v>339</v>
      </c>
      <c r="D48" s="11" t="s">
        <v>208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1</v>
      </c>
      <c r="K48" s="52"/>
      <c r="L48" s="52"/>
      <c r="M48" s="50">
        <v>1</v>
      </c>
      <c r="N48" s="50">
        <v>0</v>
      </c>
      <c r="O48" s="50">
        <v>0</v>
      </c>
      <c r="P48" s="50">
        <v>0</v>
      </c>
      <c r="Q48" s="78"/>
      <c r="R48" s="50">
        <v>0</v>
      </c>
      <c r="S48" s="50">
        <v>0</v>
      </c>
      <c r="T48" s="52"/>
      <c r="U48" s="52"/>
      <c r="V48" s="50"/>
      <c r="W48" s="50">
        <v>0</v>
      </c>
      <c r="X48" s="50">
        <v>0</v>
      </c>
      <c r="Y48" s="50">
        <v>0</v>
      </c>
      <c r="Z48" s="50">
        <v>1</v>
      </c>
      <c r="AA48" s="50">
        <v>0</v>
      </c>
      <c r="AB48" s="50">
        <v>0</v>
      </c>
      <c r="AC48" s="52"/>
      <c r="AD48" s="52"/>
      <c r="AE48" s="50">
        <v>0</v>
      </c>
      <c r="AF48" s="50">
        <v>0</v>
      </c>
      <c r="AG48" s="50"/>
      <c r="AH48" s="51"/>
      <c r="AI48" s="51"/>
      <c r="AJ48" s="51"/>
      <c r="AK48" s="52"/>
      <c r="AL48" s="52"/>
      <c r="AM48" s="51"/>
      <c r="AN48" s="51"/>
      <c r="AO48" s="51"/>
      <c r="AP48" s="51"/>
      <c r="AQ48" s="51"/>
      <c r="AR48" s="51"/>
      <c r="AS48" s="51"/>
      <c r="AT48" s="51"/>
      <c r="AU48" s="1">
        <f t="shared" si="7"/>
        <v>3</v>
      </c>
    </row>
    <row r="49" spans="1:47" ht="15" customHeight="1">
      <c r="A49" s="102"/>
      <c r="B49" s="23">
        <v>3</v>
      </c>
      <c r="C49" s="11" t="s">
        <v>340</v>
      </c>
      <c r="D49" s="11" t="s">
        <v>208</v>
      </c>
      <c r="E49" s="50">
        <v>1</v>
      </c>
      <c r="F49" s="50">
        <v>1</v>
      </c>
      <c r="G49" s="50">
        <v>1</v>
      </c>
      <c r="H49" s="50">
        <v>1</v>
      </c>
      <c r="I49" s="50">
        <v>1</v>
      </c>
      <c r="J49" s="50">
        <v>1</v>
      </c>
      <c r="K49" s="52"/>
      <c r="L49" s="52"/>
      <c r="M49" s="50">
        <v>1</v>
      </c>
      <c r="N49" s="50">
        <v>1</v>
      </c>
      <c r="O49" s="50">
        <v>1</v>
      </c>
      <c r="P49" s="50">
        <v>1</v>
      </c>
      <c r="Q49" s="78"/>
      <c r="R49" s="50">
        <v>0</v>
      </c>
      <c r="S49" s="50">
        <v>0</v>
      </c>
      <c r="T49" s="52"/>
      <c r="U49" s="52"/>
      <c r="V49" s="50"/>
      <c r="W49" s="50">
        <v>1</v>
      </c>
      <c r="X49" s="50">
        <v>1</v>
      </c>
      <c r="Y49" s="50">
        <v>1</v>
      </c>
      <c r="Z49" s="50">
        <v>1</v>
      </c>
      <c r="AA49" s="50">
        <v>1</v>
      </c>
      <c r="AB49" s="50">
        <v>1</v>
      </c>
      <c r="AC49" s="52"/>
      <c r="AD49" s="52"/>
      <c r="AE49" s="50">
        <v>1</v>
      </c>
      <c r="AF49" s="50">
        <v>1</v>
      </c>
      <c r="AG49" s="50"/>
      <c r="AH49" s="51"/>
      <c r="AI49" s="51"/>
      <c r="AJ49" s="51"/>
      <c r="AK49" s="52"/>
      <c r="AL49" s="52"/>
      <c r="AM49" s="51"/>
      <c r="AN49" s="51"/>
      <c r="AO49" s="51"/>
      <c r="AP49" s="51"/>
      <c r="AQ49" s="51"/>
      <c r="AR49" s="51"/>
      <c r="AS49" s="51"/>
      <c r="AT49" s="51"/>
      <c r="AU49" s="1">
        <f t="shared" si="7"/>
        <v>14</v>
      </c>
    </row>
    <row r="50" spans="1:47" ht="15" customHeight="1">
      <c r="A50" s="102"/>
      <c r="B50" s="23">
        <v>4</v>
      </c>
      <c r="C50" s="11" t="s">
        <v>341</v>
      </c>
      <c r="D50" s="11" t="s">
        <v>208</v>
      </c>
      <c r="E50" s="50">
        <v>1</v>
      </c>
      <c r="F50" s="50">
        <v>0</v>
      </c>
      <c r="G50" s="50">
        <v>1</v>
      </c>
      <c r="H50" s="50">
        <v>1</v>
      </c>
      <c r="I50" s="50">
        <v>1</v>
      </c>
      <c r="J50" s="50">
        <v>0</v>
      </c>
      <c r="K50" s="52"/>
      <c r="L50" s="52"/>
      <c r="M50" s="50">
        <v>1</v>
      </c>
      <c r="N50" s="50">
        <v>0</v>
      </c>
      <c r="O50" s="50">
        <v>0</v>
      </c>
      <c r="P50" s="50">
        <v>1</v>
      </c>
      <c r="Q50" s="78"/>
      <c r="R50" s="50">
        <v>1</v>
      </c>
      <c r="S50" s="50">
        <v>0</v>
      </c>
      <c r="T50" s="52"/>
      <c r="U50" s="52"/>
      <c r="V50" s="50"/>
      <c r="W50" s="50">
        <v>1</v>
      </c>
      <c r="X50" s="50">
        <v>1</v>
      </c>
      <c r="Y50" s="50">
        <v>1</v>
      </c>
      <c r="Z50" s="50">
        <v>1</v>
      </c>
      <c r="AA50" s="50">
        <v>0</v>
      </c>
      <c r="AB50" s="50">
        <v>0</v>
      </c>
      <c r="AC50" s="52"/>
      <c r="AD50" s="52"/>
      <c r="AE50" s="50">
        <v>0</v>
      </c>
      <c r="AF50" s="50">
        <v>0</v>
      </c>
      <c r="AG50" s="50"/>
      <c r="AH50" s="51"/>
      <c r="AI50" s="51"/>
      <c r="AJ50" s="51"/>
      <c r="AK50" s="52"/>
      <c r="AL50" s="52"/>
      <c r="AM50" s="51"/>
      <c r="AN50" s="51"/>
      <c r="AO50" s="51"/>
      <c r="AP50" s="51"/>
      <c r="AQ50" s="51"/>
      <c r="AR50" s="51"/>
      <c r="AS50" s="51"/>
      <c r="AT50" s="51"/>
      <c r="AU50" s="1">
        <f t="shared" si="7"/>
        <v>8</v>
      </c>
    </row>
    <row r="51" spans="1:47" ht="15" customHeight="1">
      <c r="A51" s="102"/>
      <c r="B51" s="23">
        <v>5</v>
      </c>
      <c r="C51" s="11" t="s">
        <v>342</v>
      </c>
      <c r="D51" s="11" t="s">
        <v>208</v>
      </c>
      <c r="E51" s="50">
        <v>1</v>
      </c>
      <c r="F51" s="50">
        <v>1</v>
      </c>
      <c r="G51" s="50">
        <v>1</v>
      </c>
      <c r="H51" s="50">
        <v>1</v>
      </c>
      <c r="I51" s="50">
        <v>1</v>
      </c>
      <c r="J51" s="50">
        <v>1</v>
      </c>
      <c r="K51" s="52"/>
      <c r="L51" s="52"/>
      <c r="M51" s="50">
        <v>1</v>
      </c>
      <c r="N51" s="50">
        <v>0</v>
      </c>
      <c r="O51" s="50">
        <v>0</v>
      </c>
      <c r="P51" s="50">
        <v>1</v>
      </c>
      <c r="Q51" s="78"/>
      <c r="R51" s="50">
        <v>1</v>
      </c>
      <c r="S51" s="50">
        <v>1</v>
      </c>
      <c r="T51" s="52"/>
      <c r="U51" s="52"/>
      <c r="V51" s="50"/>
      <c r="W51" s="50">
        <v>1</v>
      </c>
      <c r="X51" s="50">
        <v>1</v>
      </c>
      <c r="Y51" s="50">
        <v>1</v>
      </c>
      <c r="Z51" s="50">
        <v>1</v>
      </c>
      <c r="AA51" s="50">
        <v>1</v>
      </c>
      <c r="AB51" s="50">
        <v>1</v>
      </c>
      <c r="AC51" s="52"/>
      <c r="AD51" s="52"/>
      <c r="AE51" s="50">
        <v>1</v>
      </c>
      <c r="AF51" s="50">
        <v>1</v>
      </c>
      <c r="AG51" s="50"/>
      <c r="AH51" s="51"/>
      <c r="AI51" s="51"/>
      <c r="AJ51" s="51"/>
      <c r="AK51" s="52"/>
      <c r="AL51" s="52"/>
      <c r="AM51" s="51"/>
      <c r="AN51" s="51"/>
      <c r="AO51" s="51"/>
      <c r="AP51" s="51"/>
      <c r="AQ51" s="51"/>
      <c r="AR51" s="51"/>
      <c r="AS51" s="51"/>
      <c r="AT51" s="51"/>
      <c r="AU51" s="1">
        <f t="shared" si="7"/>
        <v>14</v>
      </c>
    </row>
    <row r="52" spans="1:47" ht="15" customHeight="1">
      <c r="A52" s="102"/>
      <c r="B52" s="23">
        <v>6</v>
      </c>
      <c r="C52" s="11" t="s">
        <v>343</v>
      </c>
      <c r="D52" s="11" t="s">
        <v>208</v>
      </c>
      <c r="E52" s="87">
        <v>0</v>
      </c>
      <c r="F52" s="50">
        <v>1</v>
      </c>
      <c r="G52" s="50">
        <v>1</v>
      </c>
      <c r="H52" s="50">
        <v>1</v>
      </c>
      <c r="I52" s="50">
        <v>1</v>
      </c>
      <c r="J52" s="50">
        <v>1</v>
      </c>
      <c r="K52" s="52"/>
      <c r="L52" s="52"/>
      <c r="M52" s="50">
        <v>1</v>
      </c>
      <c r="N52" s="50">
        <v>1</v>
      </c>
      <c r="O52" s="50">
        <v>1</v>
      </c>
      <c r="P52" s="50">
        <v>1</v>
      </c>
      <c r="Q52" s="78"/>
      <c r="R52" s="50">
        <v>1</v>
      </c>
      <c r="S52" s="50">
        <v>1</v>
      </c>
      <c r="T52" s="52"/>
      <c r="U52" s="52"/>
      <c r="V52" s="50"/>
      <c r="W52" s="50">
        <v>1</v>
      </c>
      <c r="X52" s="50">
        <v>1</v>
      </c>
      <c r="Y52" s="50">
        <v>1</v>
      </c>
      <c r="Z52" s="50">
        <v>1</v>
      </c>
      <c r="AA52" s="50">
        <v>1</v>
      </c>
      <c r="AB52" s="50">
        <v>1</v>
      </c>
      <c r="AC52" s="52"/>
      <c r="AD52" s="52"/>
      <c r="AE52" s="50">
        <v>1</v>
      </c>
      <c r="AF52" s="50">
        <v>1</v>
      </c>
      <c r="AG52" s="50"/>
      <c r="AH52" s="51"/>
      <c r="AI52" s="51"/>
      <c r="AJ52" s="51"/>
      <c r="AK52" s="52"/>
      <c r="AL52" s="52"/>
      <c r="AM52" s="51"/>
      <c r="AN52" s="51"/>
      <c r="AO52" s="51"/>
      <c r="AP52" s="51"/>
      <c r="AQ52" s="51"/>
      <c r="AR52" s="51"/>
      <c r="AS52" s="51"/>
      <c r="AT52" s="51"/>
      <c r="AU52" s="1">
        <f t="shared" si="7"/>
        <v>16</v>
      </c>
    </row>
    <row r="53" spans="1:47" ht="15" customHeight="1">
      <c r="A53" s="102"/>
      <c r="B53" s="23">
        <v>7</v>
      </c>
      <c r="C53" s="11" t="s">
        <v>344</v>
      </c>
      <c r="D53" s="11" t="s">
        <v>208</v>
      </c>
      <c r="E53" s="87">
        <v>0</v>
      </c>
      <c r="F53" s="50">
        <v>1</v>
      </c>
      <c r="G53" s="50">
        <v>1</v>
      </c>
      <c r="H53" s="50">
        <v>0</v>
      </c>
      <c r="I53" s="50">
        <v>1</v>
      </c>
      <c r="J53" s="50">
        <v>0</v>
      </c>
      <c r="K53" s="52"/>
      <c r="L53" s="52"/>
      <c r="M53" s="50">
        <v>1</v>
      </c>
      <c r="N53" s="50">
        <v>1</v>
      </c>
      <c r="O53" s="50">
        <v>0</v>
      </c>
      <c r="P53" s="50">
        <v>1</v>
      </c>
      <c r="Q53" s="78"/>
      <c r="R53" s="50">
        <v>0</v>
      </c>
      <c r="S53" s="50">
        <v>0</v>
      </c>
      <c r="T53" s="52"/>
      <c r="U53" s="52"/>
      <c r="V53" s="50"/>
      <c r="W53" s="50">
        <v>0</v>
      </c>
      <c r="X53" s="50">
        <v>1</v>
      </c>
      <c r="Y53" s="50">
        <v>1</v>
      </c>
      <c r="Z53" s="50">
        <v>1</v>
      </c>
      <c r="AA53" s="50">
        <v>1</v>
      </c>
      <c r="AB53" s="50">
        <v>1</v>
      </c>
      <c r="AC53" s="52"/>
      <c r="AD53" s="52"/>
      <c r="AE53" s="50">
        <v>0</v>
      </c>
      <c r="AF53" s="50">
        <v>1</v>
      </c>
      <c r="AG53" s="50"/>
      <c r="AH53" s="51"/>
      <c r="AI53" s="51"/>
      <c r="AJ53" s="51"/>
      <c r="AK53" s="52"/>
      <c r="AL53" s="52"/>
      <c r="AM53" s="51"/>
      <c r="AN53" s="51"/>
      <c r="AO53" s="51"/>
      <c r="AP53" s="51"/>
      <c r="AQ53" s="51"/>
      <c r="AR53" s="51"/>
      <c r="AS53" s="51"/>
      <c r="AT53" s="51"/>
      <c r="AU53" s="1">
        <f t="shared" si="7"/>
        <v>10</v>
      </c>
    </row>
    <row r="54" spans="1:47" ht="15" customHeight="1">
      <c r="A54" s="102"/>
      <c r="B54" s="23">
        <v>8</v>
      </c>
      <c r="C54" s="11" t="s">
        <v>345</v>
      </c>
      <c r="D54" s="11" t="s">
        <v>212</v>
      </c>
      <c r="E54" s="50">
        <v>1</v>
      </c>
      <c r="F54" s="50">
        <v>0</v>
      </c>
      <c r="G54" s="50">
        <v>1</v>
      </c>
      <c r="H54" s="50">
        <v>1</v>
      </c>
      <c r="I54" s="50">
        <v>1</v>
      </c>
      <c r="J54" s="50">
        <v>0</v>
      </c>
      <c r="K54" s="52"/>
      <c r="L54" s="52"/>
      <c r="M54" s="50">
        <v>0</v>
      </c>
      <c r="N54" s="50">
        <v>0</v>
      </c>
      <c r="O54" s="50">
        <v>0</v>
      </c>
      <c r="P54" s="50">
        <v>1</v>
      </c>
      <c r="Q54" s="78"/>
      <c r="R54" s="50">
        <v>0</v>
      </c>
      <c r="S54" s="50">
        <v>0</v>
      </c>
      <c r="T54" s="52"/>
      <c r="U54" s="52"/>
      <c r="V54" s="50"/>
      <c r="W54" s="50">
        <v>1</v>
      </c>
      <c r="X54" s="50">
        <v>0</v>
      </c>
      <c r="Y54" s="50">
        <v>0</v>
      </c>
      <c r="Z54" s="50">
        <v>1</v>
      </c>
      <c r="AA54" s="50">
        <v>1</v>
      </c>
      <c r="AB54" s="50">
        <v>0</v>
      </c>
      <c r="AC54" s="52"/>
      <c r="AD54" s="52"/>
      <c r="AE54" s="50">
        <v>0</v>
      </c>
      <c r="AF54" s="50">
        <v>1</v>
      </c>
      <c r="AG54" s="50"/>
      <c r="AH54" s="51"/>
      <c r="AI54" s="51"/>
      <c r="AJ54" s="51"/>
      <c r="AK54" s="52"/>
      <c r="AL54" s="52"/>
      <c r="AM54" s="51"/>
      <c r="AN54" s="51"/>
      <c r="AO54" s="51"/>
      <c r="AP54" s="51"/>
      <c r="AQ54" s="51"/>
      <c r="AR54" s="51"/>
      <c r="AS54" s="51"/>
      <c r="AT54" s="51"/>
      <c r="AU54" s="1">
        <f t="shared" si="7"/>
        <v>6</v>
      </c>
    </row>
    <row r="55" spans="1:47" ht="15" customHeight="1">
      <c r="B55" s="23">
        <v>9</v>
      </c>
      <c r="C55" s="11" t="s">
        <v>211</v>
      </c>
      <c r="D55" s="11" t="s">
        <v>212</v>
      </c>
      <c r="E55" s="89">
        <v>0</v>
      </c>
      <c r="F55" s="47">
        <v>1</v>
      </c>
      <c r="G55" s="47">
        <v>1</v>
      </c>
      <c r="H55" s="47">
        <v>1</v>
      </c>
      <c r="I55" s="47">
        <v>1</v>
      </c>
      <c r="J55" s="47">
        <v>0</v>
      </c>
      <c r="K55" s="49"/>
      <c r="L55" s="49"/>
      <c r="M55" s="47">
        <v>1</v>
      </c>
      <c r="N55" s="47">
        <v>1</v>
      </c>
      <c r="O55" s="47">
        <v>1</v>
      </c>
      <c r="P55" s="47">
        <v>1</v>
      </c>
      <c r="Q55" s="77"/>
      <c r="R55" s="47">
        <v>0</v>
      </c>
      <c r="S55" s="47">
        <v>1</v>
      </c>
      <c r="T55" s="49"/>
      <c r="U55" s="49"/>
      <c r="V55" s="47"/>
      <c r="W55" s="47">
        <v>1</v>
      </c>
      <c r="X55" s="47">
        <v>1</v>
      </c>
      <c r="Y55" s="47">
        <v>1</v>
      </c>
      <c r="Z55" s="47">
        <v>1</v>
      </c>
      <c r="AA55" s="47">
        <v>1</v>
      </c>
      <c r="AB55" s="47">
        <v>0</v>
      </c>
      <c r="AC55" s="49"/>
      <c r="AD55" s="49"/>
      <c r="AE55" s="47">
        <v>1</v>
      </c>
      <c r="AF55" s="47">
        <v>1</v>
      </c>
      <c r="AG55" s="47"/>
      <c r="AH55" s="48"/>
      <c r="AI55" s="48"/>
      <c r="AJ55" s="48"/>
      <c r="AK55" s="49"/>
      <c r="AL55" s="49"/>
      <c r="AM55" s="48"/>
      <c r="AN55" s="48"/>
      <c r="AO55" s="48"/>
      <c r="AP55" s="48"/>
      <c r="AQ55" s="48"/>
      <c r="AR55" s="48"/>
      <c r="AS55" s="48"/>
      <c r="AT55" s="48"/>
      <c r="AU55" s="1">
        <f t="shared" si="7"/>
        <v>13</v>
      </c>
    </row>
    <row r="56" spans="1:47" ht="15" customHeight="1">
      <c r="B56" s="23">
        <v>10</v>
      </c>
      <c r="C56" s="11" t="s">
        <v>346</v>
      </c>
      <c r="D56" s="11" t="s">
        <v>212</v>
      </c>
      <c r="E56" s="50">
        <v>1</v>
      </c>
      <c r="F56" s="50">
        <v>1</v>
      </c>
      <c r="G56" s="50">
        <v>1</v>
      </c>
      <c r="H56" s="50">
        <v>1</v>
      </c>
      <c r="I56" s="50">
        <v>1</v>
      </c>
      <c r="J56" s="50">
        <v>0</v>
      </c>
      <c r="K56" s="52"/>
      <c r="L56" s="52"/>
      <c r="M56" s="50">
        <v>1</v>
      </c>
      <c r="N56" s="50">
        <v>1</v>
      </c>
      <c r="O56" s="50">
        <v>0</v>
      </c>
      <c r="P56" s="50">
        <v>1</v>
      </c>
      <c r="Q56" s="78"/>
      <c r="R56" s="50">
        <v>1</v>
      </c>
      <c r="S56" s="50">
        <v>1</v>
      </c>
      <c r="T56" s="52"/>
      <c r="U56" s="52"/>
      <c r="V56" s="50"/>
      <c r="W56" s="50">
        <v>1</v>
      </c>
      <c r="X56" s="50">
        <v>1</v>
      </c>
      <c r="Y56" s="50">
        <v>1</v>
      </c>
      <c r="Z56" s="50">
        <v>1</v>
      </c>
      <c r="AA56" s="50">
        <v>1</v>
      </c>
      <c r="AB56" s="50">
        <v>1</v>
      </c>
      <c r="AC56" s="52"/>
      <c r="AD56" s="52"/>
      <c r="AE56" s="50">
        <v>1</v>
      </c>
      <c r="AF56" s="50">
        <v>1</v>
      </c>
      <c r="AG56" s="50"/>
      <c r="AH56" s="51"/>
      <c r="AI56" s="51"/>
      <c r="AJ56" s="51"/>
      <c r="AK56" s="52"/>
      <c r="AL56" s="52"/>
      <c r="AM56" s="51"/>
      <c r="AN56" s="51"/>
      <c r="AO56" s="51"/>
      <c r="AP56" s="51"/>
      <c r="AQ56" s="51"/>
      <c r="AR56" s="51"/>
      <c r="AS56" s="51"/>
      <c r="AT56" s="51"/>
      <c r="AU56" s="1">
        <f t="shared" si="7"/>
        <v>14</v>
      </c>
    </row>
    <row r="57" spans="1:47" ht="15" customHeight="1">
      <c r="B57" s="23">
        <v>11</v>
      </c>
      <c r="C57" s="11" t="s">
        <v>213</v>
      </c>
      <c r="D57" s="11" t="s">
        <v>212</v>
      </c>
      <c r="E57" s="50">
        <v>1</v>
      </c>
      <c r="F57" s="50">
        <v>1</v>
      </c>
      <c r="G57" s="50">
        <v>1</v>
      </c>
      <c r="H57" s="50">
        <v>1</v>
      </c>
      <c r="I57" s="50">
        <v>1</v>
      </c>
      <c r="J57" s="50">
        <v>0</v>
      </c>
      <c r="K57" s="52"/>
      <c r="L57" s="52"/>
      <c r="M57" s="50">
        <v>1</v>
      </c>
      <c r="N57" s="50">
        <v>1</v>
      </c>
      <c r="O57" s="50">
        <v>1</v>
      </c>
      <c r="P57" s="50">
        <v>1</v>
      </c>
      <c r="Q57" s="78"/>
      <c r="R57" s="50">
        <v>1</v>
      </c>
      <c r="S57" s="50">
        <v>1</v>
      </c>
      <c r="T57" s="52"/>
      <c r="U57" s="52"/>
      <c r="V57" s="50"/>
      <c r="W57" s="50">
        <v>0</v>
      </c>
      <c r="X57" s="50">
        <v>1</v>
      </c>
      <c r="Y57" s="50">
        <v>1</v>
      </c>
      <c r="Z57" s="50">
        <v>0</v>
      </c>
      <c r="AA57" s="50">
        <v>1</v>
      </c>
      <c r="AB57" s="50">
        <v>1</v>
      </c>
      <c r="AC57" s="52"/>
      <c r="AD57" s="52"/>
      <c r="AE57" s="50">
        <v>1</v>
      </c>
      <c r="AF57" s="50">
        <v>1</v>
      </c>
      <c r="AG57" s="50"/>
      <c r="AH57" s="51"/>
      <c r="AI57" s="51"/>
      <c r="AJ57" s="51"/>
      <c r="AK57" s="52"/>
      <c r="AL57" s="52"/>
      <c r="AM57" s="51"/>
      <c r="AN57" s="51"/>
      <c r="AO57" s="51"/>
      <c r="AP57" s="51"/>
      <c r="AQ57" s="51"/>
      <c r="AR57" s="51"/>
      <c r="AS57" s="51"/>
      <c r="AT57" s="51"/>
      <c r="AU57" s="1">
        <f t="shared" si="7"/>
        <v>13</v>
      </c>
    </row>
    <row r="58" spans="1:47" ht="15" customHeight="1">
      <c r="B58" s="23">
        <v>12</v>
      </c>
      <c r="C58" s="11" t="s">
        <v>347</v>
      </c>
      <c r="D58" s="11" t="s">
        <v>212</v>
      </c>
      <c r="E58" s="50">
        <v>1</v>
      </c>
      <c r="F58" s="50">
        <v>1</v>
      </c>
      <c r="G58" s="50">
        <v>1</v>
      </c>
      <c r="H58" s="50">
        <v>1</v>
      </c>
      <c r="I58" s="50">
        <v>0</v>
      </c>
      <c r="J58" s="50">
        <v>1</v>
      </c>
      <c r="K58" s="52"/>
      <c r="L58" s="52"/>
      <c r="M58" s="50">
        <v>1</v>
      </c>
      <c r="N58" s="50">
        <v>1</v>
      </c>
      <c r="O58" s="50">
        <v>0</v>
      </c>
      <c r="P58" s="50">
        <v>1</v>
      </c>
      <c r="Q58" s="78"/>
      <c r="R58" s="50">
        <v>0</v>
      </c>
      <c r="S58" s="50">
        <v>0</v>
      </c>
      <c r="T58" s="52"/>
      <c r="U58" s="52"/>
      <c r="V58" s="50"/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2"/>
      <c r="AD58" s="52"/>
      <c r="AE58" s="50">
        <v>0</v>
      </c>
      <c r="AF58" s="50">
        <v>0</v>
      </c>
      <c r="AG58" s="50"/>
      <c r="AH58" s="51"/>
      <c r="AI58" s="51"/>
      <c r="AJ58" s="51"/>
      <c r="AK58" s="52"/>
      <c r="AL58" s="52"/>
      <c r="AM58" s="51"/>
      <c r="AN58" s="51"/>
      <c r="AO58" s="51"/>
      <c r="AP58" s="51"/>
      <c r="AQ58" s="51"/>
      <c r="AR58" s="51"/>
      <c r="AS58" s="51"/>
      <c r="AT58" s="51"/>
      <c r="AU58" s="1">
        <f t="shared" si="7"/>
        <v>4</v>
      </c>
    </row>
    <row r="59" spans="1:47" ht="15" customHeight="1">
      <c r="B59" s="23">
        <v>13</v>
      </c>
      <c r="C59" s="11" t="s">
        <v>348</v>
      </c>
      <c r="D59" s="11" t="s">
        <v>212</v>
      </c>
      <c r="E59" s="50">
        <v>1</v>
      </c>
      <c r="F59" s="50">
        <v>1</v>
      </c>
      <c r="G59" s="50">
        <v>0</v>
      </c>
      <c r="H59" s="50">
        <v>1</v>
      </c>
      <c r="I59" s="50">
        <v>1</v>
      </c>
      <c r="J59" s="50">
        <v>1</v>
      </c>
      <c r="K59" s="52"/>
      <c r="L59" s="52"/>
      <c r="M59" s="50">
        <v>1</v>
      </c>
      <c r="N59" s="50">
        <v>1</v>
      </c>
      <c r="O59" s="50">
        <v>1</v>
      </c>
      <c r="P59" s="50">
        <v>1</v>
      </c>
      <c r="Q59" s="78"/>
      <c r="R59" s="50">
        <v>1</v>
      </c>
      <c r="S59" s="50">
        <v>1</v>
      </c>
      <c r="T59" s="52"/>
      <c r="U59" s="52"/>
      <c r="V59" s="50"/>
      <c r="W59" s="50">
        <v>1</v>
      </c>
      <c r="X59" s="50">
        <v>1</v>
      </c>
      <c r="Y59" s="50">
        <v>1</v>
      </c>
      <c r="Z59" s="50">
        <v>1</v>
      </c>
      <c r="AA59" s="50">
        <v>1</v>
      </c>
      <c r="AB59" s="50">
        <v>1</v>
      </c>
      <c r="AC59" s="52"/>
      <c r="AD59" s="52"/>
      <c r="AE59" s="50">
        <v>1</v>
      </c>
      <c r="AF59" s="50">
        <v>0</v>
      </c>
      <c r="AG59" s="50"/>
      <c r="AH59" s="51"/>
      <c r="AI59" s="51"/>
      <c r="AJ59" s="51"/>
      <c r="AK59" s="52"/>
      <c r="AL59" s="52"/>
      <c r="AM59" s="51"/>
      <c r="AN59" s="51"/>
      <c r="AO59" s="51"/>
      <c r="AP59" s="51"/>
      <c r="AQ59" s="51"/>
      <c r="AR59" s="51"/>
      <c r="AS59" s="51"/>
      <c r="AT59" s="51"/>
      <c r="AU59" s="1">
        <f t="shared" si="7"/>
        <v>15</v>
      </c>
    </row>
    <row r="60" spans="1:47" ht="15" customHeight="1">
      <c r="B60" s="23">
        <v>14</v>
      </c>
      <c r="C60" s="11" t="s">
        <v>349</v>
      </c>
      <c r="D60" s="11" t="s">
        <v>212</v>
      </c>
      <c r="E60" s="50">
        <v>1</v>
      </c>
      <c r="F60" s="50">
        <v>1</v>
      </c>
      <c r="G60" s="50">
        <v>1</v>
      </c>
      <c r="H60" s="50">
        <v>1</v>
      </c>
      <c r="I60" s="50">
        <v>1</v>
      </c>
      <c r="J60" s="50">
        <v>1</v>
      </c>
      <c r="K60" s="52"/>
      <c r="L60" s="52"/>
      <c r="M60" s="50">
        <v>1</v>
      </c>
      <c r="N60" s="50">
        <v>1</v>
      </c>
      <c r="O60" s="50">
        <v>1</v>
      </c>
      <c r="P60" s="50">
        <v>1</v>
      </c>
      <c r="Q60" s="78"/>
      <c r="R60" s="50">
        <v>1</v>
      </c>
      <c r="S60" s="50">
        <v>0</v>
      </c>
      <c r="T60" s="52"/>
      <c r="U60" s="52"/>
      <c r="V60" s="50"/>
      <c r="W60" s="50">
        <v>1</v>
      </c>
      <c r="X60" s="50">
        <v>1</v>
      </c>
      <c r="Y60" s="50">
        <v>0</v>
      </c>
      <c r="Z60" s="50">
        <v>1</v>
      </c>
      <c r="AA60" s="50">
        <v>0</v>
      </c>
      <c r="AB60" s="50">
        <v>1</v>
      </c>
      <c r="AC60" s="52"/>
      <c r="AD60" s="52"/>
      <c r="AE60" s="50">
        <v>1</v>
      </c>
      <c r="AF60" s="50">
        <v>1</v>
      </c>
      <c r="AG60" s="50"/>
      <c r="AH60" s="51"/>
      <c r="AI60" s="51"/>
      <c r="AJ60" s="51"/>
      <c r="AK60" s="52"/>
      <c r="AL60" s="52"/>
      <c r="AM60" s="51"/>
      <c r="AN60" s="51"/>
      <c r="AO60" s="51"/>
      <c r="AP60" s="51"/>
      <c r="AQ60" s="51"/>
      <c r="AR60" s="51"/>
      <c r="AS60" s="51"/>
      <c r="AT60" s="51"/>
      <c r="AU60" s="1">
        <f t="shared" si="7"/>
        <v>13</v>
      </c>
    </row>
    <row r="61" spans="1:47" ht="15" customHeight="1">
      <c r="B61" s="23">
        <v>15</v>
      </c>
      <c r="C61" s="11" t="s">
        <v>350</v>
      </c>
      <c r="D61" s="11" t="s">
        <v>208</v>
      </c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50">
        <v>1</v>
      </c>
      <c r="P61" s="50">
        <v>0</v>
      </c>
      <c r="Q61" s="78"/>
      <c r="R61" s="50">
        <v>1</v>
      </c>
      <c r="S61" s="50">
        <v>1</v>
      </c>
      <c r="T61" s="52"/>
      <c r="U61" s="52"/>
      <c r="V61" s="50"/>
      <c r="W61" s="50">
        <v>1</v>
      </c>
      <c r="X61" s="50">
        <v>1</v>
      </c>
      <c r="Y61" s="50">
        <v>1</v>
      </c>
      <c r="Z61" s="50">
        <v>1</v>
      </c>
      <c r="AA61" s="50">
        <v>0</v>
      </c>
      <c r="AB61" s="50">
        <v>1</v>
      </c>
      <c r="AC61" s="52"/>
      <c r="AD61" s="52"/>
      <c r="AE61" s="50">
        <v>0</v>
      </c>
      <c r="AF61" s="50">
        <v>1</v>
      </c>
      <c r="AG61" s="50"/>
      <c r="AH61" s="51"/>
      <c r="AI61" s="51"/>
      <c r="AJ61" s="51"/>
      <c r="AK61" s="52"/>
      <c r="AL61" s="52"/>
      <c r="AM61" s="51"/>
      <c r="AN61" s="51"/>
      <c r="AO61" s="51"/>
      <c r="AP61" s="51"/>
      <c r="AQ61" s="51"/>
      <c r="AR61" s="51"/>
      <c r="AS61" s="51"/>
      <c r="AT61" s="51"/>
      <c r="AU61" s="1">
        <f t="shared" si="7"/>
        <v>9</v>
      </c>
    </row>
    <row r="62" spans="1:47" ht="15" customHeight="1">
      <c r="B62" s="23">
        <v>16</v>
      </c>
      <c r="C62" s="11"/>
      <c r="D62" s="11"/>
      <c r="E62" s="50"/>
      <c r="F62" s="50"/>
      <c r="G62" s="50"/>
      <c r="H62" s="50"/>
      <c r="I62" s="50"/>
      <c r="J62" s="50"/>
      <c r="K62" s="52"/>
      <c r="L62" s="52"/>
      <c r="M62" s="50"/>
      <c r="N62" s="50"/>
      <c r="O62" s="50"/>
      <c r="P62" s="50"/>
      <c r="Q62" s="78"/>
      <c r="R62" s="50"/>
      <c r="S62" s="50"/>
      <c r="T62" s="52"/>
      <c r="U62" s="52"/>
      <c r="V62" s="50"/>
      <c r="W62" s="50"/>
      <c r="X62" s="50"/>
      <c r="Y62" s="50"/>
      <c r="Z62" s="50"/>
      <c r="AA62" s="50"/>
      <c r="AB62" s="50"/>
      <c r="AC62" s="52"/>
      <c r="AD62" s="52"/>
      <c r="AE62" s="50"/>
      <c r="AF62" s="50"/>
      <c r="AG62" s="50"/>
      <c r="AH62" s="51"/>
      <c r="AI62" s="51"/>
      <c r="AJ62" s="51"/>
      <c r="AK62" s="52"/>
      <c r="AL62" s="52"/>
      <c r="AM62" s="51"/>
      <c r="AN62" s="51"/>
      <c r="AO62" s="51"/>
      <c r="AP62" s="51"/>
      <c r="AQ62" s="51"/>
      <c r="AR62" s="51"/>
      <c r="AS62" s="51"/>
      <c r="AT62" s="51"/>
      <c r="AU62" s="1">
        <f t="shared" si="7"/>
        <v>0</v>
      </c>
    </row>
    <row r="63" spans="1:47" ht="15" customHeight="1">
      <c r="B63" s="68">
        <v>15</v>
      </c>
      <c r="C63" s="12" t="s">
        <v>70</v>
      </c>
      <c r="D63" s="11"/>
      <c r="E63" s="8">
        <f>COUNTIF(E47:E62,"1")</f>
        <v>10</v>
      </c>
      <c r="F63" s="8">
        <f t="shared" ref="F63:AT63" si="8">COUNTIF(F47:F62,"1")</f>
        <v>12</v>
      </c>
      <c r="G63" s="8">
        <f t="shared" si="8"/>
        <v>12</v>
      </c>
      <c r="H63" s="8">
        <f t="shared" si="8"/>
        <v>12</v>
      </c>
      <c r="I63" s="8">
        <f t="shared" si="8"/>
        <v>12</v>
      </c>
      <c r="J63" s="8">
        <f t="shared" si="8"/>
        <v>8</v>
      </c>
      <c r="K63" s="8">
        <f t="shared" si="8"/>
        <v>0</v>
      </c>
      <c r="L63" s="8">
        <f t="shared" si="8"/>
        <v>0</v>
      </c>
      <c r="M63" s="8">
        <f t="shared" si="8"/>
        <v>13</v>
      </c>
      <c r="N63" s="8">
        <f t="shared" si="8"/>
        <v>9</v>
      </c>
      <c r="O63" s="8">
        <f t="shared" si="8"/>
        <v>8</v>
      </c>
      <c r="P63" s="8">
        <f t="shared" si="8"/>
        <v>12</v>
      </c>
      <c r="Q63" s="8">
        <f t="shared" si="8"/>
        <v>0</v>
      </c>
      <c r="R63" s="8">
        <f t="shared" si="8"/>
        <v>8</v>
      </c>
      <c r="S63" s="8">
        <f t="shared" si="8"/>
        <v>8</v>
      </c>
      <c r="T63" s="8">
        <f t="shared" si="8"/>
        <v>0</v>
      </c>
      <c r="U63" s="8">
        <f t="shared" si="8"/>
        <v>0</v>
      </c>
      <c r="V63" s="8">
        <f t="shared" si="8"/>
        <v>0</v>
      </c>
      <c r="W63" s="8">
        <f t="shared" si="8"/>
        <v>11</v>
      </c>
      <c r="X63" s="8">
        <f t="shared" si="8"/>
        <v>11</v>
      </c>
      <c r="Y63" s="8">
        <f t="shared" si="8"/>
        <v>10</v>
      </c>
      <c r="Z63" s="8">
        <f t="shared" si="8"/>
        <v>12</v>
      </c>
      <c r="AA63" s="8">
        <f t="shared" si="8"/>
        <v>9</v>
      </c>
      <c r="AB63" s="8">
        <f t="shared" si="8"/>
        <v>9</v>
      </c>
      <c r="AC63" s="8">
        <f t="shared" si="8"/>
        <v>0</v>
      </c>
      <c r="AD63" s="8">
        <f t="shared" si="8"/>
        <v>0</v>
      </c>
      <c r="AE63" s="8">
        <f t="shared" si="8"/>
        <v>8</v>
      </c>
      <c r="AF63" s="8">
        <f t="shared" si="8"/>
        <v>10</v>
      </c>
      <c r="AG63" s="8">
        <f t="shared" si="8"/>
        <v>0</v>
      </c>
      <c r="AH63" s="8">
        <f t="shared" si="8"/>
        <v>0</v>
      </c>
      <c r="AI63" s="8">
        <f t="shared" si="8"/>
        <v>0</v>
      </c>
      <c r="AJ63" s="8">
        <f t="shared" si="8"/>
        <v>0</v>
      </c>
      <c r="AK63" s="8">
        <f t="shared" si="8"/>
        <v>0</v>
      </c>
      <c r="AL63" s="8">
        <f t="shared" si="8"/>
        <v>0</v>
      </c>
      <c r="AM63" s="8">
        <f t="shared" si="8"/>
        <v>0</v>
      </c>
      <c r="AN63" s="8">
        <f t="shared" si="8"/>
        <v>0</v>
      </c>
      <c r="AO63" s="8">
        <f t="shared" si="8"/>
        <v>0</v>
      </c>
      <c r="AP63" s="8">
        <f t="shared" si="8"/>
        <v>0</v>
      </c>
      <c r="AQ63" s="8">
        <f t="shared" si="8"/>
        <v>0</v>
      </c>
      <c r="AR63" s="8">
        <f t="shared" si="8"/>
        <v>0</v>
      </c>
      <c r="AS63" s="8">
        <f t="shared" si="8"/>
        <v>0</v>
      </c>
      <c r="AT63" s="8">
        <f t="shared" si="8"/>
        <v>0</v>
      </c>
      <c r="AU63" s="1">
        <f t="shared" si="7"/>
        <v>158</v>
      </c>
    </row>
    <row r="64" spans="1:47" ht="15" customHeight="1">
      <c r="A64"/>
      <c r="B64"/>
      <c r="C64"/>
      <c r="D64"/>
      <c r="E64" s="99">
        <v>45913</v>
      </c>
      <c r="F64" s="99">
        <f>E64+7</f>
        <v>45920</v>
      </c>
      <c r="G64" s="99">
        <f t="shared" ref="G64:AT64" si="9">F64+7</f>
        <v>45927</v>
      </c>
      <c r="H64" s="99">
        <f t="shared" si="9"/>
        <v>45934</v>
      </c>
      <c r="I64" s="99">
        <f t="shared" si="9"/>
        <v>45941</v>
      </c>
      <c r="J64" s="99">
        <f t="shared" si="9"/>
        <v>45948</v>
      </c>
      <c r="K64" s="99">
        <f t="shared" si="9"/>
        <v>45955</v>
      </c>
      <c r="L64" s="99">
        <f t="shared" si="9"/>
        <v>45962</v>
      </c>
      <c r="M64" s="99">
        <f t="shared" si="9"/>
        <v>45969</v>
      </c>
      <c r="N64" s="99">
        <f t="shared" si="9"/>
        <v>45976</v>
      </c>
      <c r="O64" s="99">
        <f t="shared" si="9"/>
        <v>45983</v>
      </c>
      <c r="P64" s="99">
        <f t="shared" si="9"/>
        <v>45990</v>
      </c>
      <c r="Q64" s="99">
        <f t="shared" si="9"/>
        <v>45997</v>
      </c>
      <c r="R64" s="99">
        <f t="shared" si="9"/>
        <v>46004</v>
      </c>
      <c r="S64" s="99">
        <f t="shared" si="9"/>
        <v>46011</v>
      </c>
      <c r="T64" s="99">
        <f t="shared" si="9"/>
        <v>46018</v>
      </c>
      <c r="U64" s="99">
        <f t="shared" si="9"/>
        <v>46025</v>
      </c>
      <c r="V64" s="99">
        <f t="shared" si="9"/>
        <v>46032</v>
      </c>
      <c r="W64" s="99">
        <f t="shared" si="9"/>
        <v>46039</v>
      </c>
      <c r="X64" s="99">
        <f t="shared" si="9"/>
        <v>46046</v>
      </c>
      <c r="Y64" s="99">
        <f t="shared" si="9"/>
        <v>46053</v>
      </c>
      <c r="Z64" s="99">
        <f t="shared" si="9"/>
        <v>46060</v>
      </c>
      <c r="AA64" s="99">
        <f t="shared" si="9"/>
        <v>46067</v>
      </c>
      <c r="AB64" s="99">
        <f t="shared" si="9"/>
        <v>46074</v>
      </c>
      <c r="AC64" s="99">
        <f t="shared" si="9"/>
        <v>46081</v>
      </c>
      <c r="AD64" s="99">
        <f t="shared" si="9"/>
        <v>46088</v>
      </c>
      <c r="AE64" s="99">
        <f t="shared" si="9"/>
        <v>46095</v>
      </c>
      <c r="AF64" s="99">
        <f t="shared" si="9"/>
        <v>46102</v>
      </c>
      <c r="AG64" s="99">
        <f t="shared" si="9"/>
        <v>46109</v>
      </c>
      <c r="AH64" s="99">
        <f t="shared" si="9"/>
        <v>46116</v>
      </c>
      <c r="AI64" s="99">
        <f t="shared" si="9"/>
        <v>46123</v>
      </c>
      <c r="AJ64" s="99">
        <f t="shared" si="9"/>
        <v>46130</v>
      </c>
      <c r="AK64" s="99">
        <f t="shared" si="9"/>
        <v>46137</v>
      </c>
      <c r="AL64" s="99">
        <f t="shared" si="9"/>
        <v>46144</v>
      </c>
      <c r="AM64" s="99">
        <f t="shared" si="9"/>
        <v>46151</v>
      </c>
      <c r="AN64" s="99">
        <f t="shared" si="9"/>
        <v>46158</v>
      </c>
      <c r="AO64" s="99">
        <f t="shared" si="9"/>
        <v>46165</v>
      </c>
      <c r="AP64" s="99">
        <f t="shared" si="9"/>
        <v>46172</v>
      </c>
      <c r="AQ64" s="99">
        <f t="shared" si="9"/>
        <v>46179</v>
      </c>
      <c r="AR64" s="99">
        <f t="shared" si="9"/>
        <v>46186</v>
      </c>
      <c r="AS64" s="99">
        <f t="shared" si="9"/>
        <v>46193</v>
      </c>
      <c r="AT64" s="99">
        <f t="shared" si="9"/>
        <v>46200</v>
      </c>
    </row>
    <row r="65" spans="1:47" ht="15" customHeight="1">
      <c r="A65"/>
      <c r="B65"/>
      <c r="C65"/>
      <c r="D65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</row>
    <row r="66" spans="1:47" ht="15" customHeight="1">
      <c r="A66"/>
      <c r="B66"/>
      <c r="C66"/>
      <c r="D66"/>
      <c r="E66" s="6" t="s">
        <v>4</v>
      </c>
      <c r="F66" s="15" t="s">
        <v>5</v>
      </c>
      <c r="G66" s="6" t="s">
        <v>6</v>
      </c>
      <c r="H66" s="15" t="s">
        <v>7</v>
      </c>
      <c r="I66" s="6" t="s">
        <v>8</v>
      </c>
      <c r="J66" s="15" t="s">
        <v>9</v>
      </c>
      <c r="K66" s="27" t="s">
        <v>10</v>
      </c>
      <c r="L66" s="27" t="s">
        <v>10</v>
      </c>
      <c r="M66" s="6" t="s">
        <v>11</v>
      </c>
      <c r="N66" s="15" t="s">
        <v>12</v>
      </c>
      <c r="O66" s="6" t="s">
        <v>13</v>
      </c>
      <c r="P66" s="15" t="s">
        <v>14</v>
      </c>
      <c r="Q66" s="6" t="s">
        <v>15</v>
      </c>
      <c r="R66" s="6" t="s">
        <v>16</v>
      </c>
      <c r="S66" s="6" t="s">
        <v>17</v>
      </c>
      <c r="T66" s="27" t="s">
        <v>10</v>
      </c>
      <c r="U66" s="27" t="s">
        <v>10</v>
      </c>
      <c r="V66" s="15" t="s">
        <v>18</v>
      </c>
      <c r="W66" s="6" t="s">
        <v>19</v>
      </c>
      <c r="X66" s="15" t="s">
        <v>20</v>
      </c>
      <c r="Y66" s="6" t="s">
        <v>21</v>
      </c>
      <c r="Z66" s="15" t="s">
        <v>22</v>
      </c>
      <c r="AA66" s="6" t="s">
        <v>23</v>
      </c>
      <c r="AB66" s="15" t="s">
        <v>24</v>
      </c>
      <c r="AC66" s="27" t="s">
        <v>10</v>
      </c>
      <c r="AD66" s="27" t="s">
        <v>10</v>
      </c>
      <c r="AE66" s="6" t="s">
        <v>25</v>
      </c>
      <c r="AF66" s="15" t="s">
        <v>26</v>
      </c>
      <c r="AG66" s="6" t="s">
        <v>27</v>
      </c>
      <c r="AH66" s="6" t="s">
        <v>28</v>
      </c>
      <c r="AI66" s="15" t="s">
        <v>29</v>
      </c>
      <c r="AJ66" s="6" t="s">
        <v>30</v>
      </c>
      <c r="AK66" s="27" t="s">
        <v>10</v>
      </c>
      <c r="AL66" s="27" t="s">
        <v>10</v>
      </c>
      <c r="AM66" s="15" t="s">
        <v>31</v>
      </c>
      <c r="AN66" s="14" t="s">
        <v>32</v>
      </c>
      <c r="AO66" s="15" t="s">
        <v>33</v>
      </c>
      <c r="AP66" s="14" t="s">
        <v>34</v>
      </c>
      <c r="AQ66" s="14" t="s">
        <v>35</v>
      </c>
      <c r="AR66" s="14" t="s">
        <v>36</v>
      </c>
      <c r="AS66" s="14" t="s">
        <v>37</v>
      </c>
      <c r="AT66" s="14" t="s">
        <v>38</v>
      </c>
      <c r="AU66" s="1">
        <f>SUM(I66:AT66)</f>
        <v>0</v>
      </c>
    </row>
    <row r="67" spans="1:47" ht="15" customHeight="1">
      <c r="A67" s="102" t="s">
        <v>315</v>
      </c>
      <c r="B67" s="23">
        <v>1</v>
      </c>
      <c r="C67" s="11"/>
      <c r="D67" s="11"/>
      <c r="E67" s="47"/>
      <c r="F67" s="47"/>
      <c r="G67" s="47"/>
      <c r="H67" s="47"/>
      <c r="I67" s="47"/>
      <c r="J67" s="47"/>
      <c r="K67" s="49"/>
      <c r="L67" s="49"/>
      <c r="M67" s="47"/>
      <c r="N67" s="47"/>
      <c r="O67" s="47"/>
      <c r="P67" s="47"/>
      <c r="Q67" s="77"/>
      <c r="R67" s="47"/>
      <c r="S67" s="47"/>
      <c r="T67" s="49"/>
      <c r="U67" s="49"/>
      <c r="V67" s="47"/>
      <c r="W67" s="47"/>
      <c r="X67" s="47"/>
      <c r="Y67" s="47"/>
      <c r="Z67" s="47"/>
      <c r="AA67" s="47"/>
      <c r="AB67" s="47"/>
      <c r="AC67" s="49"/>
      <c r="AD67" s="49"/>
      <c r="AE67" s="47"/>
      <c r="AF67" s="47"/>
      <c r="AG67" s="47"/>
      <c r="AH67" s="48"/>
      <c r="AI67" s="48"/>
      <c r="AJ67" s="48"/>
      <c r="AK67" s="49"/>
      <c r="AL67" s="49"/>
      <c r="AM67" s="48"/>
      <c r="AN67" s="48"/>
      <c r="AO67" s="48"/>
      <c r="AP67" s="48"/>
      <c r="AQ67" s="48"/>
      <c r="AR67" s="48"/>
      <c r="AS67" s="48"/>
      <c r="AT67" s="48"/>
      <c r="AU67" s="1">
        <f t="shared" ref="AU67:AU83" si="10">SUM(I67:AT67)</f>
        <v>0</v>
      </c>
    </row>
    <row r="68" spans="1:47" ht="15" customHeight="1">
      <c r="A68" s="102"/>
      <c r="B68" s="23">
        <v>2</v>
      </c>
      <c r="C68" s="11"/>
      <c r="D68" s="11"/>
      <c r="E68" s="50"/>
      <c r="F68" s="50"/>
      <c r="G68" s="50"/>
      <c r="H68" s="50"/>
      <c r="I68" s="50"/>
      <c r="J68" s="50"/>
      <c r="K68" s="52"/>
      <c r="L68" s="52"/>
      <c r="M68" s="50"/>
      <c r="N68" s="50"/>
      <c r="O68" s="50"/>
      <c r="P68" s="50"/>
      <c r="Q68" s="78"/>
      <c r="R68" s="50"/>
      <c r="S68" s="50"/>
      <c r="T68" s="52"/>
      <c r="U68" s="52"/>
      <c r="V68" s="50"/>
      <c r="W68" s="50"/>
      <c r="X68" s="50"/>
      <c r="Y68" s="50"/>
      <c r="Z68" s="50"/>
      <c r="AA68" s="50"/>
      <c r="AB68" s="50"/>
      <c r="AC68" s="52"/>
      <c r="AD68" s="52"/>
      <c r="AE68" s="50"/>
      <c r="AF68" s="50"/>
      <c r="AG68" s="50"/>
      <c r="AH68" s="51"/>
      <c r="AI68" s="51"/>
      <c r="AJ68" s="51"/>
      <c r="AK68" s="52"/>
      <c r="AL68" s="52"/>
      <c r="AM68" s="51"/>
      <c r="AN68" s="51"/>
      <c r="AO68" s="51"/>
      <c r="AP68" s="51"/>
      <c r="AQ68" s="51"/>
      <c r="AR68" s="51"/>
      <c r="AS68" s="51"/>
      <c r="AT68" s="51"/>
      <c r="AU68" s="1">
        <f t="shared" si="10"/>
        <v>0</v>
      </c>
    </row>
    <row r="69" spans="1:47" ht="15" customHeight="1">
      <c r="A69" s="102"/>
      <c r="B69" s="23">
        <v>3</v>
      </c>
      <c r="C69" s="11"/>
      <c r="D69" s="11"/>
      <c r="E69" s="50"/>
      <c r="F69" s="50"/>
      <c r="G69" s="50"/>
      <c r="H69" s="50"/>
      <c r="I69" s="50"/>
      <c r="J69" s="50"/>
      <c r="K69" s="52"/>
      <c r="L69" s="52"/>
      <c r="M69" s="50"/>
      <c r="N69" s="50"/>
      <c r="O69" s="50"/>
      <c r="P69" s="50"/>
      <c r="Q69" s="78"/>
      <c r="R69" s="50"/>
      <c r="S69" s="50"/>
      <c r="T69" s="52"/>
      <c r="U69" s="52"/>
      <c r="V69" s="50"/>
      <c r="W69" s="50"/>
      <c r="X69" s="50"/>
      <c r="Y69" s="50"/>
      <c r="Z69" s="50"/>
      <c r="AA69" s="50"/>
      <c r="AB69" s="50"/>
      <c r="AC69" s="52"/>
      <c r="AD69" s="52"/>
      <c r="AE69" s="50"/>
      <c r="AF69" s="50"/>
      <c r="AG69" s="50"/>
      <c r="AH69" s="51"/>
      <c r="AI69" s="51"/>
      <c r="AJ69" s="51"/>
      <c r="AK69" s="52"/>
      <c r="AL69" s="52"/>
      <c r="AM69" s="51"/>
      <c r="AN69" s="51"/>
      <c r="AO69" s="51"/>
      <c r="AP69" s="51"/>
      <c r="AQ69" s="51"/>
      <c r="AR69" s="51"/>
      <c r="AS69" s="51"/>
      <c r="AT69" s="51"/>
      <c r="AU69" s="1">
        <f t="shared" si="10"/>
        <v>0</v>
      </c>
    </row>
    <row r="70" spans="1:47" ht="15" customHeight="1">
      <c r="A70" s="102"/>
      <c r="B70" s="23">
        <v>4</v>
      </c>
      <c r="C70" s="11"/>
      <c r="D70" s="11"/>
      <c r="E70" s="50"/>
      <c r="F70" s="50"/>
      <c r="G70" s="50"/>
      <c r="H70" s="50"/>
      <c r="I70" s="50"/>
      <c r="J70" s="50"/>
      <c r="K70" s="52"/>
      <c r="L70" s="52"/>
      <c r="M70" s="50"/>
      <c r="N70" s="50"/>
      <c r="O70" s="50"/>
      <c r="P70" s="50"/>
      <c r="Q70" s="78"/>
      <c r="R70" s="50"/>
      <c r="S70" s="50"/>
      <c r="T70" s="52"/>
      <c r="U70" s="52"/>
      <c r="V70" s="50"/>
      <c r="W70" s="50"/>
      <c r="X70" s="50"/>
      <c r="Y70" s="87"/>
      <c r="Z70" s="50"/>
      <c r="AA70" s="50"/>
      <c r="AB70" s="50"/>
      <c r="AC70" s="52"/>
      <c r="AD70" s="52"/>
      <c r="AE70" s="50"/>
      <c r="AF70" s="50"/>
      <c r="AG70" s="50"/>
      <c r="AH70" s="51"/>
      <c r="AI70" s="51"/>
      <c r="AJ70" s="51"/>
      <c r="AK70" s="52"/>
      <c r="AL70" s="52"/>
      <c r="AM70" s="51"/>
      <c r="AN70" s="51"/>
      <c r="AO70" s="51"/>
      <c r="AP70" s="51"/>
      <c r="AQ70" s="51"/>
      <c r="AR70" s="51"/>
      <c r="AS70" s="51"/>
      <c r="AT70" s="51"/>
      <c r="AU70" s="1">
        <f t="shared" si="10"/>
        <v>0</v>
      </c>
    </row>
    <row r="71" spans="1:47" ht="15" customHeight="1">
      <c r="A71" s="102"/>
      <c r="B71" s="23">
        <v>5</v>
      </c>
      <c r="C71" s="11"/>
      <c r="D71" s="11"/>
      <c r="E71" s="50"/>
      <c r="F71" s="50"/>
      <c r="G71" s="50"/>
      <c r="H71" s="50"/>
      <c r="I71" s="50"/>
      <c r="J71" s="50"/>
      <c r="K71" s="52"/>
      <c r="L71" s="52"/>
      <c r="M71" s="50"/>
      <c r="N71" s="50"/>
      <c r="O71" s="50"/>
      <c r="P71" s="50"/>
      <c r="Q71" s="78"/>
      <c r="R71" s="50"/>
      <c r="S71" s="50"/>
      <c r="T71" s="52"/>
      <c r="U71" s="52"/>
      <c r="V71" s="50"/>
      <c r="W71" s="50"/>
      <c r="X71" s="50"/>
      <c r="Y71" s="50"/>
      <c r="Z71" s="50"/>
      <c r="AA71" s="50"/>
      <c r="AB71" s="50"/>
      <c r="AC71" s="52"/>
      <c r="AD71" s="52"/>
      <c r="AE71" s="50"/>
      <c r="AF71" s="50"/>
      <c r="AG71" s="50"/>
      <c r="AH71" s="51"/>
      <c r="AI71" s="51"/>
      <c r="AJ71" s="51"/>
      <c r="AK71" s="52"/>
      <c r="AL71" s="52"/>
      <c r="AM71" s="51"/>
      <c r="AN71" s="51"/>
      <c r="AO71" s="51"/>
      <c r="AP71" s="51"/>
      <c r="AQ71" s="51"/>
      <c r="AR71" s="51"/>
      <c r="AS71" s="51"/>
      <c r="AT71" s="51"/>
      <c r="AU71" s="1">
        <f t="shared" si="10"/>
        <v>0</v>
      </c>
    </row>
    <row r="72" spans="1:47" ht="15" customHeight="1">
      <c r="A72" s="102"/>
      <c r="B72" s="23">
        <v>6</v>
      </c>
      <c r="C72" s="11"/>
      <c r="D72" s="11"/>
      <c r="E72" s="50"/>
      <c r="F72" s="50"/>
      <c r="G72" s="50"/>
      <c r="H72" s="50"/>
      <c r="I72" s="50"/>
      <c r="J72" s="50"/>
      <c r="K72" s="52"/>
      <c r="L72" s="52"/>
      <c r="M72" s="50"/>
      <c r="N72" s="50"/>
      <c r="O72" s="50"/>
      <c r="P72" s="50"/>
      <c r="Q72" s="78"/>
      <c r="R72" s="50"/>
      <c r="S72" s="50"/>
      <c r="T72" s="52"/>
      <c r="U72" s="52"/>
      <c r="V72" s="50"/>
      <c r="W72" s="50"/>
      <c r="X72" s="50"/>
      <c r="Y72" s="50"/>
      <c r="Z72" s="50"/>
      <c r="AA72" s="50"/>
      <c r="AB72" s="50"/>
      <c r="AC72" s="52"/>
      <c r="AD72" s="52"/>
      <c r="AE72" s="50"/>
      <c r="AF72" s="50"/>
      <c r="AG72" s="50"/>
      <c r="AH72" s="51"/>
      <c r="AI72" s="51"/>
      <c r="AJ72" s="51"/>
      <c r="AK72" s="52"/>
      <c r="AL72" s="52"/>
      <c r="AM72" s="51"/>
      <c r="AN72" s="51"/>
      <c r="AO72" s="51"/>
      <c r="AP72" s="51"/>
      <c r="AQ72" s="51"/>
      <c r="AR72" s="51"/>
      <c r="AS72" s="51"/>
      <c r="AT72" s="51"/>
      <c r="AU72" s="1">
        <f t="shared" si="10"/>
        <v>0</v>
      </c>
    </row>
    <row r="73" spans="1:47" ht="15" customHeight="1">
      <c r="A73" s="102"/>
      <c r="B73" s="23">
        <v>7</v>
      </c>
      <c r="C73" s="11"/>
      <c r="D73" s="11"/>
      <c r="E73" s="50"/>
      <c r="F73" s="50"/>
      <c r="G73" s="50"/>
      <c r="H73" s="50"/>
      <c r="I73" s="50"/>
      <c r="J73" s="50"/>
      <c r="K73" s="52"/>
      <c r="L73" s="52"/>
      <c r="M73" s="50"/>
      <c r="N73" s="50"/>
      <c r="O73" s="50"/>
      <c r="P73" s="50"/>
      <c r="Q73" s="78"/>
      <c r="R73" s="50"/>
      <c r="S73" s="50"/>
      <c r="T73" s="52"/>
      <c r="U73" s="52"/>
      <c r="V73" s="50"/>
      <c r="W73" s="50"/>
      <c r="X73" s="50"/>
      <c r="Y73" s="50"/>
      <c r="Z73" s="50"/>
      <c r="AA73" s="50"/>
      <c r="AB73" s="50"/>
      <c r="AC73" s="52"/>
      <c r="AD73" s="52"/>
      <c r="AE73" s="50"/>
      <c r="AF73" s="50"/>
      <c r="AG73" s="50"/>
      <c r="AH73" s="51"/>
      <c r="AI73" s="51"/>
      <c r="AJ73" s="51"/>
      <c r="AK73" s="52"/>
      <c r="AL73" s="52"/>
      <c r="AM73" s="51"/>
      <c r="AN73" s="51"/>
      <c r="AO73" s="51"/>
      <c r="AP73" s="51"/>
      <c r="AQ73" s="51"/>
      <c r="AR73" s="51"/>
      <c r="AS73" s="51"/>
      <c r="AT73" s="51"/>
      <c r="AU73" s="1">
        <f t="shared" si="10"/>
        <v>0</v>
      </c>
    </row>
    <row r="74" spans="1:47" ht="15" customHeight="1">
      <c r="A74" s="102"/>
      <c r="B74" s="23">
        <v>8</v>
      </c>
      <c r="C74" s="11"/>
      <c r="D74" s="11"/>
      <c r="E74" s="50"/>
      <c r="F74" s="50"/>
      <c r="G74" s="50"/>
      <c r="H74" s="50"/>
      <c r="I74" s="50"/>
      <c r="J74" s="50"/>
      <c r="K74" s="52"/>
      <c r="L74" s="52"/>
      <c r="M74" s="50"/>
      <c r="N74" s="50"/>
      <c r="O74" s="50"/>
      <c r="P74" s="50"/>
      <c r="Q74" s="78"/>
      <c r="R74" s="50"/>
      <c r="S74" s="50"/>
      <c r="T74" s="52"/>
      <c r="U74" s="52"/>
      <c r="V74" s="50"/>
      <c r="W74" s="50"/>
      <c r="X74" s="50"/>
      <c r="Y74" s="50"/>
      <c r="Z74" s="50"/>
      <c r="AA74" s="50"/>
      <c r="AB74" s="50"/>
      <c r="AC74" s="52"/>
      <c r="AD74" s="52"/>
      <c r="AE74" s="50"/>
      <c r="AF74" s="50"/>
      <c r="AG74" s="50"/>
      <c r="AH74" s="51"/>
      <c r="AI74" s="51"/>
      <c r="AJ74" s="51"/>
      <c r="AK74" s="52"/>
      <c r="AL74" s="52"/>
      <c r="AM74" s="51"/>
      <c r="AN74" s="51"/>
      <c r="AO74" s="51"/>
      <c r="AP74" s="51"/>
      <c r="AQ74" s="51"/>
      <c r="AR74" s="51"/>
      <c r="AS74" s="51"/>
      <c r="AT74" s="51"/>
      <c r="AU74" s="1">
        <f t="shared" si="10"/>
        <v>0</v>
      </c>
    </row>
    <row r="75" spans="1:47" ht="15" customHeight="1">
      <c r="B75" s="23">
        <v>9</v>
      </c>
      <c r="C75" s="11"/>
      <c r="D75" s="11"/>
      <c r="E75" s="47"/>
      <c r="F75" s="47"/>
      <c r="G75" s="47"/>
      <c r="H75" s="47"/>
      <c r="I75" s="47"/>
      <c r="J75" s="47"/>
      <c r="K75" s="49"/>
      <c r="L75" s="49"/>
      <c r="M75" s="47"/>
      <c r="N75" s="47"/>
      <c r="O75" s="47"/>
      <c r="P75" s="47"/>
      <c r="Q75" s="77"/>
      <c r="R75" s="47"/>
      <c r="S75" s="47"/>
      <c r="T75" s="49"/>
      <c r="U75" s="49"/>
      <c r="V75" s="47"/>
      <c r="W75" s="47"/>
      <c r="X75" s="47"/>
      <c r="Y75" s="47"/>
      <c r="Z75" s="47"/>
      <c r="AA75" s="47"/>
      <c r="AB75" s="47"/>
      <c r="AC75" s="49"/>
      <c r="AD75" s="49"/>
      <c r="AE75" s="47"/>
      <c r="AF75" s="47"/>
      <c r="AG75" s="47"/>
      <c r="AH75" s="48"/>
      <c r="AI75" s="48"/>
      <c r="AJ75" s="48"/>
      <c r="AK75" s="49"/>
      <c r="AL75" s="49"/>
      <c r="AM75" s="48"/>
      <c r="AN75" s="48"/>
      <c r="AO75" s="48"/>
      <c r="AP75" s="48"/>
      <c r="AQ75" s="48"/>
      <c r="AR75" s="48"/>
      <c r="AS75" s="48"/>
      <c r="AT75" s="48"/>
      <c r="AU75" s="1">
        <f t="shared" si="10"/>
        <v>0</v>
      </c>
    </row>
    <row r="76" spans="1:47" ht="15" customHeight="1">
      <c r="B76" s="23">
        <v>10</v>
      </c>
      <c r="C76" s="11"/>
      <c r="D76" s="11"/>
      <c r="E76" s="50"/>
      <c r="F76" s="50"/>
      <c r="G76" s="50"/>
      <c r="H76" s="50"/>
      <c r="I76" s="50"/>
      <c r="J76" s="50"/>
      <c r="K76" s="52"/>
      <c r="L76" s="52"/>
      <c r="M76" s="50"/>
      <c r="N76" s="50"/>
      <c r="O76" s="50"/>
      <c r="P76" s="50"/>
      <c r="Q76" s="78"/>
      <c r="R76" s="50"/>
      <c r="S76" s="50"/>
      <c r="T76" s="52"/>
      <c r="U76" s="52"/>
      <c r="V76" s="50"/>
      <c r="W76" s="50"/>
      <c r="X76" s="50"/>
      <c r="Y76" s="50"/>
      <c r="Z76" s="50"/>
      <c r="AA76" s="50"/>
      <c r="AB76" s="50"/>
      <c r="AC76" s="52"/>
      <c r="AD76" s="52"/>
      <c r="AE76" s="50"/>
      <c r="AF76" s="50"/>
      <c r="AG76" s="50"/>
      <c r="AH76" s="51"/>
      <c r="AI76" s="51"/>
      <c r="AJ76" s="51"/>
      <c r="AK76" s="52"/>
      <c r="AL76" s="52"/>
      <c r="AM76" s="51"/>
      <c r="AN76" s="51"/>
      <c r="AO76" s="51"/>
      <c r="AP76" s="51"/>
      <c r="AQ76" s="51"/>
      <c r="AR76" s="51"/>
      <c r="AS76" s="51"/>
      <c r="AT76" s="51"/>
      <c r="AU76" s="1">
        <f t="shared" si="10"/>
        <v>0</v>
      </c>
    </row>
    <row r="77" spans="1:47" ht="15" customHeight="1">
      <c r="B77" s="23">
        <v>11</v>
      </c>
      <c r="C77" s="11"/>
      <c r="D77" s="11"/>
      <c r="E77" s="50"/>
      <c r="F77" s="50"/>
      <c r="G77" s="50"/>
      <c r="H77" s="50"/>
      <c r="I77" s="50"/>
      <c r="J77" s="50"/>
      <c r="K77" s="52"/>
      <c r="L77" s="52"/>
      <c r="M77" s="50"/>
      <c r="N77" s="50"/>
      <c r="O77" s="50"/>
      <c r="P77" s="50"/>
      <c r="Q77" s="78"/>
      <c r="R77" s="50"/>
      <c r="S77" s="50"/>
      <c r="T77" s="52"/>
      <c r="U77" s="52"/>
      <c r="V77" s="50"/>
      <c r="W77" s="50"/>
      <c r="X77" s="50"/>
      <c r="Y77" s="50"/>
      <c r="Z77" s="50"/>
      <c r="AA77" s="50"/>
      <c r="AB77" s="50"/>
      <c r="AC77" s="52"/>
      <c r="AD77" s="52"/>
      <c r="AE77" s="50"/>
      <c r="AF77" s="50"/>
      <c r="AG77" s="50"/>
      <c r="AH77" s="51"/>
      <c r="AI77" s="51"/>
      <c r="AJ77" s="51"/>
      <c r="AK77" s="52"/>
      <c r="AL77" s="52"/>
      <c r="AM77" s="51"/>
      <c r="AN77" s="51"/>
      <c r="AO77" s="51"/>
      <c r="AP77" s="51"/>
      <c r="AQ77" s="51"/>
      <c r="AR77" s="51"/>
      <c r="AS77" s="51"/>
      <c r="AT77" s="51"/>
      <c r="AU77" s="1">
        <f t="shared" si="10"/>
        <v>0</v>
      </c>
    </row>
    <row r="78" spans="1:47" ht="15" customHeight="1">
      <c r="B78" s="23">
        <v>12</v>
      </c>
      <c r="C78" s="11"/>
      <c r="D78" s="11"/>
      <c r="E78" s="50"/>
      <c r="F78" s="50"/>
      <c r="G78" s="50"/>
      <c r="H78" s="50"/>
      <c r="I78" s="50"/>
      <c r="J78" s="50"/>
      <c r="K78" s="52"/>
      <c r="L78" s="52"/>
      <c r="M78" s="50"/>
      <c r="N78" s="50"/>
      <c r="O78" s="50"/>
      <c r="P78" s="50"/>
      <c r="Q78" s="78"/>
      <c r="R78" s="50"/>
      <c r="S78" s="50"/>
      <c r="T78" s="52"/>
      <c r="U78" s="52"/>
      <c r="V78" s="50"/>
      <c r="W78" s="50"/>
      <c r="X78" s="50"/>
      <c r="Y78" s="50"/>
      <c r="Z78" s="50"/>
      <c r="AA78" s="50"/>
      <c r="AB78" s="50"/>
      <c r="AC78" s="52"/>
      <c r="AD78" s="52"/>
      <c r="AE78" s="50"/>
      <c r="AF78" s="50"/>
      <c r="AG78" s="50"/>
      <c r="AH78" s="51"/>
      <c r="AI78" s="51"/>
      <c r="AJ78" s="51"/>
      <c r="AK78" s="52"/>
      <c r="AL78" s="52"/>
      <c r="AM78" s="51"/>
      <c r="AN78" s="51"/>
      <c r="AO78" s="51"/>
      <c r="AP78" s="51"/>
      <c r="AQ78" s="51"/>
      <c r="AR78" s="51"/>
      <c r="AS78" s="51"/>
      <c r="AT78" s="51"/>
      <c r="AU78" s="1">
        <f t="shared" si="10"/>
        <v>0</v>
      </c>
    </row>
    <row r="79" spans="1:47" ht="15" customHeight="1">
      <c r="B79" s="23">
        <v>13</v>
      </c>
      <c r="C79" s="11"/>
      <c r="D79" s="11"/>
      <c r="E79" s="50"/>
      <c r="F79" s="50"/>
      <c r="G79" s="50"/>
      <c r="H79" s="50"/>
      <c r="I79" s="50"/>
      <c r="J79" s="50"/>
      <c r="K79" s="52"/>
      <c r="L79" s="52"/>
      <c r="M79" s="50"/>
      <c r="N79" s="50"/>
      <c r="O79" s="50"/>
      <c r="P79" s="50"/>
      <c r="Q79" s="78"/>
      <c r="R79" s="50"/>
      <c r="S79" s="50"/>
      <c r="T79" s="52"/>
      <c r="U79" s="52"/>
      <c r="V79" s="50"/>
      <c r="W79" s="50"/>
      <c r="X79" s="50"/>
      <c r="Y79" s="50"/>
      <c r="Z79" s="50"/>
      <c r="AA79" s="50"/>
      <c r="AB79" s="50"/>
      <c r="AC79" s="52"/>
      <c r="AD79" s="52"/>
      <c r="AE79" s="50"/>
      <c r="AF79" s="50"/>
      <c r="AG79" s="50"/>
      <c r="AH79" s="51"/>
      <c r="AI79" s="51"/>
      <c r="AJ79" s="51"/>
      <c r="AK79" s="52"/>
      <c r="AL79" s="52"/>
      <c r="AM79" s="51"/>
      <c r="AN79" s="51"/>
      <c r="AO79" s="51"/>
      <c r="AP79" s="51"/>
      <c r="AQ79" s="51"/>
      <c r="AR79" s="51"/>
      <c r="AS79" s="51"/>
      <c r="AT79" s="51"/>
      <c r="AU79" s="1">
        <f t="shared" si="10"/>
        <v>0</v>
      </c>
    </row>
    <row r="80" spans="1:47" ht="15" customHeight="1">
      <c r="B80" s="23">
        <v>14</v>
      </c>
      <c r="C80" s="11"/>
      <c r="D80" s="11"/>
      <c r="E80" s="50"/>
      <c r="F80" s="50"/>
      <c r="G80" s="50"/>
      <c r="H80" s="50"/>
      <c r="I80" s="50"/>
      <c r="J80" s="50"/>
      <c r="K80" s="52"/>
      <c r="L80" s="52"/>
      <c r="M80" s="50"/>
      <c r="N80" s="50"/>
      <c r="O80" s="50"/>
      <c r="P80" s="50"/>
      <c r="Q80" s="78"/>
      <c r="R80" s="50"/>
      <c r="S80" s="50"/>
      <c r="T80" s="52"/>
      <c r="U80" s="52"/>
      <c r="V80" s="50"/>
      <c r="W80" s="50"/>
      <c r="X80" s="50"/>
      <c r="Y80" s="50"/>
      <c r="Z80" s="50"/>
      <c r="AA80" s="50"/>
      <c r="AB80" s="50"/>
      <c r="AC80" s="52"/>
      <c r="AD80" s="52"/>
      <c r="AE80" s="50"/>
      <c r="AF80" s="50"/>
      <c r="AG80" s="50"/>
      <c r="AH80" s="51"/>
      <c r="AI80" s="51"/>
      <c r="AJ80" s="51"/>
      <c r="AK80" s="52"/>
      <c r="AL80" s="52"/>
      <c r="AM80" s="51"/>
      <c r="AN80" s="51"/>
      <c r="AO80" s="51"/>
      <c r="AP80" s="51"/>
      <c r="AQ80" s="51"/>
      <c r="AR80" s="51"/>
      <c r="AS80" s="51"/>
      <c r="AT80" s="51"/>
      <c r="AU80" s="1">
        <f t="shared" si="10"/>
        <v>0</v>
      </c>
    </row>
    <row r="81" spans="2:47" ht="15" customHeight="1">
      <c r="B81" s="23">
        <v>15</v>
      </c>
      <c r="C81" s="11"/>
      <c r="D81" s="11"/>
      <c r="E81" s="50"/>
      <c r="F81" s="50"/>
      <c r="G81" s="50"/>
      <c r="H81" s="50"/>
      <c r="I81" s="50"/>
      <c r="J81" s="50"/>
      <c r="K81" s="52"/>
      <c r="L81" s="52"/>
      <c r="M81" s="50"/>
      <c r="N81" s="50"/>
      <c r="O81" s="50"/>
      <c r="P81" s="50"/>
      <c r="Q81" s="78"/>
      <c r="R81" s="50"/>
      <c r="S81" s="50"/>
      <c r="T81" s="52"/>
      <c r="U81" s="52"/>
      <c r="V81" s="50"/>
      <c r="W81" s="50"/>
      <c r="X81" s="50"/>
      <c r="Y81" s="50"/>
      <c r="Z81" s="50"/>
      <c r="AA81" s="50"/>
      <c r="AB81" s="50"/>
      <c r="AC81" s="52"/>
      <c r="AD81" s="52"/>
      <c r="AE81" s="50"/>
      <c r="AF81" s="50"/>
      <c r="AG81" s="50"/>
      <c r="AH81" s="51"/>
      <c r="AI81" s="51"/>
      <c r="AJ81" s="51"/>
      <c r="AK81" s="52"/>
      <c r="AL81" s="52"/>
      <c r="AM81" s="51"/>
      <c r="AN81" s="51"/>
      <c r="AO81" s="51"/>
      <c r="AP81" s="51"/>
      <c r="AQ81" s="51"/>
      <c r="AR81" s="51"/>
      <c r="AS81" s="51"/>
      <c r="AT81" s="51"/>
      <c r="AU81" s="1">
        <f t="shared" si="10"/>
        <v>0</v>
      </c>
    </row>
    <row r="82" spans="2:47" ht="15" customHeight="1">
      <c r="B82" s="23">
        <v>16</v>
      </c>
      <c r="C82" s="11"/>
      <c r="D82" s="11"/>
      <c r="E82" s="50"/>
      <c r="F82" s="50"/>
      <c r="G82" s="50"/>
      <c r="H82" s="50"/>
      <c r="I82" s="50"/>
      <c r="J82" s="50"/>
      <c r="K82" s="52"/>
      <c r="L82" s="52"/>
      <c r="M82" s="50"/>
      <c r="N82" s="50"/>
      <c r="O82" s="50"/>
      <c r="P82" s="50"/>
      <c r="Q82" s="78"/>
      <c r="R82" s="50"/>
      <c r="S82" s="50"/>
      <c r="T82" s="52"/>
      <c r="U82" s="52"/>
      <c r="V82" s="50"/>
      <c r="W82" s="50"/>
      <c r="X82" s="50"/>
      <c r="Y82" s="50"/>
      <c r="Z82" s="50"/>
      <c r="AA82" s="50"/>
      <c r="AB82" s="50"/>
      <c r="AC82" s="52"/>
      <c r="AD82" s="52"/>
      <c r="AE82" s="50"/>
      <c r="AF82" s="50"/>
      <c r="AG82" s="50"/>
      <c r="AH82" s="51"/>
      <c r="AI82" s="51"/>
      <c r="AJ82" s="51"/>
      <c r="AK82" s="52"/>
      <c r="AL82" s="52"/>
      <c r="AM82" s="51"/>
      <c r="AN82" s="51"/>
      <c r="AO82" s="51"/>
      <c r="AP82" s="51"/>
      <c r="AQ82" s="51"/>
      <c r="AR82" s="51"/>
      <c r="AS82" s="51"/>
      <c r="AT82" s="51"/>
      <c r="AU82" s="1">
        <f t="shared" si="10"/>
        <v>0</v>
      </c>
    </row>
    <row r="83" spans="2:47" ht="15" customHeight="1">
      <c r="B83" s="22"/>
      <c r="C83" s="12" t="s">
        <v>84</v>
      </c>
      <c r="D83" s="11"/>
      <c r="E83" s="8">
        <f>COUNTIF(E67:E82,"1")</f>
        <v>0</v>
      </c>
      <c r="F83" s="8">
        <f t="shared" ref="F83:AT83" si="11">COUNTIF(F67:F82,"1")</f>
        <v>0</v>
      </c>
      <c r="G83" s="8">
        <f t="shared" si="11"/>
        <v>0</v>
      </c>
      <c r="H83" s="8">
        <f t="shared" si="11"/>
        <v>0</v>
      </c>
      <c r="I83" s="8">
        <f t="shared" si="11"/>
        <v>0</v>
      </c>
      <c r="J83" s="8">
        <f t="shared" si="11"/>
        <v>0</v>
      </c>
      <c r="K83" s="8">
        <f t="shared" si="11"/>
        <v>0</v>
      </c>
      <c r="L83" s="8">
        <f t="shared" si="11"/>
        <v>0</v>
      </c>
      <c r="M83" s="8">
        <f t="shared" si="11"/>
        <v>0</v>
      </c>
      <c r="N83" s="8">
        <f t="shared" si="11"/>
        <v>0</v>
      </c>
      <c r="O83" s="8">
        <f t="shared" si="11"/>
        <v>0</v>
      </c>
      <c r="P83" s="8">
        <f t="shared" si="11"/>
        <v>0</v>
      </c>
      <c r="Q83" s="8">
        <f t="shared" si="11"/>
        <v>0</v>
      </c>
      <c r="R83" s="8">
        <f t="shared" si="11"/>
        <v>0</v>
      </c>
      <c r="S83" s="8">
        <f t="shared" si="11"/>
        <v>0</v>
      </c>
      <c r="T83" s="8">
        <f t="shared" si="11"/>
        <v>0</v>
      </c>
      <c r="U83" s="8">
        <f t="shared" si="11"/>
        <v>0</v>
      </c>
      <c r="V83" s="8">
        <f t="shared" si="11"/>
        <v>0</v>
      </c>
      <c r="W83" s="8">
        <f t="shared" si="11"/>
        <v>0</v>
      </c>
      <c r="X83" s="8">
        <f t="shared" si="11"/>
        <v>0</v>
      </c>
      <c r="Y83" s="8">
        <f t="shared" si="11"/>
        <v>0</v>
      </c>
      <c r="Z83" s="8">
        <f t="shared" si="11"/>
        <v>0</v>
      </c>
      <c r="AA83" s="8">
        <f t="shared" si="11"/>
        <v>0</v>
      </c>
      <c r="AB83" s="8">
        <f t="shared" si="11"/>
        <v>0</v>
      </c>
      <c r="AC83" s="8">
        <f t="shared" si="11"/>
        <v>0</v>
      </c>
      <c r="AD83" s="8">
        <f t="shared" si="11"/>
        <v>0</v>
      </c>
      <c r="AE83" s="8">
        <f t="shared" si="11"/>
        <v>0</v>
      </c>
      <c r="AF83" s="8">
        <f t="shared" si="11"/>
        <v>0</v>
      </c>
      <c r="AG83" s="8">
        <f t="shared" si="11"/>
        <v>0</v>
      </c>
      <c r="AH83" s="8">
        <f t="shared" si="11"/>
        <v>0</v>
      </c>
      <c r="AI83" s="8">
        <f t="shared" si="11"/>
        <v>0</v>
      </c>
      <c r="AJ83" s="8">
        <f t="shared" si="11"/>
        <v>0</v>
      </c>
      <c r="AK83" s="8">
        <f t="shared" si="11"/>
        <v>0</v>
      </c>
      <c r="AL83" s="8">
        <f t="shared" si="11"/>
        <v>0</v>
      </c>
      <c r="AM83" s="8">
        <f t="shared" si="11"/>
        <v>0</v>
      </c>
      <c r="AN83" s="8">
        <f t="shared" si="11"/>
        <v>0</v>
      </c>
      <c r="AO83" s="8">
        <f t="shared" si="11"/>
        <v>0</v>
      </c>
      <c r="AP83" s="8">
        <f t="shared" si="11"/>
        <v>0</v>
      </c>
      <c r="AQ83" s="8">
        <f t="shared" si="11"/>
        <v>0</v>
      </c>
      <c r="AR83" s="8">
        <f t="shared" si="11"/>
        <v>0</v>
      </c>
      <c r="AS83" s="8">
        <f t="shared" si="11"/>
        <v>0</v>
      </c>
      <c r="AT83" s="8">
        <f t="shared" si="11"/>
        <v>0</v>
      </c>
      <c r="AU83" s="1">
        <f t="shared" si="10"/>
        <v>0</v>
      </c>
    </row>
    <row r="85" spans="2:47" ht="15" customHeight="1">
      <c r="C85" s="71">
        <f>SUM(B23+B43+B63)</f>
        <v>40</v>
      </c>
    </row>
  </sheetData>
  <sortState xmlns:xlrd2="http://schemas.microsoft.com/office/spreadsheetml/2017/richdata2" ref="C47:G60">
    <sortCondition ref="D47:D60"/>
  </sortState>
  <mergeCells count="174">
    <mergeCell ref="AT64:AT65"/>
    <mergeCell ref="A67:A74"/>
    <mergeCell ref="AN64:AN65"/>
    <mergeCell ref="AO64:AO65"/>
    <mergeCell ref="AP64:AP65"/>
    <mergeCell ref="AQ64:AQ65"/>
    <mergeCell ref="AR64:AR65"/>
    <mergeCell ref="AS64:AS65"/>
    <mergeCell ref="AH64:AH65"/>
    <mergeCell ref="AI64:AI65"/>
    <mergeCell ref="AJ64:AJ65"/>
    <mergeCell ref="AK64:AK65"/>
    <mergeCell ref="AL64:AL65"/>
    <mergeCell ref="AM64:AM65"/>
    <mergeCell ref="AB64:AB65"/>
    <mergeCell ref="AC64:AC65"/>
    <mergeCell ref="AD64:AD65"/>
    <mergeCell ref="AE64:AE65"/>
    <mergeCell ref="AF64:AF65"/>
    <mergeCell ref="AG64:AG65"/>
    <mergeCell ref="V64:V65"/>
    <mergeCell ref="W64:W65"/>
    <mergeCell ref="X64:X65"/>
    <mergeCell ref="Y64:Y65"/>
    <mergeCell ref="Z64:Z65"/>
    <mergeCell ref="AA64:AA65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AQ44:AQ45"/>
    <mergeCell ref="AR44:AR45"/>
    <mergeCell ref="AS44:AS45"/>
    <mergeCell ref="AT44:AT45"/>
    <mergeCell ref="A47:A54"/>
    <mergeCell ref="E64:E65"/>
    <mergeCell ref="F64:F65"/>
    <mergeCell ref="G64:G65"/>
    <mergeCell ref="H64:H65"/>
    <mergeCell ref="I64:I65"/>
    <mergeCell ref="AK44:AK45"/>
    <mergeCell ref="AL44:AL45"/>
    <mergeCell ref="AM44:AM45"/>
    <mergeCell ref="AN44:AN45"/>
    <mergeCell ref="AO44:AO45"/>
    <mergeCell ref="AP44:AP45"/>
    <mergeCell ref="AE44:AE45"/>
    <mergeCell ref="AF44:AF45"/>
    <mergeCell ref="AG44:AG45"/>
    <mergeCell ref="AH44:AH45"/>
    <mergeCell ref="AI44:AI45"/>
    <mergeCell ref="AJ44:AJ45"/>
    <mergeCell ref="Y44:Y45"/>
    <mergeCell ref="Z44:Z45"/>
    <mergeCell ref="AA44:AA45"/>
    <mergeCell ref="AB44:AB45"/>
    <mergeCell ref="AC44:AC45"/>
    <mergeCell ref="AD44:AD45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AT24:AT25"/>
    <mergeCell ref="A27:A34"/>
    <mergeCell ref="E44:E45"/>
    <mergeCell ref="F44:F45"/>
    <mergeCell ref="G44:G45"/>
    <mergeCell ref="H44:H45"/>
    <mergeCell ref="I44:I45"/>
    <mergeCell ref="J44:J45"/>
    <mergeCell ref="K44:K45"/>
    <mergeCell ref="L44:L45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AB24:AB25"/>
    <mergeCell ref="AC24:AC25"/>
    <mergeCell ref="AD24:AD25"/>
    <mergeCell ref="AE24:AE25"/>
    <mergeCell ref="AF24:AF25"/>
    <mergeCell ref="AG24:AG25"/>
    <mergeCell ref="X24:X25"/>
    <mergeCell ref="Y24:Y25"/>
    <mergeCell ref="Z24:Z25"/>
    <mergeCell ref="AA24:AA25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AR4:AR5"/>
    <mergeCell ref="AS4:AS5"/>
    <mergeCell ref="AT4:AT5"/>
    <mergeCell ref="AN4:AN5"/>
    <mergeCell ref="AO4:AO5"/>
    <mergeCell ref="AP4:AP5"/>
    <mergeCell ref="AQ4:AQ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V24:V25"/>
    <mergeCell ref="W24:W25"/>
    <mergeCell ref="A6:A13"/>
    <mergeCell ref="A14:A22"/>
    <mergeCell ref="E24:E25"/>
    <mergeCell ref="F24:F25"/>
    <mergeCell ref="G24:G25"/>
    <mergeCell ref="H24:H25"/>
    <mergeCell ref="I24:I25"/>
    <mergeCell ref="AL4:AL5"/>
    <mergeCell ref="AM4:AM5"/>
    <mergeCell ref="AF4:AF5"/>
    <mergeCell ref="AG4:AG5"/>
    <mergeCell ref="AH4:AH5"/>
    <mergeCell ref="AI4:AI5"/>
    <mergeCell ref="AJ4:AJ5"/>
    <mergeCell ref="AK4:AK5"/>
    <mergeCell ref="Z4:Z5"/>
    <mergeCell ref="AA4:AA5"/>
    <mergeCell ref="AB4:AB5"/>
    <mergeCell ref="AC4:AC5"/>
    <mergeCell ref="AD4:AD5"/>
    <mergeCell ref="AE4:AE5"/>
    <mergeCell ref="T4:T5"/>
    <mergeCell ref="U4:U5"/>
    <mergeCell ref="V4:V5"/>
    <mergeCell ref="C1:AP3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83" orientation="portrait"/>
  <rowBreaks count="1" manualBreakCount="1">
    <brk id="4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EE6F-9CD1-401D-B1C2-50CC5701F3BF}">
  <sheetPr>
    <tabColor theme="4" tint="-0.499984740745262"/>
    <pageSetUpPr fitToPage="1"/>
  </sheetPr>
  <dimension ref="A1:AV45"/>
  <sheetViews>
    <sheetView topLeftCell="A19" workbookViewId="0">
      <selection activeCell="AB47" sqref="AB47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33.42578125" style="4" bestFit="1" customWidth="1"/>
    <col min="4" max="4" width="4.28515625" style="4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8" ht="14.45" customHeight="1">
      <c r="C1" s="101" t="s">
        <v>351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8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8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8" ht="21" customHeight="1">
      <c r="B4" s="22"/>
      <c r="C4" s="13"/>
      <c r="D4" s="13"/>
      <c r="E4" s="99">
        <v>45913</v>
      </c>
      <c r="F4" s="99">
        <f>E4+7</f>
        <v>45920</v>
      </c>
      <c r="G4" s="99">
        <f t="shared" ref="G4:AT4" si="0">F4+7</f>
        <v>45927</v>
      </c>
      <c r="H4" s="99">
        <f t="shared" si="0"/>
        <v>45934</v>
      </c>
      <c r="I4" s="99">
        <f t="shared" si="0"/>
        <v>45941</v>
      </c>
      <c r="J4" s="99">
        <f t="shared" si="0"/>
        <v>45948</v>
      </c>
      <c r="K4" s="99">
        <f t="shared" si="0"/>
        <v>45955</v>
      </c>
      <c r="L4" s="99">
        <f t="shared" si="0"/>
        <v>45962</v>
      </c>
      <c r="M4" s="99">
        <f t="shared" si="0"/>
        <v>45969</v>
      </c>
      <c r="N4" s="99">
        <f t="shared" si="0"/>
        <v>45976</v>
      </c>
      <c r="O4" s="99">
        <f t="shared" si="0"/>
        <v>45983</v>
      </c>
      <c r="P4" s="99">
        <f t="shared" si="0"/>
        <v>45990</v>
      </c>
      <c r="Q4" s="99">
        <f t="shared" si="0"/>
        <v>45997</v>
      </c>
      <c r="R4" s="99">
        <f t="shared" si="0"/>
        <v>46004</v>
      </c>
      <c r="S4" s="99">
        <f t="shared" si="0"/>
        <v>46011</v>
      </c>
      <c r="T4" s="99">
        <f t="shared" si="0"/>
        <v>46018</v>
      </c>
      <c r="U4" s="99">
        <f t="shared" si="0"/>
        <v>46025</v>
      </c>
      <c r="V4" s="99">
        <f t="shared" si="0"/>
        <v>46032</v>
      </c>
      <c r="W4" s="99">
        <f t="shared" si="0"/>
        <v>46039</v>
      </c>
      <c r="X4" s="99">
        <f t="shared" si="0"/>
        <v>46046</v>
      </c>
      <c r="Y4" s="99">
        <f t="shared" si="0"/>
        <v>46053</v>
      </c>
      <c r="Z4" s="99">
        <f t="shared" si="0"/>
        <v>46060</v>
      </c>
      <c r="AA4" s="99">
        <f t="shared" si="0"/>
        <v>46067</v>
      </c>
      <c r="AB4" s="99">
        <f t="shared" si="0"/>
        <v>46074</v>
      </c>
      <c r="AC4" s="99">
        <f t="shared" si="0"/>
        <v>46081</v>
      </c>
      <c r="AD4" s="99">
        <f t="shared" si="0"/>
        <v>46088</v>
      </c>
      <c r="AE4" s="99">
        <f t="shared" si="0"/>
        <v>46095</v>
      </c>
      <c r="AF4" s="99">
        <f t="shared" si="0"/>
        <v>46102</v>
      </c>
      <c r="AG4" s="99">
        <f t="shared" si="0"/>
        <v>46109</v>
      </c>
      <c r="AH4" s="99">
        <f t="shared" si="0"/>
        <v>46116</v>
      </c>
      <c r="AI4" s="99">
        <f t="shared" si="0"/>
        <v>46123</v>
      </c>
      <c r="AJ4" s="99">
        <f t="shared" si="0"/>
        <v>46130</v>
      </c>
      <c r="AK4" s="99">
        <f t="shared" si="0"/>
        <v>46137</v>
      </c>
      <c r="AL4" s="99">
        <f t="shared" si="0"/>
        <v>46144</v>
      </c>
      <c r="AM4" s="99">
        <f t="shared" si="0"/>
        <v>46151</v>
      </c>
      <c r="AN4" s="99">
        <f t="shared" si="0"/>
        <v>46158</v>
      </c>
      <c r="AO4" s="99">
        <f t="shared" si="0"/>
        <v>46165</v>
      </c>
      <c r="AP4" s="99">
        <f t="shared" si="0"/>
        <v>46172</v>
      </c>
      <c r="AQ4" s="99">
        <f t="shared" si="0"/>
        <v>46179</v>
      </c>
      <c r="AR4" s="99">
        <f t="shared" si="0"/>
        <v>46186</v>
      </c>
      <c r="AS4" s="99">
        <f t="shared" si="0"/>
        <v>46193</v>
      </c>
      <c r="AT4" s="99">
        <f t="shared" si="0"/>
        <v>46200</v>
      </c>
    </row>
    <row r="5" spans="1:48" ht="21" customHeight="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8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>
        <f>SUM(I6:AT6)</f>
        <v>0</v>
      </c>
    </row>
    <row r="7" spans="1:48">
      <c r="A7" s="102"/>
      <c r="B7" s="23">
        <v>1</v>
      </c>
      <c r="C7" s="24" t="s">
        <v>352</v>
      </c>
      <c r="D7" s="9" t="s">
        <v>110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9"/>
      <c r="L7" s="49"/>
      <c r="M7" s="47">
        <v>1</v>
      </c>
      <c r="N7" s="47">
        <v>0</v>
      </c>
      <c r="O7" s="47">
        <v>1</v>
      </c>
      <c r="P7" s="47">
        <v>0</v>
      </c>
      <c r="Q7" s="77">
        <v>0</v>
      </c>
      <c r="R7" s="47">
        <v>1</v>
      </c>
      <c r="S7" s="47">
        <v>1</v>
      </c>
      <c r="T7" s="49"/>
      <c r="U7" s="49"/>
      <c r="V7" s="47">
        <v>1</v>
      </c>
      <c r="W7" s="47">
        <v>0</v>
      </c>
      <c r="X7" s="47">
        <v>1</v>
      </c>
      <c r="Y7" s="47">
        <v>1</v>
      </c>
      <c r="Z7" s="47">
        <v>0</v>
      </c>
      <c r="AA7" s="47">
        <v>1</v>
      </c>
      <c r="AB7" s="47"/>
      <c r="AC7" s="49"/>
      <c r="AD7" s="49">
        <v>1</v>
      </c>
      <c r="AE7" s="47">
        <v>1</v>
      </c>
      <c r="AF7" s="47">
        <v>0</v>
      </c>
      <c r="AG7" s="47"/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 t="shared" ref="AU7:AU23" si="1">SUM(I7:AT7)</f>
        <v>12</v>
      </c>
    </row>
    <row r="8" spans="1:48">
      <c r="A8" s="102"/>
      <c r="B8" s="23">
        <v>2</v>
      </c>
      <c r="C8" s="33" t="s">
        <v>353</v>
      </c>
      <c r="D8" s="9" t="s">
        <v>110</v>
      </c>
      <c r="E8" s="50">
        <v>1</v>
      </c>
      <c r="F8" s="50">
        <v>1</v>
      </c>
      <c r="G8" s="50">
        <v>1</v>
      </c>
      <c r="H8" s="50">
        <v>0</v>
      </c>
      <c r="I8" s="50">
        <v>0</v>
      </c>
      <c r="J8" s="50">
        <v>0</v>
      </c>
      <c r="K8" s="52"/>
      <c r="L8" s="52"/>
      <c r="M8" s="50">
        <v>1</v>
      </c>
      <c r="N8" s="50">
        <v>0</v>
      </c>
      <c r="O8" s="50">
        <v>1</v>
      </c>
      <c r="P8" s="50">
        <v>0</v>
      </c>
      <c r="Q8" s="78">
        <v>0</v>
      </c>
      <c r="R8" s="50">
        <v>1</v>
      </c>
      <c r="S8" s="50">
        <v>0</v>
      </c>
      <c r="T8" s="52"/>
      <c r="U8" s="52"/>
      <c r="V8" s="50">
        <v>1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/>
      <c r="AC8" s="52"/>
      <c r="AD8" s="52">
        <v>1</v>
      </c>
      <c r="AE8" s="50">
        <v>0</v>
      </c>
      <c r="AF8" s="50">
        <v>0</v>
      </c>
      <c r="AG8" s="50"/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si="1"/>
        <v>5</v>
      </c>
    </row>
    <row r="9" spans="1:48">
      <c r="A9" s="102"/>
      <c r="B9" s="23">
        <v>3</v>
      </c>
      <c r="C9" s="24" t="s">
        <v>354</v>
      </c>
      <c r="D9" s="9" t="s">
        <v>114</v>
      </c>
      <c r="E9" s="50">
        <v>1</v>
      </c>
      <c r="F9" s="50">
        <v>1</v>
      </c>
      <c r="G9" s="50">
        <v>0</v>
      </c>
      <c r="H9" s="50">
        <v>1</v>
      </c>
      <c r="I9" s="50">
        <v>0</v>
      </c>
      <c r="J9" s="50">
        <v>1</v>
      </c>
      <c r="K9" s="52"/>
      <c r="L9" s="52"/>
      <c r="M9" s="50">
        <v>1</v>
      </c>
      <c r="N9" s="50">
        <v>1</v>
      </c>
      <c r="O9" s="50">
        <v>0</v>
      </c>
      <c r="P9" s="50">
        <v>0</v>
      </c>
      <c r="Q9" s="78">
        <v>1</v>
      </c>
      <c r="R9" s="50">
        <v>1</v>
      </c>
      <c r="S9" s="50">
        <v>1</v>
      </c>
      <c r="T9" s="52"/>
      <c r="U9" s="52"/>
      <c r="V9" s="50">
        <v>1</v>
      </c>
      <c r="W9" s="50">
        <v>1</v>
      </c>
      <c r="X9" s="50">
        <v>1</v>
      </c>
      <c r="Y9" s="50">
        <v>1</v>
      </c>
      <c r="Z9" s="50">
        <v>1</v>
      </c>
      <c r="AA9" s="50">
        <v>1</v>
      </c>
      <c r="AB9" s="50"/>
      <c r="AC9" s="52"/>
      <c r="AD9" s="52">
        <v>1</v>
      </c>
      <c r="AE9" s="50">
        <v>0</v>
      </c>
      <c r="AF9" s="50">
        <v>1</v>
      </c>
      <c r="AG9" s="50"/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14</v>
      </c>
    </row>
    <row r="10" spans="1:48">
      <c r="A10" s="102"/>
      <c r="B10" s="23">
        <v>4</v>
      </c>
      <c r="C10" s="84" t="s">
        <v>355</v>
      </c>
      <c r="D10" s="9" t="s">
        <v>114</v>
      </c>
      <c r="E10" s="50">
        <v>1</v>
      </c>
      <c r="F10" s="50">
        <v>1</v>
      </c>
      <c r="G10" s="50">
        <v>1</v>
      </c>
      <c r="H10" s="50">
        <v>1</v>
      </c>
      <c r="I10" s="50">
        <v>0</v>
      </c>
      <c r="J10" s="50">
        <v>1</v>
      </c>
      <c r="K10" s="52"/>
      <c r="L10" s="52"/>
      <c r="M10" s="50">
        <v>0</v>
      </c>
      <c r="N10" s="50">
        <v>0</v>
      </c>
      <c r="O10" s="50">
        <v>1</v>
      </c>
      <c r="P10" s="50">
        <v>1</v>
      </c>
      <c r="Q10" s="78">
        <v>1</v>
      </c>
      <c r="R10" s="50">
        <v>1</v>
      </c>
      <c r="S10" s="50">
        <v>1</v>
      </c>
      <c r="T10" s="52"/>
      <c r="U10" s="52"/>
      <c r="V10" s="50">
        <v>1</v>
      </c>
      <c r="W10" s="50">
        <v>1</v>
      </c>
      <c r="X10" s="50">
        <v>1</v>
      </c>
      <c r="Y10" s="50">
        <v>1</v>
      </c>
      <c r="Z10" s="50">
        <v>1</v>
      </c>
      <c r="AA10" s="50">
        <v>0</v>
      </c>
      <c r="AB10" s="50"/>
      <c r="AC10" s="52"/>
      <c r="AD10" s="52">
        <v>1</v>
      </c>
      <c r="AE10" s="50">
        <v>0</v>
      </c>
      <c r="AF10" s="50">
        <v>0</v>
      </c>
      <c r="AG10" s="50"/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12</v>
      </c>
    </row>
    <row r="11" spans="1:48">
      <c r="A11" s="102"/>
      <c r="B11" s="23">
        <v>5</v>
      </c>
      <c r="C11" s="24" t="s">
        <v>356</v>
      </c>
      <c r="D11" s="9" t="s">
        <v>114</v>
      </c>
      <c r="E11" s="87">
        <v>0</v>
      </c>
      <c r="F11" s="50">
        <v>1</v>
      </c>
      <c r="G11" s="50">
        <v>1</v>
      </c>
      <c r="H11" s="50">
        <v>1</v>
      </c>
      <c r="I11" s="50">
        <v>1</v>
      </c>
      <c r="J11" s="50">
        <v>1</v>
      </c>
      <c r="K11" s="52"/>
      <c r="L11" s="52"/>
      <c r="M11" s="50">
        <v>1</v>
      </c>
      <c r="N11" s="50">
        <v>1</v>
      </c>
      <c r="O11" s="50">
        <v>1</v>
      </c>
      <c r="P11" s="50">
        <v>1</v>
      </c>
      <c r="Q11" s="78">
        <v>1</v>
      </c>
      <c r="R11" s="50">
        <v>1</v>
      </c>
      <c r="S11" s="50">
        <v>1</v>
      </c>
      <c r="T11" s="52"/>
      <c r="U11" s="52"/>
      <c r="V11" s="50">
        <v>0</v>
      </c>
      <c r="W11" s="50">
        <v>1</v>
      </c>
      <c r="X11" s="50">
        <v>1</v>
      </c>
      <c r="Y11" s="50">
        <v>1</v>
      </c>
      <c r="Z11" s="50">
        <v>0</v>
      </c>
      <c r="AA11" s="50">
        <v>0</v>
      </c>
      <c r="AB11" s="50"/>
      <c r="AC11" s="52"/>
      <c r="AD11" s="52">
        <v>1</v>
      </c>
      <c r="AE11" s="50">
        <v>1</v>
      </c>
      <c r="AF11" s="50">
        <v>0</v>
      </c>
      <c r="AG11" s="50"/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14</v>
      </c>
    </row>
    <row r="12" spans="1:48">
      <c r="A12" s="102"/>
      <c r="B12" s="23">
        <v>6</v>
      </c>
      <c r="C12" s="24" t="s">
        <v>140</v>
      </c>
      <c r="D12" s="9" t="s">
        <v>114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1</v>
      </c>
      <c r="K12" s="52"/>
      <c r="L12" s="52"/>
      <c r="M12" s="50">
        <v>1</v>
      </c>
      <c r="N12" s="50">
        <v>1</v>
      </c>
      <c r="O12" s="50">
        <v>1</v>
      </c>
      <c r="P12" s="50">
        <v>1</v>
      </c>
      <c r="Q12" s="78">
        <v>1</v>
      </c>
      <c r="R12" s="50">
        <v>1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0</v>
      </c>
      <c r="Z12" s="50">
        <v>1</v>
      </c>
      <c r="AA12" s="50">
        <v>1</v>
      </c>
      <c r="AB12" s="50"/>
      <c r="AC12" s="52"/>
      <c r="AD12" s="52">
        <v>1</v>
      </c>
      <c r="AE12" s="50">
        <v>1</v>
      </c>
      <c r="AF12" s="50">
        <v>0</v>
      </c>
      <c r="AG12" s="50"/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16</v>
      </c>
    </row>
    <row r="13" spans="1:48">
      <c r="A13" s="102"/>
      <c r="B13" s="23">
        <v>7</v>
      </c>
      <c r="C13" s="24" t="s">
        <v>357</v>
      </c>
      <c r="D13" s="9" t="s">
        <v>114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J13" s="50">
        <v>1</v>
      </c>
      <c r="K13" s="52"/>
      <c r="L13" s="52"/>
      <c r="M13" s="50">
        <v>1</v>
      </c>
      <c r="N13" s="50">
        <v>1</v>
      </c>
      <c r="O13" s="50">
        <v>1</v>
      </c>
      <c r="P13" s="50">
        <v>1</v>
      </c>
      <c r="Q13" s="78">
        <v>1</v>
      </c>
      <c r="R13" s="50">
        <v>1</v>
      </c>
      <c r="S13" s="50">
        <v>1</v>
      </c>
      <c r="T13" s="52"/>
      <c r="U13" s="52"/>
      <c r="V13" s="50">
        <v>1</v>
      </c>
      <c r="W13" s="50">
        <v>1</v>
      </c>
      <c r="X13" s="50">
        <v>1</v>
      </c>
      <c r="Y13" s="50">
        <v>1</v>
      </c>
      <c r="Z13" s="50">
        <v>0</v>
      </c>
      <c r="AA13" s="50">
        <v>1</v>
      </c>
      <c r="AB13" s="50"/>
      <c r="AC13" s="52"/>
      <c r="AD13" s="52">
        <v>1</v>
      </c>
      <c r="AE13" s="50">
        <v>1</v>
      </c>
      <c r="AF13" s="50">
        <v>1</v>
      </c>
      <c r="AG13" s="50"/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17</v>
      </c>
    </row>
    <row r="14" spans="1:48">
      <c r="A14" s="102"/>
      <c r="B14" s="23">
        <v>8</v>
      </c>
      <c r="C14" s="24" t="s">
        <v>358</v>
      </c>
      <c r="D14" s="9" t="s">
        <v>114</v>
      </c>
      <c r="E14" s="87">
        <v>1</v>
      </c>
      <c r="F14" s="50">
        <v>1</v>
      </c>
      <c r="G14" s="50">
        <v>1</v>
      </c>
      <c r="H14" s="50">
        <v>1</v>
      </c>
      <c r="I14" s="50">
        <v>0</v>
      </c>
      <c r="J14" s="50">
        <v>1</v>
      </c>
      <c r="K14" s="52"/>
      <c r="L14" s="52"/>
      <c r="M14" s="50">
        <v>1</v>
      </c>
      <c r="N14" s="50">
        <v>1</v>
      </c>
      <c r="O14" s="50">
        <v>0</v>
      </c>
      <c r="P14" s="50">
        <v>1</v>
      </c>
      <c r="Q14" s="78">
        <v>1</v>
      </c>
      <c r="R14" s="50">
        <v>1</v>
      </c>
      <c r="S14" s="50">
        <v>0</v>
      </c>
      <c r="T14" s="52"/>
      <c r="U14" s="52"/>
      <c r="V14" s="50">
        <v>1</v>
      </c>
      <c r="W14" s="50">
        <v>1</v>
      </c>
      <c r="X14" s="50">
        <v>0</v>
      </c>
      <c r="Y14" s="50">
        <v>0</v>
      </c>
      <c r="Z14" s="50">
        <v>1</v>
      </c>
      <c r="AA14" s="50">
        <v>1</v>
      </c>
      <c r="AB14" s="50"/>
      <c r="AC14" s="52"/>
      <c r="AD14" s="52">
        <v>0</v>
      </c>
      <c r="AE14" s="50">
        <v>0</v>
      </c>
      <c r="AF14" s="50">
        <v>1</v>
      </c>
      <c r="AG14" s="50"/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11</v>
      </c>
    </row>
    <row r="15" spans="1:48">
      <c r="A15" s="102"/>
      <c r="B15" s="23">
        <v>9</v>
      </c>
      <c r="C15" s="24" t="s">
        <v>359</v>
      </c>
      <c r="D15" s="9" t="s">
        <v>114</v>
      </c>
      <c r="E15" s="89">
        <v>0</v>
      </c>
      <c r="F15" s="89">
        <v>0</v>
      </c>
      <c r="G15" s="89">
        <v>0</v>
      </c>
      <c r="H15" s="47">
        <v>1</v>
      </c>
      <c r="I15" s="47">
        <v>1</v>
      </c>
      <c r="J15" s="47">
        <v>0</v>
      </c>
      <c r="K15" s="49"/>
      <c r="L15" s="49"/>
      <c r="M15" s="47">
        <v>0</v>
      </c>
      <c r="N15" s="47">
        <v>1</v>
      </c>
      <c r="O15" s="47">
        <v>0</v>
      </c>
      <c r="P15" s="47">
        <v>1</v>
      </c>
      <c r="Q15" s="77"/>
      <c r="R15" s="47">
        <v>1</v>
      </c>
      <c r="S15" s="47">
        <v>0</v>
      </c>
      <c r="T15" s="49"/>
      <c r="U15" s="49"/>
      <c r="V15" s="47">
        <v>1</v>
      </c>
      <c r="W15" s="47">
        <v>0</v>
      </c>
      <c r="X15" s="47">
        <v>1</v>
      </c>
      <c r="Y15" s="47">
        <v>0</v>
      </c>
      <c r="Z15" s="47">
        <v>1</v>
      </c>
      <c r="AA15" s="47">
        <v>0</v>
      </c>
      <c r="AB15" s="47"/>
      <c r="AC15" s="49"/>
      <c r="AD15" s="49"/>
      <c r="AE15" s="47">
        <v>0</v>
      </c>
      <c r="AF15" s="47">
        <v>1</v>
      </c>
      <c r="AG15" s="47"/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8</v>
      </c>
      <c r="AV15" s="28"/>
    </row>
    <row r="16" spans="1:48">
      <c r="A16" s="102"/>
      <c r="B16" s="23">
        <v>10</v>
      </c>
      <c r="C16" s="24" t="s">
        <v>360</v>
      </c>
      <c r="D16" s="9" t="s">
        <v>110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/>
      <c r="L16" s="87"/>
      <c r="M16" s="87">
        <v>0</v>
      </c>
      <c r="N16" s="87">
        <v>0</v>
      </c>
      <c r="O16" s="50">
        <v>1</v>
      </c>
      <c r="P16" s="50">
        <v>1</v>
      </c>
      <c r="Q16" s="78"/>
      <c r="R16" s="50">
        <v>0</v>
      </c>
      <c r="S16" s="50">
        <v>0</v>
      </c>
      <c r="T16" s="52"/>
      <c r="U16" s="52"/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>
        <v>1</v>
      </c>
      <c r="AB16" s="50"/>
      <c r="AC16" s="52"/>
      <c r="AD16" s="52"/>
      <c r="AE16" s="50">
        <v>0</v>
      </c>
      <c r="AF16" s="50">
        <v>1</v>
      </c>
      <c r="AG16" s="50"/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9</v>
      </c>
    </row>
    <row r="17" spans="1:47">
      <c r="A17" s="102"/>
      <c r="B17" s="23">
        <v>11</v>
      </c>
      <c r="C17" s="24" t="s">
        <v>361</v>
      </c>
      <c r="D17" s="9" t="s">
        <v>110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/>
      <c r="L17" s="87"/>
      <c r="M17" s="87">
        <v>0</v>
      </c>
      <c r="N17" s="87">
        <v>0</v>
      </c>
      <c r="O17" s="87">
        <v>0</v>
      </c>
      <c r="P17" s="87">
        <v>0</v>
      </c>
      <c r="Q17" s="78"/>
      <c r="R17" s="50">
        <v>1</v>
      </c>
      <c r="S17" s="50">
        <v>1</v>
      </c>
      <c r="T17" s="52"/>
      <c r="U17" s="52"/>
      <c r="V17" s="50">
        <v>1</v>
      </c>
      <c r="W17" s="50">
        <v>1</v>
      </c>
      <c r="X17" s="50">
        <v>1</v>
      </c>
      <c r="Y17" s="50">
        <v>1</v>
      </c>
      <c r="Z17" s="50">
        <v>1</v>
      </c>
      <c r="AA17" s="50">
        <v>1</v>
      </c>
      <c r="AB17" s="50"/>
      <c r="AC17" s="52"/>
      <c r="AD17" s="52"/>
      <c r="AE17" s="50">
        <v>1</v>
      </c>
      <c r="AF17" s="50">
        <v>1</v>
      </c>
      <c r="AG17" s="50"/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10</v>
      </c>
    </row>
    <row r="18" spans="1:47">
      <c r="A18" s="102"/>
      <c r="B18" s="23">
        <v>12</v>
      </c>
      <c r="C18" s="26" t="s">
        <v>362</v>
      </c>
      <c r="D18" s="26" t="s">
        <v>114</v>
      </c>
      <c r="E18" s="50">
        <v>1</v>
      </c>
      <c r="F18" s="50">
        <v>1</v>
      </c>
      <c r="G18" s="50">
        <v>1</v>
      </c>
      <c r="H18" s="50">
        <v>1</v>
      </c>
      <c r="I18" s="50">
        <v>0</v>
      </c>
      <c r="J18" s="50">
        <v>1</v>
      </c>
      <c r="K18" s="52"/>
      <c r="L18" s="52"/>
      <c r="M18" s="50">
        <v>0</v>
      </c>
      <c r="N18" s="50">
        <v>0</v>
      </c>
      <c r="O18" s="50">
        <v>1</v>
      </c>
      <c r="P18" s="50">
        <v>1</v>
      </c>
      <c r="Q18" s="78"/>
      <c r="R18" s="50">
        <v>0</v>
      </c>
      <c r="S18" s="50">
        <v>0</v>
      </c>
      <c r="T18" s="52"/>
      <c r="U18" s="52"/>
      <c r="V18" s="50">
        <v>1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/>
      <c r="AC18" s="52"/>
      <c r="AD18" s="52"/>
      <c r="AE18" s="50">
        <v>0</v>
      </c>
      <c r="AF18" s="50">
        <v>0</v>
      </c>
      <c r="AG18" s="50"/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4</v>
      </c>
    </row>
    <row r="19" spans="1:47">
      <c r="A19" s="102"/>
      <c r="B19" s="23">
        <v>13</v>
      </c>
      <c r="C19" s="24" t="s">
        <v>363</v>
      </c>
      <c r="D19" s="9" t="s">
        <v>110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/>
      <c r="L19" s="87"/>
      <c r="M19" s="87">
        <v>0</v>
      </c>
      <c r="N19" s="87">
        <v>0</v>
      </c>
      <c r="O19" s="87">
        <v>0</v>
      </c>
      <c r="P19" s="87">
        <v>0</v>
      </c>
      <c r="Q19" s="78"/>
      <c r="R19" s="87">
        <v>0</v>
      </c>
      <c r="S19" s="87">
        <v>0</v>
      </c>
      <c r="T19" s="87"/>
      <c r="U19" s="87"/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50">
        <v>1</v>
      </c>
      <c r="AB19" s="50"/>
      <c r="AC19" s="52"/>
      <c r="AD19" s="52"/>
      <c r="AE19" s="50">
        <v>1</v>
      </c>
      <c r="AF19" s="50">
        <v>1</v>
      </c>
      <c r="AG19" s="50"/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3</v>
      </c>
    </row>
    <row r="20" spans="1:47">
      <c r="A20" s="102"/>
      <c r="B20" s="23">
        <v>14</v>
      </c>
      <c r="C20" s="24"/>
      <c r="D20" s="9"/>
      <c r="E20" s="50"/>
      <c r="F20" s="50"/>
      <c r="G20" s="50"/>
      <c r="H20" s="50"/>
      <c r="I20" s="50"/>
      <c r="J20" s="50"/>
      <c r="K20" s="52"/>
      <c r="L20" s="52"/>
      <c r="M20" s="50"/>
      <c r="N20" s="50"/>
      <c r="O20" s="50"/>
      <c r="P20" s="50"/>
      <c r="Q20" s="78"/>
      <c r="R20" s="50"/>
      <c r="S20" s="50"/>
      <c r="T20" s="52"/>
      <c r="U20" s="52"/>
      <c r="V20" s="50"/>
      <c r="W20" s="50"/>
      <c r="X20" s="50"/>
      <c r="Y20" s="50"/>
      <c r="Z20" s="50"/>
      <c r="AA20" s="50"/>
      <c r="AB20" s="50"/>
      <c r="AC20" s="52"/>
      <c r="AD20" s="52"/>
      <c r="AE20" s="50"/>
      <c r="AF20" s="50"/>
      <c r="AG20" s="50"/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0</v>
      </c>
    </row>
    <row r="21" spans="1:47">
      <c r="A21" s="102"/>
      <c r="B21" s="23">
        <v>15</v>
      </c>
      <c r="C21" s="24"/>
      <c r="D21" s="9"/>
      <c r="E21" s="50"/>
      <c r="F21" s="50"/>
      <c r="G21" s="50"/>
      <c r="H21" s="50"/>
      <c r="I21" s="50"/>
      <c r="J21" s="50"/>
      <c r="K21" s="52"/>
      <c r="L21" s="52"/>
      <c r="M21" s="50"/>
      <c r="N21" s="50"/>
      <c r="O21" s="50"/>
      <c r="P21" s="50"/>
      <c r="Q21" s="78"/>
      <c r="R21" s="50"/>
      <c r="S21" s="50"/>
      <c r="T21" s="52"/>
      <c r="U21" s="52"/>
      <c r="V21" s="50"/>
      <c r="W21" s="50"/>
      <c r="X21" s="50"/>
      <c r="Y21" s="50"/>
      <c r="Z21" s="50"/>
      <c r="AA21" s="50"/>
      <c r="AB21" s="50"/>
      <c r="AC21" s="52"/>
      <c r="AD21" s="52"/>
      <c r="AE21" s="50"/>
      <c r="AF21" s="50"/>
      <c r="AG21" s="50"/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0</v>
      </c>
    </row>
    <row r="22" spans="1:47">
      <c r="A22" s="102"/>
      <c r="B22" s="23">
        <v>16</v>
      </c>
      <c r="C22" s="53"/>
      <c r="D22" s="11"/>
      <c r="E22" s="50"/>
      <c r="F22" s="50"/>
      <c r="G22" s="50"/>
      <c r="H22" s="50"/>
      <c r="I22" s="50"/>
      <c r="J22" s="50"/>
      <c r="K22" s="52"/>
      <c r="L22" s="52"/>
      <c r="M22" s="50"/>
      <c r="N22" s="50"/>
      <c r="O22" s="50"/>
      <c r="P22" s="50"/>
      <c r="Q22" s="78"/>
      <c r="R22" s="50"/>
      <c r="S22" s="50"/>
      <c r="T22" s="52"/>
      <c r="U22" s="52"/>
      <c r="V22" s="50"/>
      <c r="W22" s="50"/>
      <c r="X22" s="50"/>
      <c r="Y22" s="50"/>
      <c r="Z22" s="50"/>
      <c r="AA22" s="50"/>
      <c r="AB22" s="50"/>
      <c r="AC22" s="52"/>
      <c r="AD22" s="52"/>
      <c r="AE22" s="50"/>
      <c r="AF22" s="50"/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0</v>
      </c>
    </row>
    <row r="23" spans="1:47" ht="19.5">
      <c r="A23" s="3"/>
      <c r="B23" s="68">
        <v>13</v>
      </c>
      <c r="C23" s="12" t="s">
        <v>48</v>
      </c>
      <c r="D23" s="7"/>
      <c r="E23" s="8">
        <f>COUNTIF(E7:E22,"1")</f>
        <v>8</v>
      </c>
      <c r="F23" s="8">
        <f t="shared" ref="F23:AT23" si="2">COUNTIF(F7:F22,"1")</f>
        <v>9</v>
      </c>
      <c r="G23" s="8">
        <f t="shared" si="2"/>
        <v>8</v>
      </c>
      <c r="H23" s="8">
        <f t="shared" si="2"/>
        <v>9</v>
      </c>
      <c r="I23" s="8">
        <f t="shared" si="2"/>
        <v>5</v>
      </c>
      <c r="J23" s="8">
        <f t="shared" si="2"/>
        <v>8</v>
      </c>
      <c r="K23" s="8">
        <f t="shared" si="2"/>
        <v>0</v>
      </c>
      <c r="L23" s="8">
        <f t="shared" si="2"/>
        <v>0</v>
      </c>
      <c r="M23" s="8">
        <f t="shared" si="2"/>
        <v>7</v>
      </c>
      <c r="N23" s="8">
        <f t="shared" si="2"/>
        <v>6</v>
      </c>
      <c r="O23" s="8">
        <f t="shared" si="2"/>
        <v>8</v>
      </c>
      <c r="P23" s="8">
        <f t="shared" si="2"/>
        <v>8</v>
      </c>
      <c r="Q23" s="8">
        <f t="shared" si="2"/>
        <v>6</v>
      </c>
      <c r="R23" s="8">
        <f t="shared" si="2"/>
        <v>10</v>
      </c>
      <c r="S23" s="8">
        <f t="shared" si="2"/>
        <v>7</v>
      </c>
      <c r="T23" s="8">
        <f t="shared" si="2"/>
        <v>0</v>
      </c>
      <c r="U23" s="8">
        <f t="shared" si="2"/>
        <v>0</v>
      </c>
      <c r="V23" s="8">
        <f t="shared" si="2"/>
        <v>11</v>
      </c>
      <c r="W23" s="8">
        <f t="shared" si="2"/>
        <v>8</v>
      </c>
      <c r="X23" s="8">
        <f t="shared" si="2"/>
        <v>9</v>
      </c>
      <c r="Y23" s="8">
        <f t="shared" si="2"/>
        <v>7</v>
      </c>
      <c r="Z23" s="8">
        <f t="shared" si="2"/>
        <v>7</v>
      </c>
      <c r="AA23" s="8">
        <f t="shared" si="2"/>
        <v>8</v>
      </c>
      <c r="AB23" s="8">
        <f t="shared" si="2"/>
        <v>0</v>
      </c>
      <c r="AC23" s="8">
        <f t="shared" si="2"/>
        <v>0</v>
      </c>
      <c r="AD23" s="8">
        <f t="shared" si="2"/>
        <v>7</v>
      </c>
      <c r="AE23" s="8">
        <f t="shared" si="2"/>
        <v>6</v>
      </c>
      <c r="AF23" s="8">
        <f t="shared" si="2"/>
        <v>7</v>
      </c>
      <c r="AG23" s="8">
        <f t="shared" si="2"/>
        <v>0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135</v>
      </c>
    </row>
    <row r="24" spans="1:47" ht="14.45" customHeight="1">
      <c r="B24" s="3"/>
      <c r="C24"/>
      <c r="D24"/>
      <c r="E24" s="99">
        <v>45913</v>
      </c>
      <c r="F24" s="99">
        <f>E24+7</f>
        <v>45920</v>
      </c>
      <c r="G24" s="99">
        <f t="shared" ref="G24:AT24" si="3">F24+7</f>
        <v>45927</v>
      </c>
      <c r="H24" s="99">
        <f t="shared" si="3"/>
        <v>45934</v>
      </c>
      <c r="I24" s="99">
        <f t="shared" si="3"/>
        <v>45941</v>
      </c>
      <c r="J24" s="99">
        <f t="shared" si="3"/>
        <v>45948</v>
      </c>
      <c r="K24" s="99">
        <f t="shared" si="3"/>
        <v>45955</v>
      </c>
      <c r="L24" s="99">
        <f t="shared" si="3"/>
        <v>45962</v>
      </c>
      <c r="M24" s="99">
        <f t="shared" si="3"/>
        <v>45969</v>
      </c>
      <c r="N24" s="99">
        <f t="shared" si="3"/>
        <v>45976</v>
      </c>
      <c r="O24" s="99">
        <f t="shared" si="3"/>
        <v>45983</v>
      </c>
      <c r="P24" s="99">
        <f t="shared" si="3"/>
        <v>45990</v>
      </c>
      <c r="Q24" s="99">
        <f t="shared" si="3"/>
        <v>45997</v>
      </c>
      <c r="R24" s="99">
        <f t="shared" si="3"/>
        <v>46004</v>
      </c>
      <c r="S24" s="99">
        <f t="shared" si="3"/>
        <v>46011</v>
      </c>
      <c r="T24" s="99">
        <f t="shared" si="3"/>
        <v>46018</v>
      </c>
      <c r="U24" s="99">
        <f t="shared" si="3"/>
        <v>46025</v>
      </c>
      <c r="V24" s="99">
        <f t="shared" si="3"/>
        <v>46032</v>
      </c>
      <c r="W24" s="99">
        <f t="shared" si="3"/>
        <v>46039</v>
      </c>
      <c r="X24" s="99">
        <f t="shared" si="3"/>
        <v>46046</v>
      </c>
      <c r="Y24" s="99">
        <f t="shared" si="3"/>
        <v>46053</v>
      </c>
      <c r="Z24" s="99">
        <f t="shared" si="3"/>
        <v>46060</v>
      </c>
      <c r="AA24" s="99">
        <f t="shared" si="3"/>
        <v>46067</v>
      </c>
      <c r="AB24" s="99">
        <f t="shared" si="3"/>
        <v>46074</v>
      </c>
      <c r="AC24" s="99">
        <f t="shared" si="3"/>
        <v>46081</v>
      </c>
      <c r="AD24" s="99">
        <f t="shared" si="3"/>
        <v>46088</v>
      </c>
      <c r="AE24" s="99">
        <f t="shared" si="3"/>
        <v>46095</v>
      </c>
      <c r="AF24" s="99">
        <f t="shared" si="3"/>
        <v>46102</v>
      </c>
      <c r="AG24" s="99">
        <f t="shared" si="3"/>
        <v>46109</v>
      </c>
      <c r="AH24" s="99">
        <f t="shared" si="3"/>
        <v>46116</v>
      </c>
      <c r="AI24" s="99">
        <f t="shared" si="3"/>
        <v>46123</v>
      </c>
      <c r="AJ24" s="99">
        <f t="shared" si="3"/>
        <v>46130</v>
      </c>
      <c r="AK24" s="99">
        <f t="shared" si="3"/>
        <v>46137</v>
      </c>
      <c r="AL24" s="99">
        <f t="shared" si="3"/>
        <v>46144</v>
      </c>
      <c r="AM24" s="99">
        <f t="shared" si="3"/>
        <v>46151</v>
      </c>
      <c r="AN24" s="99">
        <f t="shared" si="3"/>
        <v>46158</v>
      </c>
      <c r="AO24" s="99">
        <f t="shared" si="3"/>
        <v>46165</v>
      </c>
      <c r="AP24" s="99">
        <f t="shared" si="3"/>
        <v>46172</v>
      </c>
      <c r="AQ24" s="99">
        <f t="shared" si="3"/>
        <v>46179</v>
      </c>
      <c r="AR24" s="99">
        <f t="shared" si="3"/>
        <v>46186</v>
      </c>
      <c r="AS24" s="99">
        <f t="shared" si="3"/>
        <v>46193</v>
      </c>
      <c r="AT24" s="99">
        <f t="shared" si="3"/>
        <v>46200</v>
      </c>
    </row>
    <row r="25" spans="1:47" ht="14.45" customHeight="1">
      <c r="B25" s="3"/>
      <c r="C25"/>
      <c r="D25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</row>
    <row r="26" spans="1:47" ht="14.45" customHeight="1">
      <c r="B26" s="3"/>
      <c r="C26"/>
      <c r="D26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>
        <f>SUM(I26:AT26)</f>
        <v>0</v>
      </c>
    </row>
    <row r="27" spans="1:47">
      <c r="A27" s="102" t="s">
        <v>105</v>
      </c>
      <c r="B27" s="23">
        <v>1</v>
      </c>
      <c r="C27" s="11" t="s">
        <v>364</v>
      </c>
      <c r="D27" s="11" t="s">
        <v>120</v>
      </c>
      <c r="E27" s="89">
        <v>0</v>
      </c>
      <c r="F27" s="47">
        <v>1</v>
      </c>
      <c r="G27" s="47">
        <v>1</v>
      </c>
      <c r="H27" s="47">
        <v>1</v>
      </c>
      <c r="I27" s="47">
        <v>0</v>
      </c>
      <c r="J27" s="47">
        <v>1</v>
      </c>
      <c r="K27" s="49"/>
      <c r="L27" s="49"/>
      <c r="M27" s="47">
        <v>0</v>
      </c>
      <c r="N27" s="47">
        <v>1</v>
      </c>
      <c r="O27" s="47">
        <v>0</v>
      </c>
      <c r="P27" s="47">
        <v>1</v>
      </c>
      <c r="Q27" s="77"/>
      <c r="R27" s="47">
        <v>1</v>
      </c>
      <c r="S27" s="47">
        <v>0</v>
      </c>
      <c r="T27" s="49"/>
      <c r="U27" s="49"/>
      <c r="V27" s="47">
        <v>1</v>
      </c>
      <c r="W27" s="47">
        <v>1</v>
      </c>
      <c r="X27" s="47">
        <v>0</v>
      </c>
      <c r="Y27" s="47">
        <v>1</v>
      </c>
      <c r="Z27" s="47">
        <v>1</v>
      </c>
      <c r="AA27" s="47">
        <v>1</v>
      </c>
      <c r="AB27" s="47">
        <v>1</v>
      </c>
      <c r="AC27" s="49"/>
      <c r="AD27" s="49"/>
      <c r="AE27" s="47">
        <v>1</v>
      </c>
      <c r="AF27" s="47">
        <v>1</v>
      </c>
      <c r="AG27" s="47"/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ref="AU27:AU43" si="4">SUM(I27:AT27)</f>
        <v>12</v>
      </c>
    </row>
    <row r="28" spans="1:47">
      <c r="A28" s="102"/>
      <c r="B28" s="23">
        <v>2</v>
      </c>
      <c r="C28" s="11" t="s">
        <v>365</v>
      </c>
      <c r="D28" s="11" t="s">
        <v>120</v>
      </c>
      <c r="E28" s="50">
        <v>1</v>
      </c>
      <c r="F28" s="50">
        <v>1</v>
      </c>
      <c r="G28" s="50">
        <v>1</v>
      </c>
      <c r="H28" s="50">
        <v>1</v>
      </c>
      <c r="I28" s="50">
        <v>1</v>
      </c>
      <c r="J28" s="50">
        <v>0</v>
      </c>
      <c r="K28" s="52"/>
      <c r="L28" s="52"/>
      <c r="M28" s="50">
        <v>1</v>
      </c>
      <c r="N28" s="50">
        <v>1</v>
      </c>
      <c r="O28" s="50">
        <v>1</v>
      </c>
      <c r="P28" s="50">
        <v>1</v>
      </c>
      <c r="Q28" s="78"/>
      <c r="R28" s="50">
        <v>0</v>
      </c>
      <c r="S28" s="50">
        <v>0</v>
      </c>
      <c r="T28" s="52"/>
      <c r="U28" s="52"/>
      <c r="V28" s="50">
        <v>1</v>
      </c>
      <c r="W28" s="50">
        <v>1</v>
      </c>
      <c r="X28" s="50">
        <v>1</v>
      </c>
      <c r="Y28" s="50">
        <v>1</v>
      </c>
      <c r="Z28" s="50">
        <v>1</v>
      </c>
      <c r="AA28" s="50">
        <v>1</v>
      </c>
      <c r="AB28" s="50">
        <v>1</v>
      </c>
      <c r="AC28" s="52"/>
      <c r="AD28" s="52"/>
      <c r="AE28" s="50">
        <v>1</v>
      </c>
      <c r="AF28" s="50">
        <v>1</v>
      </c>
      <c r="AG28" s="50"/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4"/>
        <v>14</v>
      </c>
    </row>
    <row r="29" spans="1:47">
      <c r="A29" s="102"/>
      <c r="B29" s="23">
        <v>3</v>
      </c>
      <c r="C29" s="11" t="s">
        <v>366</v>
      </c>
      <c r="D29" s="11" t="s">
        <v>120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1</v>
      </c>
      <c r="K29" s="52"/>
      <c r="L29" s="52"/>
      <c r="M29" s="50">
        <v>0</v>
      </c>
      <c r="N29" s="50">
        <v>1</v>
      </c>
      <c r="O29" s="50">
        <v>1</v>
      </c>
      <c r="P29" s="50">
        <v>1</v>
      </c>
      <c r="Q29" s="78"/>
      <c r="R29" s="50">
        <v>0</v>
      </c>
      <c r="S29" s="50">
        <v>1</v>
      </c>
      <c r="T29" s="52"/>
      <c r="U29" s="52"/>
      <c r="V29" s="50">
        <v>1</v>
      </c>
      <c r="W29" s="50">
        <v>1</v>
      </c>
      <c r="X29" s="50">
        <v>1</v>
      </c>
      <c r="Y29" s="50">
        <v>0</v>
      </c>
      <c r="Z29" s="50">
        <v>1</v>
      </c>
      <c r="AA29" s="50">
        <v>0</v>
      </c>
      <c r="AB29" s="50">
        <v>1</v>
      </c>
      <c r="AC29" s="52"/>
      <c r="AD29" s="52"/>
      <c r="AE29" s="50">
        <v>1</v>
      </c>
      <c r="AF29" s="50">
        <v>1</v>
      </c>
      <c r="AG29" s="50"/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4"/>
        <v>12</v>
      </c>
    </row>
    <row r="30" spans="1:47">
      <c r="A30" s="102"/>
      <c r="B30" s="23">
        <v>4</v>
      </c>
      <c r="C30" s="11" t="s">
        <v>367</v>
      </c>
      <c r="D30" s="11" t="s">
        <v>120</v>
      </c>
      <c r="E30" s="50">
        <v>1</v>
      </c>
      <c r="F30" s="50">
        <v>1</v>
      </c>
      <c r="G30" s="50">
        <v>1</v>
      </c>
      <c r="H30" s="50">
        <v>1</v>
      </c>
      <c r="I30" s="50">
        <v>1</v>
      </c>
      <c r="J30" s="50">
        <v>1</v>
      </c>
      <c r="K30" s="52"/>
      <c r="L30" s="52"/>
      <c r="M30" s="50">
        <v>1</v>
      </c>
      <c r="N30" s="50">
        <v>1</v>
      </c>
      <c r="O30" s="50">
        <v>1</v>
      </c>
      <c r="P30" s="50">
        <v>1</v>
      </c>
      <c r="Q30" s="78"/>
      <c r="R30" s="50">
        <v>1</v>
      </c>
      <c r="S30" s="50">
        <v>1</v>
      </c>
      <c r="T30" s="52"/>
      <c r="U30" s="52"/>
      <c r="V30" s="50">
        <v>1</v>
      </c>
      <c r="W30" s="50">
        <v>1</v>
      </c>
      <c r="X30" s="50">
        <v>1</v>
      </c>
      <c r="Y30" s="50">
        <v>1</v>
      </c>
      <c r="Z30" s="50">
        <v>1</v>
      </c>
      <c r="AA30" s="50">
        <v>1</v>
      </c>
      <c r="AB30" s="50">
        <v>1</v>
      </c>
      <c r="AC30" s="52"/>
      <c r="AD30" s="52"/>
      <c r="AE30" s="50">
        <v>1</v>
      </c>
      <c r="AF30" s="50">
        <v>1</v>
      </c>
      <c r="AG30" s="50"/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4"/>
        <v>17</v>
      </c>
    </row>
    <row r="31" spans="1:47">
      <c r="A31" s="102"/>
      <c r="B31" s="23">
        <v>5</v>
      </c>
      <c r="C31" s="11" t="s">
        <v>368</v>
      </c>
      <c r="D31" s="11" t="s">
        <v>120</v>
      </c>
      <c r="E31" s="87">
        <v>0</v>
      </c>
      <c r="F31" s="50">
        <v>1</v>
      </c>
      <c r="G31" s="50">
        <v>1</v>
      </c>
      <c r="H31" s="50">
        <v>1</v>
      </c>
      <c r="I31" s="50">
        <v>1</v>
      </c>
      <c r="J31" s="50">
        <v>1</v>
      </c>
      <c r="K31" s="52"/>
      <c r="L31" s="52"/>
      <c r="M31" s="50">
        <v>1</v>
      </c>
      <c r="N31" s="50">
        <v>1</v>
      </c>
      <c r="O31" s="50">
        <v>1</v>
      </c>
      <c r="P31" s="50">
        <v>1</v>
      </c>
      <c r="Q31" s="78"/>
      <c r="R31" s="50">
        <v>0</v>
      </c>
      <c r="S31" s="50">
        <v>0</v>
      </c>
      <c r="T31" s="52"/>
      <c r="U31" s="52"/>
      <c r="V31" s="50">
        <v>1</v>
      </c>
      <c r="W31" s="50">
        <v>1</v>
      </c>
      <c r="X31" s="50">
        <v>1</v>
      </c>
      <c r="Y31" s="50">
        <v>0</v>
      </c>
      <c r="Z31" s="50">
        <v>1</v>
      </c>
      <c r="AA31" s="50">
        <v>1</v>
      </c>
      <c r="AB31" s="50">
        <v>1</v>
      </c>
      <c r="AC31" s="52"/>
      <c r="AD31" s="52"/>
      <c r="AE31" s="50">
        <v>1</v>
      </c>
      <c r="AF31" s="50">
        <v>1</v>
      </c>
      <c r="AG31" s="50"/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4"/>
        <v>14</v>
      </c>
    </row>
    <row r="32" spans="1:47">
      <c r="A32" s="102"/>
      <c r="B32" s="23">
        <v>6</v>
      </c>
      <c r="C32" s="11" t="s">
        <v>369</v>
      </c>
      <c r="D32" s="11" t="s">
        <v>120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50">
        <v>1</v>
      </c>
      <c r="K32" s="52"/>
      <c r="L32" s="52"/>
      <c r="M32" s="50">
        <v>1</v>
      </c>
      <c r="N32" s="50">
        <v>0</v>
      </c>
      <c r="O32" s="50">
        <v>1</v>
      </c>
      <c r="P32" s="50">
        <v>1</v>
      </c>
      <c r="Q32" s="78"/>
      <c r="R32" s="50">
        <v>1</v>
      </c>
      <c r="S32" s="50">
        <v>0</v>
      </c>
      <c r="T32" s="52"/>
      <c r="U32" s="52"/>
      <c r="V32" s="50">
        <v>0</v>
      </c>
      <c r="W32" s="50">
        <v>1</v>
      </c>
      <c r="X32" s="50">
        <v>1</v>
      </c>
      <c r="Y32" s="50">
        <v>1</v>
      </c>
      <c r="Z32" s="50">
        <v>0</v>
      </c>
      <c r="AA32" s="50">
        <v>0</v>
      </c>
      <c r="AB32" s="50">
        <v>1</v>
      </c>
      <c r="AC32" s="52"/>
      <c r="AD32" s="52"/>
      <c r="AE32" s="50">
        <v>1</v>
      </c>
      <c r="AF32" s="50">
        <v>1</v>
      </c>
      <c r="AG32" s="50"/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4"/>
        <v>11</v>
      </c>
    </row>
    <row r="33" spans="1:47">
      <c r="A33" s="102"/>
      <c r="B33" s="23">
        <v>7</v>
      </c>
      <c r="C33" s="11" t="s">
        <v>370</v>
      </c>
      <c r="D33" s="11" t="s">
        <v>123</v>
      </c>
      <c r="E33" s="50">
        <v>1</v>
      </c>
      <c r="F33" s="50">
        <v>1</v>
      </c>
      <c r="G33" s="50">
        <v>1</v>
      </c>
      <c r="H33" s="50">
        <v>1</v>
      </c>
      <c r="I33" s="50">
        <v>1</v>
      </c>
      <c r="J33" s="50">
        <v>0</v>
      </c>
      <c r="K33" s="52"/>
      <c r="L33" s="52"/>
      <c r="M33" s="50">
        <v>1</v>
      </c>
      <c r="N33" s="50">
        <v>1</v>
      </c>
      <c r="O33" s="50">
        <v>1</v>
      </c>
      <c r="P33" s="50">
        <v>1</v>
      </c>
      <c r="Q33" s="78"/>
      <c r="R33" s="50">
        <v>0</v>
      </c>
      <c r="S33" s="50">
        <v>0</v>
      </c>
      <c r="T33" s="52"/>
      <c r="U33" s="52"/>
      <c r="V33" s="50">
        <v>1</v>
      </c>
      <c r="W33" s="50">
        <v>1</v>
      </c>
      <c r="X33" s="50">
        <v>1</v>
      </c>
      <c r="Y33" s="50">
        <v>1</v>
      </c>
      <c r="Z33" s="50">
        <v>1</v>
      </c>
      <c r="AA33" s="50">
        <v>1</v>
      </c>
      <c r="AB33" s="50">
        <v>1</v>
      </c>
      <c r="AC33" s="52"/>
      <c r="AD33" s="52"/>
      <c r="AE33" s="50">
        <v>1</v>
      </c>
      <c r="AF33" s="50">
        <v>1</v>
      </c>
      <c r="AG33" s="50"/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4"/>
        <v>14</v>
      </c>
    </row>
    <row r="34" spans="1:47">
      <c r="A34" s="102"/>
      <c r="B34" s="23">
        <v>8</v>
      </c>
      <c r="C34" s="11" t="s">
        <v>371</v>
      </c>
      <c r="D34" s="11" t="s">
        <v>123</v>
      </c>
      <c r="E34" s="47">
        <v>1</v>
      </c>
      <c r="F34" s="47">
        <v>1</v>
      </c>
      <c r="G34" s="47">
        <v>1</v>
      </c>
      <c r="H34" s="47">
        <v>1</v>
      </c>
      <c r="I34" s="50">
        <v>1</v>
      </c>
      <c r="J34" s="50">
        <v>1</v>
      </c>
      <c r="K34" s="52"/>
      <c r="L34" s="52"/>
      <c r="M34" s="50">
        <v>1</v>
      </c>
      <c r="N34" s="50">
        <v>0</v>
      </c>
      <c r="O34" s="50">
        <v>1</v>
      </c>
      <c r="P34" s="50">
        <v>1</v>
      </c>
      <c r="Q34" s="78"/>
      <c r="R34" s="50">
        <v>1</v>
      </c>
      <c r="S34" s="50">
        <v>1</v>
      </c>
      <c r="T34" s="52"/>
      <c r="U34" s="52"/>
      <c r="V34" s="50">
        <v>1</v>
      </c>
      <c r="W34" s="50">
        <v>1</v>
      </c>
      <c r="X34" s="50">
        <v>1</v>
      </c>
      <c r="Y34" s="50">
        <v>0</v>
      </c>
      <c r="Z34" s="50">
        <v>1</v>
      </c>
      <c r="AA34" s="50">
        <v>1</v>
      </c>
      <c r="AB34" s="50">
        <v>1</v>
      </c>
      <c r="AC34" s="52"/>
      <c r="AD34" s="52"/>
      <c r="AE34" s="50">
        <v>1</v>
      </c>
      <c r="AF34" s="50">
        <v>1</v>
      </c>
      <c r="AG34" s="50"/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4"/>
        <v>15</v>
      </c>
    </row>
    <row r="35" spans="1:47">
      <c r="B35" s="23">
        <v>9</v>
      </c>
      <c r="C35" s="83" t="s">
        <v>372</v>
      </c>
      <c r="D35" s="11" t="s">
        <v>123</v>
      </c>
      <c r="E35" s="87">
        <v>0</v>
      </c>
      <c r="F35" s="50">
        <v>1</v>
      </c>
      <c r="G35" s="50">
        <v>0</v>
      </c>
      <c r="H35" s="50">
        <v>1</v>
      </c>
      <c r="I35" s="47">
        <v>0</v>
      </c>
      <c r="J35" s="47">
        <v>0</v>
      </c>
      <c r="K35" s="49"/>
      <c r="L35" s="49"/>
      <c r="M35" s="47">
        <v>0</v>
      </c>
      <c r="N35" s="47">
        <v>0</v>
      </c>
      <c r="O35" s="47">
        <v>1</v>
      </c>
      <c r="P35" s="47">
        <v>1</v>
      </c>
      <c r="Q35" s="77"/>
      <c r="R35" s="47">
        <v>0</v>
      </c>
      <c r="S35" s="47">
        <v>0</v>
      </c>
      <c r="T35" s="49"/>
      <c r="U35" s="49"/>
      <c r="V35" s="47">
        <v>0</v>
      </c>
      <c r="W35" s="47">
        <v>0</v>
      </c>
      <c r="X35" s="47">
        <v>0</v>
      </c>
      <c r="Y35" s="47">
        <v>0</v>
      </c>
      <c r="Z35" s="47">
        <v>1</v>
      </c>
      <c r="AA35" s="47">
        <v>0</v>
      </c>
      <c r="AB35" s="47">
        <v>0</v>
      </c>
      <c r="AC35" s="49"/>
      <c r="AD35" s="49"/>
      <c r="AE35" s="47">
        <v>0</v>
      </c>
      <c r="AF35" s="47">
        <v>0</v>
      </c>
      <c r="AG35" s="47"/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4"/>
        <v>3</v>
      </c>
    </row>
    <row r="36" spans="1:47">
      <c r="B36" s="23">
        <v>10</v>
      </c>
      <c r="C36" s="11" t="s">
        <v>373</v>
      </c>
      <c r="D36" s="11" t="s">
        <v>123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/>
      <c r="L36" s="87"/>
      <c r="M36" s="87">
        <v>0</v>
      </c>
      <c r="N36" s="87">
        <v>0</v>
      </c>
      <c r="O36" s="87">
        <v>0</v>
      </c>
      <c r="P36" s="87">
        <v>0</v>
      </c>
      <c r="Q36" s="78"/>
      <c r="R36" s="87">
        <v>0</v>
      </c>
      <c r="S36" s="87">
        <v>0</v>
      </c>
      <c r="T36" s="52"/>
      <c r="U36" s="52"/>
      <c r="V36" s="50">
        <v>1</v>
      </c>
      <c r="W36" s="50">
        <v>1</v>
      </c>
      <c r="X36" s="50">
        <v>0</v>
      </c>
      <c r="Y36" s="50">
        <v>1</v>
      </c>
      <c r="Z36" s="50">
        <v>1</v>
      </c>
      <c r="AA36" s="50">
        <v>0</v>
      </c>
      <c r="AB36" s="50">
        <v>1</v>
      </c>
      <c r="AC36" s="52"/>
      <c r="AD36" s="52"/>
      <c r="AE36" s="50">
        <v>1</v>
      </c>
      <c r="AF36" s="50">
        <v>0</v>
      </c>
      <c r="AG36" s="50"/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4"/>
        <v>6</v>
      </c>
    </row>
    <row r="37" spans="1:47">
      <c r="B37" s="23">
        <v>11</v>
      </c>
      <c r="C37" s="11" t="s">
        <v>374</v>
      </c>
      <c r="D37" s="11" t="s">
        <v>120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/>
      <c r="L37" s="87"/>
      <c r="M37" s="87">
        <v>0</v>
      </c>
      <c r="N37" s="87">
        <v>0</v>
      </c>
      <c r="O37" s="87">
        <v>0</v>
      </c>
      <c r="P37" s="87">
        <v>0</v>
      </c>
      <c r="Q37" s="78"/>
      <c r="R37" s="87">
        <v>0</v>
      </c>
      <c r="S37" s="87">
        <v>0</v>
      </c>
      <c r="T37" s="87"/>
      <c r="U37" s="87"/>
      <c r="V37" s="87">
        <v>0</v>
      </c>
      <c r="W37" s="50">
        <v>1</v>
      </c>
      <c r="X37" s="50">
        <v>1</v>
      </c>
      <c r="Y37" s="50">
        <v>1</v>
      </c>
      <c r="Z37" s="50">
        <v>1</v>
      </c>
      <c r="AA37" s="50">
        <v>1</v>
      </c>
      <c r="AB37" s="50">
        <v>1</v>
      </c>
      <c r="AC37" s="52"/>
      <c r="AD37" s="52"/>
      <c r="AE37" s="50">
        <v>1</v>
      </c>
      <c r="AF37" s="50">
        <v>1</v>
      </c>
      <c r="AG37" s="50"/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4"/>
        <v>8</v>
      </c>
    </row>
    <row r="38" spans="1:47">
      <c r="B38" s="23">
        <v>12</v>
      </c>
      <c r="C38" s="11" t="s">
        <v>375</v>
      </c>
      <c r="D38" s="11" t="s">
        <v>123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/>
      <c r="L38" s="87"/>
      <c r="M38" s="87">
        <v>0</v>
      </c>
      <c r="N38" s="87">
        <v>0</v>
      </c>
      <c r="O38" s="87">
        <v>0</v>
      </c>
      <c r="P38" s="87">
        <v>0</v>
      </c>
      <c r="Q38" s="78"/>
      <c r="R38" s="87">
        <v>0</v>
      </c>
      <c r="S38" s="87">
        <v>0</v>
      </c>
      <c r="T38" s="87"/>
      <c r="U38" s="87"/>
      <c r="V38" s="87">
        <v>0</v>
      </c>
      <c r="W38" s="50">
        <v>1</v>
      </c>
      <c r="X38" s="50">
        <v>1</v>
      </c>
      <c r="Y38" s="50">
        <v>0</v>
      </c>
      <c r="Z38" s="50">
        <v>1</v>
      </c>
      <c r="AA38" s="50">
        <v>1</v>
      </c>
      <c r="AB38" s="50">
        <v>1</v>
      </c>
      <c r="AC38" s="52"/>
      <c r="AD38" s="52"/>
      <c r="AE38" s="50">
        <v>1</v>
      </c>
      <c r="AF38" s="50">
        <v>0</v>
      </c>
      <c r="AG38" s="50"/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4"/>
        <v>6</v>
      </c>
    </row>
    <row r="39" spans="1:47">
      <c r="B39" s="23">
        <v>13</v>
      </c>
      <c r="C39" s="11" t="s">
        <v>376</v>
      </c>
      <c r="D39" s="11" t="s">
        <v>120</v>
      </c>
      <c r="E39" s="50">
        <v>1</v>
      </c>
      <c r="F39" s="50">
        <v>1</v>
      </c>
      <c r="G39" s="50">
        <v>1</v>
      </c>
      <c r="H39" s="50">
        <v>1</v>
      </c>
      <c r="I39" s="50">
        <v>1</v>
      </c>
      <c r="J39" s="50">
        <v>0</v>
      </c>
      <c r="K39" s="52"/>
      <c r="L39" s="52"/>
      <c r="M39" s="50">
        <v>1</v>
      </c>
      <c r="N39" s="50">
        <v>1</v>
      </c>
      <c r="O39" s="50">
        <v>1</v>
      </c>
      <c r="P39" s="50">
        <v>0</v>
      </c>
      <c r="Q39" s="78">
        <v>1</v>
      </c>
      <c r="R39" s="50">
        <v>0</v>
      </c>
      <c r="S39" s="50">
        <v>0</v>
      </c>
      <c r="T39" s="52"/>
      <c r="U39" s="52"/>
      <c r="V39" s="50">
        <v>0</v>
      </c>
      <c r="W39" s="50">
        <v>0</v>
      </c>
      <c r="X39" s="50">
        <v>1</v>
      </c>
      <c r="Y39" s="50">
        <v>0</v>
      </c>
      <c r="Z39" s="50">
        <v>0</v>
      </c>
      <c r="AA39" s="50">
        <v>1</v>
      </c>
      <c r="AB39" s="50">
        <v>1</v>
      </c>
      <c r="AC39" s="52"/>
      <c r="AD39" s="52"/>
      <c r="AE39" s="50">
        <v>0</v>
      </c>
      <c r="AF39" s="50">
        <v>0</v>
      </c>
      <c r="AG39" s="50"/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4"/>
        <v>8</v>
      </c>
    </row>
    <row r="40" spans="1:47">
      <c r="B40" s="23">
        <v>14</v>
      </c>
      <c r="C40" s="11"/>
      <c r="D40" s="11"/>
      <c r="E40" s="50"/>
      <c r="F40" s="50"/>
      <c r="G40" s="50"/>
      <c r="H40" s="50"/>
      <c r="I40" s="50"/>
      <c r="J40" s="50"/>
      <c r="K40" s="52"/>
      <c r="L40" s="52"/>
      <c r="M40" s="50"/>
      <c r="N40" s="50"/>
      <c r="O40" s="50"/>
      <c r="P40" s="50"/>
      <c r="Q40" s="78"/>
      <c r="R40" s="50"/>
      <c r="S40" s="50"/>
      <c r="T40" s="52"/>
      <c r="U40" s="52"/>
      <c r="V40" s="50"/>
      <c r="W40" s="50"/>
      <c r="X40" s="50"/>
      <c r="Y40" s="50"/>
      <c r="Z40" s="50"/>
      <c r="AA40" s="50"/>
      <c r="AB40" s="50"/>
      <c r="AC40" s="52"/>
      <c r="AD40" s="52"/>
      <c r="AE40" s="50"/>
      <c r="AF40" s="50"/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4"/>
        <v>0</v>
      </c>
    </row>
    <row r="41" spans="1:47">
      <c r="B41" s="23">
        <v>15</v>
      </c>
      <c r="C41" s="11"/>
      <c r="D41" s="11"/>
      <c r="E41" s="50"/>
      <c r="F41" s="50"/>
      <c r="G41" s="50"/>
      <c r="H41" s="50"/>
      <c r="I41" s="50"/>
      <c r="J41" s="50"/>
      <c r="K41" s="52"/>
      <c r="L41" s="52"/>
      <c r="M41" s="50"/>
      <c r="N41" s="50"/>
      <c r="O41" s="50"/>
      <c r="P41" s="50"/>
      <c r="Q41" s="78"/>
      <c r="R41" s="50"/>
      <c r="S41" s="50"/>
      <c r="T41" s="52"/>
      <c r="U41" s="52"/>
      <c r="V41" s="50"/>
      <c r="W41" s="50"/>
      <c r="X41" s="50"/>
      <c r="Y41" s="50"/>
      <c r="Z41" s="50"/>
      <c r="AA41" s="50"/>
      <c r="AB41" s="50"/>
      <c r="AC41" s="52"/>
      <c r="AD41" s="52"/>
      <c r="AE41" s="50"/>
      <c r="AF41" s="50"/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4"/>
        <v>0</v>
      </c>
    </row>
    <row r="42" spans="1:47">
      <c r="B42" s="23">
        <v>16</v>
      </c>
      <c r="C42" s="11"/>
      <c r="D42" s="11"/>
      <c r="E42" s="50"/>
      <c r="F42" s="50"/>
      <c r="G42" s="50"/>
      <c r="H42" s="50"/>
      <c r="I42" s="50"/>
      <c r="J42" s="50"/>
      <c r="K42" s="52"/>
      <c r="L42" s="52"/>
      <c r="M42" s="50"/>
      <c r="N42" s="50"/>
      <c r="O42" s="50"/>
      <c r="P42" s="50"/>
      <c r="Q42" s="78"/>
      <c r="R42" s="50"/>
      <c r="S42" s="50"/>
      <c r="T42" s="52"/>
      <c r="U42" s="52"/>
      <c r="V42" s="50"/>
      <c r="W42" s="50"/>
      <c r="X42" s="50"/>
      <c r="Y42" s="50"/>
      <c r="Z42" s="50"/>
      <c r="AA42" s="50"/>
      <c r="AB42" s="50"/>
      <c r="AC42" s="52"/>
      <c r="AD42" s="52"/>
      <c r="AE42" s="50"/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4"/>
        <v>0</v>
      </c>
    </row>
    <row r="43" spans="1:47" ht="19.5">
      <c r="B43" s="68">
        <v>13</v>
      </c>
      <c r="C43" s="12" t="s">
        <v>58</v>
      </c>
      <c r="D43" s="11"/>
      <c r="E43" s="8">
        <f>COUNTIF(E27:E42,"1")</f>
        <v>6</v>
      </c>
      <c r="F43" s="8">
        <f t="shared" ref="F43:AT43" si="5">COUNTIF(F27:F42,"1")</f>
        <v>9</v>
      </c>
      <c r="G43" s="8">
        <f t="shared" si="5"/>
        <v>7</v>
      </c>
      <c r="H43" s="8">
        <f t="shared" si="5"/>
        <v>8</v>
      </c>
      <c r="I43" s="8">
        <f t="shared" si="5"/>
        <v>6</v>
      </c>
      <c r="J43" s="8">
        <f t="shared" si="5"/>
        <v>6</v>
      </c>
      <c r="K43" s="8">
        <f t="shared" si="5"/>
        <v>0</v>
      </c>
      <c r="L43" s="8">
        <f t="shared" si="5"/>
        <v>0</v>
      </c>
      <c r="M43" s="8">
        <f t="shared" si="5"/>
        <v>7</v>
      </c>
      <c r="N43" s="8">
        <f t="shared" si="5"/>
        <v>7</v>
      </c>
      <c r="O43" s="8">
        <f t="shared" si="5"/>
        <v>9</v>
      </c>
      <c r="P43" s="8">
        <f t="shared" si="5"/>
        <v>9</v>
      </c>
      <c r="Q43" s="8">
        <f t="shared" si="5"/>
        <v>1</v>
      </c>
      <c r="R43" s="8">
        <f t="shared" si="5"/>
        <v>4</v>
      </c>
      <c r="S43" s="8">
        <f t="shared" si="5"/>
        <v>3</v>
      </c>
      <c r="T43" s="8">
        <f t="shared" si="5"/>
        <v>0</v>
      </c>
      <c r="U43" s="8">
        <f t="shared" si="5"/>
        <v>0</v>
      </c>
      <c r="V43" s="8">
        <f t="shared" si="5"/>
        <v>8</v>
      </c>
      <c r="W43" s="8">
        <f t="shared" si="5"/>
        <v>11</v>
      </c>
      <c r="X43" s="8">
        <f t="shared" si="5"/>
        <v>10</v>
      </c>
      <c r="Y43" s="8">
        <f t="shared" si="5"/>
        <v>7</v>
      </c>
      <c r="Z43" s="8">
        <f t="shared" si="5"/>
        <v>11</v>
      </c>
      <c r="AA43" s="8">
        <f t="shared" si="5"/>
        <v>9</v>
      </c>
      <c r="AB43" s="8">
        <f t="shared" si="5"/>
        <v>12</v>
      </c>
      <c r="AC43" s="8">
        <f t="shared" si="5"/>
        <v>0</v>
      </c>
      <c r="AD43" s="8">
        <f t="shared" si="5"/>
        <v>0</v>
      </c>
      <c r="AE43" s="8">
        <f t="shared" si="5"/>
        <v>11</v>
      </c>
      <c r="AF43" s="8">
        <f t="shared" si="5"/>
        <v>9</v>
      </c>
      <c r="AG43" s="8">
        <f t="shared" si="5"/>
        <v>0</v>
      </c>
      <c r="AH43" s="8">
        <f t="shared" si="5"/>
        <v>0</v>
      </c>
      <c r="AI43" s="8">
        <f t="shared" si="5"/>
        <v>0</v>
      </c>
      <c r="AJ43" s="8">
        <f t="shared" si="5"/>
        <v>0</v>
      </c>
      <c r="AK43" s="8">
        <f t="shared" si="5"/>
        <v>0</v>
      </c>
      <c r="AL43" s="8">
        <f t="shared" si="5"/>
        <v>0</v>
      </c>
      <c r="AM43" s="8">
        <f t="shared" si="5"/>
        <v>0</v>
      </c>
      <c r="AN43" s="8">
        <f t="shared" si="5"/>
        <v>0</v>
      </c>
      <c r="AO43" s="8">
        <f t="shared" si="5"/>
        <v>0</v>
      </c>
      <c r="AP43" s="8">
        <f t="shared" si="5"/>
        <v>0</v>
      </c>
      <c r="AQ43" s="8">
        <f t="shared" si="5"/>
        <v>0</v>
      </c>
      <c r="AR43" s="8">
        <f t="shared" si="5"/>
        <v>0</v>
      </c>
      <c r="AS43" s="8">
        <f t="shared" si="5"/>
        <v>0</v>
      </c>
      <c r="AT43" s="8">
        <f t="shared" si="5"/>
        <v>0</v>
      </c>
      <c r="AU43" s="1">
        <f t="shared" si="4"/>
        <v>140</v>
      </c>
    </row>
    <row r="44" spans="1:47" ht="15" customHeight="1">
      <c r="E44">
        <f>SUM(E23+E43)</f>
        <v>14</v>
      </c>
      <c r="F44">
        <f t="shared" ref="F44:O44" si="6">SUM(F23+F43)</f>
        <v>18</v>
      </c>
      <c r="G44">
        <f t="shared" si="6"/>
        <v>15</v>
      </c>
      <c r="H44">
        <f t="shared" si="6"/>
        <v>17</v>
      </c>
      <c r="I44">
        <f t="shared" si="6"/>
        <v>11</v>
      </c>
      <c r="J44">
        <f t="shared" si="6"/>
        <v>14</v>
      </c>
      <c r="M44">
        <f t="shared" si="6"/>
        <v>14</v>
      </c>
      <c r="N44">
        <f t="shared" si="6"/>
        <v>13</v>
      </c>
      <c r="O44">
        <f t="shared" si="6"/>
        <v>17</v>
      </c>
    </row>
    <row r="45" spans="1:47" ht="15" customHeight="1">
      <c r="C45" s="71">
        <f>SUM(B23+B43)</f>
        <v>26</v>
      </c>
    </row>
  </sheetData>
  <sortState xmlns:xlrd2="http://schemas.microsoft.com/office/spreadsheetml/2017/richdata2" ref="C27:F37">
    <sortCondition ref="D27:D37"/>
  </sortState>
  <mergeCells count="88">
    <mergeCell ref="AT24:AT25"/>
    <mergeCell ref="A27:A34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U24:U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AR4:AR5"/>
    <mergeCell ref="AS4:AS5"/>
    <mergeCell ref="AT4:AT5"/>
    <mergeCell ref="A6:A13"/>
    <mergeCell ref="A14:A22"/>
    <mergeCell ref="AL4:AL5"/>
    <mergeCell ref="AM4:AM5"/>
    <mergeCell ref="AN4:AN5"/>
    <mergeCell ref="AO4:AO5"/>
    <mergeCell ref="AP4:AP5"/>
    <mergeCell ref="AQ4:AQ5"/>
    <mergeCell ref="AF4:AF5"/>
    <mergeCell ref="AG4:AG5"/>
    <mergeCell ref="AH4:AH5"/>
    <mergeCell ref="AI4:AI5"/>
    <mergeCell ref="AJ4:AJ5"/>
    <mergeCell ref="E24:E25"/>
    <mergeCell ref="F24:F25"/>
    <mergeCell ref="G24:G25"/>
    <mergeCell ref="H24:H25"/>
    <mergeCell ref="I24:I25"/>
    <mergeCell ref="X4:X5"/>
    <mergeCell ref="AK4:AK5"/>
    <mergeCell ref="Z4:Z5"/>
    <mergeCell ref="AA4:AA5"/>
    <mergeCell ref="AB4:AB5"/>
    <mergeCell ref="AC4:AC5"/>
    <mergeCell ref="AD4:AD5"/>
    <mergeCell ref="AE4:AE5"/>
    <mergeCell ref="S4:S5"/>
    <mergeCell ref="T4:T5"/>
    <mergeCell ref="U4:U5"/>
    <mergeCell ref="V4:V5"/>
    <mergeCell ref="W4:W5"/>
    <mergeCell ref="C1:AP3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Y4:Y5"/>
    <mergeCell ref="N4:N5"/>
    <mergeCell ref="O4:O5"/>
    <mergeCell ref="P4:P5"/>
    <mergeCell ref="Q4:Q5"/>
    <mergeCell ref="R4:R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83" orientation="portrait"/>
  <rowBreaks count="1" manualBreakCount="1">
    <brk id="4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225C-1DB4-4DD3-ADD3-442660B62694}">
  <sheetPr>
    <tabColor theme="4" tint="-0.499984740745262"/>
    <pageSetUpPr fitToPage="1"/>
  </sheetPr>
  <dimension ref="A1:AU45"/>
  <sheetViews>
    <sheetView workbookViewId="0">
      <selection activeCell="AF46" sqref="AF46"/>
    </sheetView>
  </sheetViews>
  <sheetFormatPr defaultColWidth="11.42578125" defaultRowHeight="15" customHeight="1"/>
  <cols>
    <col min="1" max="1" width="6.5703125" style="2" customWidth="1"/>
    <col min="2" max="2" width="4" style="2" bestFit="1" customWidth="1"/>
    <col min="3" max="3" width="30" style="4" bestFit="1" customWidth="1"/>
    <col min="4" max="4" width="4.28515625" style="4" customWidth="1"/>
    <col min="5" max="42" width="7.140625" bestFit="1" customWidth="1"/>
    <col min="43" max="43" width="7.140625" style="1" bestFit="1" customWidth="1"/>
    <col min="44" max="46" width="7.140625" bestFit="1" customWidth="1"/>
  </cols>
  <sheetData>
    <row r="1" spans="1:47" ht="14.45" customHeight="1">
      <c r="C1" s="101" t="s">
        <v>377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47" ht="14.45" customHeight="1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47" ht="21" customHeight="1"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</row>
    <row r="4" spans="1:47" ht="21" customHeight="1">
      <c r="B4" s="22"/>
      <c r="C4" s="13"/>
      <c r="D4" s="13"/>
      <c r="E4" s="99">
        <v>45913</v>
      </c>
      <c r="F4" s="99">
        <f>E4+7</f>
        <v>45920</v>
      </c>
      <c r="G4" s="99">
        <f t="shared" ref="G4:AT4" si="0">F4+7</f>
        <v>45927</v>
      </c>
      <c r="H4" s="99">
        <f t="shared" si="0"/>
        <v>45934</v>
      </c>
      <c r="I4" s="99">
        <f t="shared" si="0"/>
        <v>45941</v>
      </c>
      <c r="J4" s="99">
        <f t="shared" si="0"/>
        <v>45948</v>
      </c>
      <c r="K4" s="99">
        <f t="shared" si="0"/>
        <v>45955</v>
      </c>
      <c r="L4" s="99">
        <f t="shared" si="0"/>
        <v>45962</v>
      </c>
      <c r="M4" s="99">
        <f t="shared" si="0"/>
        <v>45969</v>
      </c>
      <c r="N4" s="99">
        <f t="shared" si="0"/>
        <v>45976</v>
      </c>
      <c r="O4" s="99">
        <f t="shared" si="0"/>
        <v>45983</v>
      </c>
      <c r="P4" s="99">
        <f t="shared" si="0"/>
        <v>45990</v>
      </c>
      <c r="Q4" s="99">
        <f t="shared" si="0"/>
        <v>45997</v>
      </c>
      <c r="R4" s="99">
        <f t="shared" si="0"/>
        <v>46004</v>
      </c>
      <c r="S4" s="99">
        <f t="shared" si="0"/>
        <v>46011</v>
      </c>
      <c r="T4" s="99">
        <f t="shared" si="0"/>
        <v>46018</v>
      </c>
      <c r="U4" s="99">
        <f t="shared" si="0"/>
        <v>46025</v>
      </c>
      <c r="V4" s="99">
        <f t="shared" si="0"/>
        <v>46032</v>
      </c>
      <c r="W4" s="99">
        <f t="shared" si="0"/>
        <v>46039</v>
      </c>
      <c r="X4" s="99">
        <f t="shared" si="0"/>
        <v>46046</v>
      </c>
      <c r="Y4" s="99">
        <f t="shared" si="0"/>
        <v>46053</v>
      </c>
      <c r="Z4" s="99">
        <f t="shared" si="0"/>
        <v>46060</v>
      </c>
      <c r="AA4" s="99">
        <f t="shared" si="0"/>
        <v>46067</v>
      </c>
      <c r="AB4" s="99">
        <f t="shared" si="0"/>
        <v>46074</v>
      </c>
      <c r="AC4" s="99">
        <f t="shared" si="0"/>
        <v>46081</v>
      </c>
      <c r="AD4" s="99">
        <f t="shared" si="0"/>
        <v>46088</v>
      </c>
      <c r="AE4" s="99">
        <f t="shared" si="0"/>
        <v>46095</v>
      </c>
      <c r="AF4" s="99">
        <f t="shared" si="0"/>
        <v>46102</v>
      </c>
      <c r="AG4" s="99">
        <f t="shared" si="0"/>
        <v>46109</v>
      </c>
      <c r="AH4" s="99">
        <f t="shared" si="0"/>
        <v>46116</v>
      </c>
      <c r="AI4" s="99">
        <f t="shared" si="0"/>
        <v>46123</v>
      </c>
      <c r="AJ4" s="99">
        <f t="shared" si="0"/>
        <v>46130</v>
      </c>
      <c r="AK4" s="99">
        <f t="shared" si="0"/>
        <v>46137</v>
      </c>
      <c r="AL4" s="99">
        <f t="shared" si="0"/>
        <v>46144</v>
      </c>
      <c r="AM4" s="99">
        <f t="shared" si="0"/>
        <v>46151</v>
      </c>
      <c r="AN4" s="99">
        <f t="shared" si="0"/>
        <v>46158</v>
      </c>
      <c r="AO4" s="99">
        <f t="shared" si="0"/>
        <v>46165</v>
      </c>
      <c r="AP4" s="99">
        <f t="shared" si="0"/>
        <v>46172</v>
      </c>
      <c r="AQ4" s="99">
        <f t="shared" si="0"/>
        <v>46179</v>
      </c>
      <c r="AR4" s="99">
        <f t="shared" si="0"/>
        <v>46186</v>
      </c>
      <c r="AS4" s="99">
        <f t="shared" si="0"/>
        <v>46193</v>
      </c>
      <c r="AT4" s="99">
        <f t="shared" si="0"/>
        <v>46200</v>
      </c>
    </row>
    <row r="5" spans="1:47" ht="21" customHeight="1">
      <c r="B5" s="22"/>
      <c r="C5" s="32" t="str">
        <f>'BABY Présence'!C4</f>
        <v>MAJ LISTE 11/03 : 12h15</v>
      </c>
      <c r="D5" s="13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</row>
    <row r="6" spans="1:47" ht="15" customHeight="1">
      <c r="A6" s="102" t="s">
        <v>86</v>
      </c>
      <c r="B6" s="22"/>
      <c r="C6" s="67" t="s">
        <v>2</v>
      </c>
      <c r="D6" s="70">
        <f>'BABY Présence'!D5</f>
        <v>321</v>
      </c>
      <c r="E6" s="6" t="s">
        <v>4</v>
      </c>
      <c r="F6" s="15" t="s">
        <v>5</v>
      </c>
      <c r="G6" s="6" t="s">
        <v>6</v>
      </c>
      <c r="H6" s="15" t="s">
        <v>7</v>
      </c>
      <c r="I6" s="6" t="s">
        <v>8</v>
      </c>
      <c r="J6" s="15" t="s">
        <v>9</v>
      </c>
      <c r="K6" s="27" t="s">
        <v>10</v>
      </c>
      <c r="L6" s="27" t="s">
        <v>10</v>
      </c>
      <c r="M6" s="6" t="s">
        <v>11</v>
      </c>
      <c r="N6" s="15" t="s">
        <v>12</v>
      </c>
      <c r="O6" s="6" t="s">
        <v>13</v>
      </c>
      <c r="P6" s="15" t="s">
        <v>14</v>
      </c>
      <c r="Q6" s="6" t="s">
        <v>15</v>
      </c>
      <c r="R6" s="6" t="s">
        <v>16</v>
      </c>
      <c r="S6" s="6" t="s">
        <v>17</v>
      </c>
      <c r="T6" s="27" t="s">
        <v>10</v>
      </c>
      <c r="U6" s="27" t="s">
        <v>10</v>
      </c>
      <c r="V6" s="15" t="s">
        <v>18</v>
      </c>
      <c r="W6" s="6" t="s">
        <v>19</v>
      </c>
      <c r="X6" s="15" t="s">
        <v>20</v>
      </c>
      <c r="Y6" s="6" t="s">
        <v>21</v>
      </c>
      <c r="Z6" s="15" t="s">
        <v>22</v>
      </c>
      <c r="AA6" s="6" t="s">
        <v>23</v>
      </c>
      <c r="AB6" s="15" t="s">
        <v>24</v>
      </c>
      <c r="AC6" s="27" t="s">
        <v>10</v>
      </c>
      <c r="AD6" s="27" t="s">
        <v>10</v>
      </c>
      <c r="AE6" s="6" t="s">
        <v>25</v>
      </c>
      <c r="AF6" s="15" t="s">
        <v>26</v>
      </c>
      <c r="AG6" s="6" t="s">
        <v>27</v>
      </c>
      <c r="AH6" s="6" t="s">
        <v>28</v>
      </c>
      <c r="AI6" s="15" t="s">
        <v>29</v>
      </c>
      <c r="AJ6" s="6" t="s">
        <v>30</v>
      </c>
      <c r="AK6" s="27" t="s">
        <v>10</v>
      </c>
      <c r="AL6" s="27" t="s">
        <v>10</v>
      </c>
      <c r="AM6" s="15" t="s">
        <v>31</v>
      </c>
      <c r="AN6" s="14" t="s">
        <v>32</v>
      </c>
      <c r="AO6" s="15" t="s">
        <v>33</v>
      </c>
      <c r="AP6" s="14" t="s">
        <v>34</v>
      </c>
      <c r="AQ6" s="14" t="s">
        <v>35</v>
      </c>
      <c r="AR6" s="14" t="s">
        <v>36</v>
      </c>
      <c r="AS6" s="14" t="s">
        <v>37</v>
      </c>
      <c r="AT6" s="14" t="s">
        <v>38</v>
      </c>
      <c r="AU6" s="1">
        <f>SUM(I6:AT6)</f>
        <v>0</v>
      </c>
    </row>
    <row r="7" spans="1:47">
      <c r="A7" s="102"/>
      <c r="B7" s="23">
        <v>1</v>
      </c>
      <c r="C7" s="24" t="s">
        <v>378</v>
      </c>
      <c r="D7" s="9" t="s">
        <v>88</v>
      </c>
      <c r="E7" s="47">
        <v>1</v>
      </c>
      <c r="F7" s="47">
        <v>1</v>
      </c>
      <c r="G7" s="47">
        <v>1</v>
      </c>
      <c r="H7" s="47">
        <v>1</v>
      </c>
      <c r="I7" s="47">
        <v>0</v>
      </c>
      <c r="J7" s="47">
        <v>1</v>
      </c>
      <c r="K7" s="49"/>
      <c r="L7" s="49"/>
      <c r="M7" s="47">
        <v>1</v>
      </c>
      <c r="N7" s="47">
        <v>1</v>
      </c>
      <c r="O7" s="47">
        <v>0</v>
      </c>
      <c r="P7" s="47">
        <v>1</v>
      </c>
      <c r="Q7" s="77">
        <v>0</v>
      </c>
      <c r="R7" s="47">
        <v>0</v>
      </c>
      <c r="S7" s="47">
        <v>1</v>
      </c>
      <c r="T7" s="49"/>
      <c r="U7" s="49"/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/>
      <c r="AC7" s="49"/>
      <c r="AD7" s="49">
        <v>1</v>
      </c>
      <c r="AE7" s="47">
        <v>1</v>
      </c>
      <c r="AF7" s="47"/>
      <c r="AG7" s="47"/>
      <c r="AH7" s="48"/>
      <c r="AI7" s="48"/>
      <c r="AJ7" s="48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1">
        <f t="shared" ref="AU7:AU23" si="1">SUM(I7:AT7)</f>
        <v>13</v>
      </c>
    </row>
    <row r="8" spans="1:47">
      <c r="A8" s="102"/>
      <c r="B8" s="23">
        <v>2</v>
      </c>
      <c r="C8" s="33" t="s">
        <v>379</v>
      </c>
      <c r="D8" s="9" t="s">
        <v>88</v>
      </c>
      <c r="E8" s="87">
        <v>1</v>
      </c>
      <c r="F8" s="87">
        <v>1</v>
      </c>
      <c r="G8" s="87">
        <v>1</v>
      </c>
      <c r="H8" s="87">
        <v>1</v>
      </c>
      <c r="I8" s="87">
        <v>1</v>
      </c>
      <c r="J8" s="87">
        <v>0</v>
      </c>
      <c r="K8" s="52"/>
      <c r="L8" s="52"/>
      <c r="M8" s="50">
        <v>1</v>
      </c>
      <c r="N8" s="50">
        <v>1</v>
      </c>
      <c r="O8" s="50">
        <v>1</v>
      </c>
      <c r="P8" s="50">
        <v>1</v>
      </c>
      <c r="Q8" s="78">
        <v>1</v>
      </c>
      <c r="R8" s="50">
        <v>1</v>
      </c>
      <c r="S8" s="50">
        <v>1</v>
      </c>
      <c r="T8" s="52"/>
      <c r="U8" s="52"/>
      <c r="V8" s="50">
        <v>0</v>
      </c>
      <c r="W8" s="50">
        <v>1</v>
      </c>
      <c r="X8" s="50">
        <v>1</v>
      </c>
      <c r="Y8" s="50">
        <v>1</v>
      </c>
      <c r="Z8" s="50">
        <v>0</v>
      </c>
      <c r="AA8" s="50">
        <v>1</v>
      </c>
      <c r="AB8" s="50">
        <v>1</v>
      </c>
      <c r="AC8" s="52"/>
      <c r="AD8" s="52">
        <v>1</v>
      </c>
      <c r="AE8" s="50">
        <v>1</v>
      </c>
      <c r="AF8" s="50"/>
      <c r="AG8" s="50"/>
      <c r="AH8" s="51"/>
      <c r="AI8" s="51"/>
      <c r="AJ8" s="51"/>
      <c r="AK8" s="52"/>
      <c r="AL8" s="52"/>
      <c r="AM8" s="51"/>
      <c r="AN8" s="51"/>
      <c r="AO8" s="51"/>
      <c r="AP8" s="51"/>
      <c r="AQ8" s="51"/>
      <c r="AR8" s="51"/>
      <c r="AS8" s="51"/>
      <c r="AT8" s="51"/>
      <c r="AU8" s="1">
        <f t="shared" si="1"/>
        <v>15</v>
      </c>
    </row>
    <row r="9" spans="1:47">
      <c r="A9" s="102"/>
      <c r="B9" s="23">
        <v>3</v>
      </c>
      <c r="C9" s="24" t="s">
        <v>93</v>
      </c>
      <c r="D9" s="9" t="s">
        <v>94</v>
      </c>
      <c r="E9" s="87">
        <v>1</v>
      </c>
      <c r="F9" s="50">
        <v>0</v>
      </c>
      <c r="G9" s="50">
        <v>1</v>
      </c>
      <c r="H9" s="50">
        <v>1</v>
      </c>
      <c r="I9" s="50">
        <v>0</v>
      </c>
      <c r="J9" s="50">
        <v>0</v>
      </c>
      <c r="K9" s="52"/>
      <c r="L9" s="52"/>
      <c r="M9" s="50">
        <v>1</v>
      </c>
      <c r="N9" s="50">
        <v>1</v>
      </c>
      <c r="O9" s="50">
        <v>1</v>
      </c>
      <c r="P9" s="50">
        <v>1</v>
      </c>
      <c r="Q9" s="78">
        <v>1</v>
      </c>
      <c r="R9" s="50">
        <v>1</v>
      </c>
      <c r="S9" s="50">
        <v>0</v>
      </c>
      <c r="T9" s="52"/>
      <c r="U9" s="52"/>
      <c r="V9" s="50">
        <v>1</v>
      </c>
      <c r="W9" s="50">
        <v>1</v>
      </c>
      <c r="X9" s="50">
        <v>1</v>
      </c>
      <c r="Y9" s="50">
        <v>1</v>
      </c>
      <c r="Z9" s="50">
        <v>1</v>
      </c>
      <c r="AA9" s="50">
        <v>1</v>
      </c>
      <c r="AB9" s="50">
        <v>1</v>
      </c>
      <c r="AC9" s="52"/>
      <c r="AD9" s="52">
        <v>0</v>
      </c>
      <c r="AE9" s="50">
        <v>0</v>
      </c>
      <c r="AF9" s="50"/>
      <c r="AG9" s="50"/>
      <c r="AH9" s="51"/>
      <c r="AI9" s="51"/>
      <c r="AJ9" s="51"/>
      <c r="AK9" s="52"/>
      <c r="AL9" s="52"/>
      <c r="AM9" s="51"/>
      <c r="AN9" s="51"/>
      <c r="AO9" s="51"/>
      <c r="AP9" s="51"/>
      <c r="AQ9" s="51"/>
      <c r="AR9" s="51"/>
      <c r="AS9" s="51"/>
      <c r="AT9" s="51"/>
      <c r="AU9" s="1">
        <f t="shared" si="1"/>
        <v>13</v>
      </c>
    </row>
    <row r="10" spans="1:47">
      <c r="A10" s="102"/>
      <c r="B10" s="23">
        <v>4</v>
      </c>
      <c r="C10" s="24" t="s">
        <v>380</v>
      </c>
      <c r="D10" s="9" t="s">
        <v>94</v>
      </c>
      <c r="E10" s="87">
        <v>1</v>
      </c>
      <c r="F10" s="50">
        <v>1</v>
      </c>
      <c r="G10" s="50">
        <v>1</v>
      </c>
      <c r="H10" s="50">
        <v>0</v>
      </c>
      <c r="I10" s="50">
        <v>1</v>
      </c>
      <c r="J10" s="50">
        <v>1</v>
      </c>
      <c r="K10" s="52"/>
      <c r="L10" s="52"/>
      <c r="M10" s="50">
        <v>1</v>
      </c>
      <c r="N10" s="50">
        <v>1</v>
      </c>
      <c r="O10" s="50">
        <v>1</v>
      </c>
      <c r="P10" s="50">
        <v>1</v>
      </c>
      <c r="Q10" s="78">
        <v>1</v>
      </c>
      <c r="R10" s="50">
        <v>1</v>
      </c>
      <c r="S10" s="50">
        <v>0</v>
      </c>
      <c r="T10" s="52"/>
      <c r="U10" s="52"/>
      <c r="V10" s="50">
        <v>1</v>
      </c>
      <c r="W10" s="50">
        <v>1</v>
      </c>
      <c r="X10" s="50">
        <v>1</v>
      </c>
      <c r="Y10" s="50">
        <v>1</v>
      </c>
      <c r="Z10" s="50">
        <v>0</v>
      </c>
      <c r="AA10" s="50">
        <v>1</v>
      </c>
      <c r="AB10" s="50">
        <v>0</v>
      </c>
      <c r="AC10" s="52"/>
      <c r="AD10" s="52">
        <v>0</v>
      </c>
      <c r="AE10" s="50">
        <v>0</v>
      </c>
      <c r="AF10" s="50"/>
      <c r="AG10" s="50"/>
      <c r="AH10" s="51"/>
      <c r="AI10" s="51"/>
      <c r="AJ10" s="51"/>
      <c r="AK10" s="52"/>
      <c r="AL10" s="52"/>
      <c r="AM10" s="51"/>
      <c r="AN10" s="51"/>
      <c r="AO10" s="51"/>
      <c r="AP10" s="51"/>
      <c r="AQ10" s="51"/>
      <c r="AR10" s="51"/>
      <c r="AS10" s="51"/>
      <c r="AT10" s="51"/>
      <c r="AU10" s="1">
        <f t="shared" si="1"/>
        <v>13</v>
      </c>
    </row>
    <row r="11" spans="1:47">
      <c r="A11" s="102"/>
      <c r="B11" s="23">
        <v>5</v>
      </c>
      <c r="C11" s="24" t="s">
        <v>381</v>
      </c>
      <c r="D11" s="9" t="s">
        <v>94</v>
      </c>
      <c r="E11" s="87">
        <v>0</v>
      </c>
      <c r="F11" s="50">
        <v>1</v>
      </c>
      <c r="G11" s="50">
        <v>1</v>
      </c>
      <c r="H11" s="50">
        <v>1</v>
      </c>
      <c r="I11" s="50">
        <v>0</v>
      </c>
      <c r="J11" s="50">
        <v>1</v>
      </c>
      <c r="K11" s="52"/>
      <c r="L11" s="52"/>
      <c r="M11" s="50">
        <v>0</v>
      </c>
      <c r="N11" s="50">
        <v>1</v>
      </c>
      <c r="O11" s="50">
        <v>1</v>
      </c>
      <c r="P11" s="50">
        <v>1</v>
      </c>
      <c r="Q11" s="78">
        <v>1</v>
      </c>
      <c r="R11" s="50">
        <v>1</v>
      </c>
      <c r="S11" s="50">
        <v>1</v>
      </c>
      <c r="T11" s="52"/>
      <c r="U11" s="52"/>
      <c r="V11" s="50">
        <v>1</v>
      </c>
      <c r="W11" s="50">
        <v>1</v>
      </c>
      <c r="X11" s="50">
        <v>1</v>
      </c>
      <c r="Y11" s="50">
        <v>0</v>
      </c>
      <c r="Z11" s="50">
        <v>1</v>
      </c>
      <c r="AA11" s="50">
        <v>1</v>
      </c>
      <c r="AB11" s="50">
        <v>0</v>
      </c>
      <c r="AC11" s="52"/>
      <c r="AD11" s="52">
        <v>1</v>
      </c>
      <c r="AE11" s="50">
        <v>0</v>
      </c>
      <c r="AF11" s="50"/>
      <c r="AG11" s="50"/>
      <c r="AH11" s="51"/>
      <c r="AI11" s="51"/>
      <c r="AJ11" s="51"/>
      <c r="AK11" s="52"/>
      <c r="AL11" s="52"/>
      <c r="AM11" s="51"/>
      <c r="AN11" s="51"/>
      <c r="AO11" s="51"/>
      <c r="AP11" s="51"/>
      <c r="AQ11" s="51"/>
      <c r="AR11" s="51"/>
      <c r="AS11" s="51"/>
      <c r="AT11" s="51"/>
      <c r="AU11" s="1">
        <f t="shared" si="1"/>
        <v>13</v>
      </c>
    </row>
    <row r="12" spans="1:47">
      <c r="A12" s="102"/>
      <c r="B12" s="23">
        <v>6</v>
      </c>
      <c r="C12" s="24" t="s">
        <v>382</v>
      </c>
      <c r="D12" s="9" t="s">
        <v>101</v>
      </c>
      <c r="E12" s="50">
        <v>0</v>
      </c>
      <c r="F12" s="50">
        <v>0</v>
      </c>
      <c r="G12" s="50">
        <v>1</v>
      </c>
      <c r="H12" s="50">
        <v>0</v>
      </c>
      <c r="I12" s="50">
        <v>1</v>
      </c>
      <c r="J12" s="50">
        <v>1</v>
      </c>
      <c r="K12" s="52"/>
      <c r="L12" s="52"/>
      <c r="M12" s="50">
        <v>1</v>
      </c>
      <c r="N12" s="50">
        <v>1</v>
      </c>
      <c r="O12" s="50">
        <v>1</v>
      </c>
      <c r="P12" s="50">
        <v>1</v>
      </c>
      <c r="Q12" s="78">
        <v>0</v>
      </c>
      <c r="R12" s="50">
        <v>0</v>
      </c>
      <c r="S12" s="50">
        <v>1</v>
      </c>
      <c r="T12" s="52"/>
      <c r="U12" s="52"/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2"/>
      <c r="AD12" s="52">
        <v>1</v>
      </c>
      <c r="AE12" s="50">
        <v>1</v>
      </c>
      <c r="AF12" s="50"/>
      <c r="AG12" s="50"/>
      <c r="AH12" s="51"/>
      <c r="AI12" s="51"/>
      <c r="AJ12" s="51"/>
      <c r="AK12" s="52"/>
      <c r="AL12" s="52"/>
      <c r="AM12" s="51"/>
      <c r="AN12" s="51"/>
      <c r="AO12" s="51"/>
      <c r="AP12" s="51"/>
      <c r="AQ12" s="51"/>
      <c r="AR12" s="51"/>
      <c r="AS12" s="51"/>
      <c r="AT12" s="51"/>
      <c r="AU12" s="1">
        <f t="shared" si="1"/>
        <v>16</v>
      </c>
    </row>
    <row r="13" spans="1:47">
      <c r="A13" s="102"/>
      <c r="B13" s="23">
        <v>7</v>
      </c>
      <c r="C13" s="24" t="s">
        <v>383</v>
      </c>
      <c r="D13" s="9" t="s">
        <v>103</v>
      </c>
      <c r="E13" s="87">
        <v>0</v>
      </c>
      <c r="F13" s="50">
        <v>1</v>
      </c>
      <c r="G13" s="50">
        <v>1</v>
      </c>
      <c r="H13" s="50">
        <v>1</v>
      </c>
      <c r="I13" s="50">
        <v>1</v>
      </c>
      <c r="J13" s="50">
        <v>1</v>
      </c>
      <c r="K13" s="52"/>
      <c r="L13" s="52"/>
      <c r="M13" s="50">
        <v>1</v>
      </c>
      <c r="N13" s="50">
        <v>0</v>
      </c>
      <c r="O13" s="50">
        <v>1</v>
      </c>
      <c r="P13" s="50">
        <v>0</v>
      </c>
      <c r="Q13" s="78">
        <v>1</v>
      </c>
      <c r="R13" s="50">
        <v>0</v>
      </c>
      <c r="S13" s="50">
        <v>0</v>
      </c>
      <c r="T13" s="52"/>
      <c r="U13" s="52"/>
      <c r="V13" s="50">
        <v>0</v>
      </c>
      <c r="W13" s="50">
        <v>1</v>
      </c>
      <c r="X13" s="50">
        <v>0</v>
      </c>
      <c r="Y13" s="50">
        <v>1</v>
      </c>
      <c r="Z13" s="50">
        <v>1</v>
      </c>
      <c r="AA13" s="50">
        <v>1</v>
      </c>
      <c r="AB13" s="50">
        <v>1</v>
      </c>
      <c r="AC13" s="52"/>
      <c r="AD13" s="52">
        <v>1</v>
      </c>
      <c r="AE13" s="50">
        <v>1</v>
      </c>
      <c r="AF13" s="50"/>
      <c r="AG13" s="50"/>
      <c r="AH13" s="51"/>
      <c r="AI13" s="51"/>
      <c r="AJ13" s="51"/>
      <c r="AK13" s="52"/>
      <c r="AL13" s="52"/>
      <c r="AM13" s="51"/>
      <c r="AN13" s="51"/>
      <c r="AO13" s="51"/>
      <c r="AP13" s="51"/>
      <c r="AQ13" s="51"/>
      <c r="AR13" s="51"/>
      <c r="AS13" s="51"/>
      <c r="AT13" s="51"/>
      <c r="AU13" s="1">
        <f t="shared" si="1"/>
        <v>12</v>
      </c>
    </row>
    <row r="14" spans="1:47">
      <c r="A14" s="102"/>
      <c r="B14" s="23">
        <v>8</v>
      </c>
      <c r="C14" s="24" t="s">
        <v>384</v>
      </c>
      <c r="D14" s="9" t="s">
        <v>103</v>
      </c>
      <c r="E14" s="87">
        <v>0</v>
      </c>
      <c r="F14" s="87">
        <v>0</v>
      </c>
      <c r="G14" s="50">
        <v>1</v>
      </c>
      <c r="H14" s="50">
        <v>1</v>
      </c>
      <c r="I14" s="50">
        <v>1</v>
      </c>
      <c r="J14" s="50">
        <v>1</v>
      </c>
      <c r="K14" s="52"/>
      <c r="L14" s="52"/>
      <c r="M14" s="50">
        <v>1</v>
      </c>
      <c r="N14" s="50">
        <v>1</v>
      </c>
      <c r="O14" s="50">
        <v>1</v>
      </c>
      <c r="P14" s="50">
        <v>1</v>
      </c>
      <c r="Q14" s="78"/>
      <c r="R14" s="50">
        <v>1</v>
      </c>
      <c r="S14" s="50">
        <v>1</v>
      </c>
      <c r="T14" s="52"/>
      <c r="U14" s="52"/>
      <c r="V14" s="50">
        <v>1</v>
      </c>
      <c r="W14" s="50">
        <v>1</v>
      </c>
      <c r="X14" s="50">
        <v>1</v>
      </c>
      <c r="Y14" s="50">
        <v>1</v>
      </c>
      <c r="Z14" s="50">
        <v>1</v>
      </c>
      <c r="AA14" s="50">
        <v>1</v>
      </c>
      <c r="AB14" s="50">
        <v>1</v>
      </c>
      <c r="AC14" s="52"/>
      <c r="AD14" s="52"/>
      <c r="AE14" s="50">
        <v>1</v>
      </c>
      <c r="AF14" s="50"/>
      <c r="AG14" s="50"/>
      <c r="AH14" s="51"/>
      <c r="AI14" s="51"/>
      <c r="AJ14" s="51"/>
      <c r="AK14" s="52"/>
      <c r="AL14" s="52"/>
      <c r="AM14" s="51"/>
      <c r="AN14" s="51"/>
      <c r="AO14" s="51"/>
      <c r="AP14" s="51"/>
      <c r="AQ14" s="51"/>
      <c r="AR14" s="51"/>
      <c r="AS14" s="51"/>
      <c r="AT14" s="51"/>
      <c r="AU14" s="1">
        <f t="shared" si="1"/>
        <v>16</v>
      </c>
    </row>
    <row r="15" spans="1:47">
      <c r="A15" s="102"/>
      <c r="B15" s="23">
        <v>9</v>
      </c>
      <c r="C15" s="24" t="s">
        <v>385</v>
      </c>
      <c r="D15" s="9" t="s">
        <v>208</v>
      </c>
      <c r="E15" s="47">
        <v>1</v>
      </c>
      <c r="F15" s="47">
        <v>1</v>
      </c>
      <c r="G15" s="47">
        <v>1</v>
      </c>
      <c r="H15" s="47">
        <v>1</v>
      </c>
      <c r="I15" s="47">
        <v>1</v>
      </c>
      <c r="J15" s="47">
        <v>1</v>
      </c>
      <c r="K15" s="49"/>
      <c r="L15" s="49"/>
      <c r="M15" s="47">
        <v>1</v>
      </c>
      <c r="N15" s="47">
        <v>1</v>
      </c>
      <c r="O15" s="47">
        <v>1</v>
      </c>
      <c r="P15" s="47">
        <v>1</v>
      </c>
      <c r="Q15" s="77"/>
      <c r="R15" s="47">
        <v>1</v>
      </c>
      <c r="S15" s="47">
        <v>1</v>
      </c>
      <c r="T15" s="49"/>
      <c r="U15" s="49"/>
      <c r="V15" s="4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49"/>
      <c r="AD15" s="49"/>
      <c r="AE15" s="47">
        <v>1</v>
      </c>
      <c r="AF15" s="47"/>
      <c r="AG15" s="47"/>
      <c r="AH15" s="48"/>
      <c r="AI15" s="48"/>
      <c r="AJ15" s="48"/>
      <c r="AK15" s="49"/>
      <c r="AL15" s="49"/>
      <c r="AM15" s="48"/>
      <c r="AN15" s="48"/>
      <c r="AO15" s="48"/>
      <c r="AP15" s="48"/>
      <c r="AQ15" s="48"/>
      <c r="AR15" s="48"/>
      <c r="AS15" s="48"/>
      <c r="AT15" s="48"/>
      <c r="AU15" s="1">
        <f t="shared" si="1"/>
        <v>16</v>
      </c>
    </row>
    <row r="16" spans="1:47">
      <c r="A16" s="102"/>
      <c r="B16" s="23">
        <v>10</v>
      </c>
      <c r="C16" s="24" t="s">
        <v>386</v>
      </c>
      <c r="D16" s="9" t="s">
        <v>212</v>
      </c>
      <c r="E16" s="50">
        <v>1</v>
      </c>
      <c r="F16" s="50">
        <v>1</v>
      </c>
      <c r="G16" s="50">
        <v>1</v>
      </c>
      <c r="H16" s="50">
        <v>1</v>
      </c>
      <c r="I16" s="50">
        <v>1</v>
      </c>
      <c r="J16" s="50">
        <v>1</v>
      </c>
      <c r="K16" s="52"/>
      <c r="L16" s="52"/>
      <c r="M16" s="50">
        <v>1</v>
      </c>
      <c r="N16" s="50">
        <v>1</v>
      </c>
      <c r="O16" s="50">
        <v>1</v>
      </c>
      <c r="P16" s="50">
        <v>1</v>
      </c>
      <c r="Q16" s="78"/>
      <c r="R16" s="50">
        <v>1</v>
      </c>
      <c r="S16" s="50">
        <v>0</v>
      </c>
      <c r="T16" s="52"/>
      <c r="U16" s="52"/>
      <c r="V16" s="50">
        <v>1</v>
      </c>
      <c r="W16" s="50">
        <v>1</v>
      </c>
      <c r="X16" s="50">
        <v>1</v>
      </c>
      <c r="Y16" s="50">
        <v>1</v>
      </c>
      <c r="Z16" s="50">
        <v>1</v>
      </c>
      <c r="AA16" s="50">
        <v>1</v>
      </c>
      <c r="AB16" s="50">
        <v>1</v>
      </c>
      <c r="AC16" s="52"/>
      <c r="AD16" s="52"/>
      <c r="AE16" s="50">
        <v>1</v>
      </c>
      <c r="AF16" s="50"/>
      <c r="AG16" s="50"/>
      <c r="AH16" s="51"/>
      <c r="AI16" s="51"/>
      <c r="AJ16" s="51"/>
      <c r="AK16" s="52"/>
      <c r="AL16" s="52"/>
      <c r="AM16" s="51"/>
      <c r="AN16" s="51"/>
      <c r="AO16" s="51"/>
      <c r="AP16" s="51"/>
      <c r="AQ16" s="51"/>
      <c r="AR16" s="51"/>
      <c r="AS16" s="51"/>
      <c r="AT16" s="51"/>
      <c r="AU16" s="1">
        <f t="shared" si="1"/>
        <v>15</v>
      </c>
    </row>
    <row r="17" spans="1:47">
      <c r="A17" s="102"/>
      <c r="B17" s="23">
        <v>11</v>
      </c>
      <c r="C17" s="24" t="s">
        <v>387</v>
      </c>
      <c r="D17" s="9" t="s">
        <v>212</v>
      </c>
      <c r="E17" s="87">
        <v>0</v>
      </c>
      <c r="F17" s="87">
        <v>0</v>
      </c>
      <c r="G17" s="87">
        <v>0</v>
      </c>
      <c r="H17" s="50">
        <v>1</v>
      </c>
      <c r="I17" s="50">
        <v>1</v>
      </c>
      <c r="J17" s="50">
        <v>1</v>
      </c>
      <c r="K17" s="52"/>
      <c r="L17" s="52"/>
      <c r="M17" s="50">
        <v>1</v>
      </c>
      <c r="N17" s="50">
        <v>0</v>
      </c>
      <c r="O17" s="50">
        <v>1</v>
      </c>
      <c r="P17" s="50">
        <v>1</v>
      </c>
      <c r="Q17" s="78"/>
      <c r="R17" s="50">
        <v>1</v>
      </c>
      <c r="S17" s="50">
        <v>1</v>
      </c>
      <c r="T17" s="52"/>
      <c r="U17" s="52"/>
      <c r="V17" s="50">
        <v>1</v>
      </c>
      <c r="W17" s="50">
        <v>1</v>
      </c>
      <c r="X17" s="50">
        <v>1</v>
      </c>
      <c r="Y17" s="50">
        <v>1</v>
      </c>
      <c r="Z17" s="50">
        <v>1</v>
      </c>
      <c r="AA17" s="50">
        <v>1</v>
      </c>
      <c r="AB17" s="50">
        <v>1</v>
      </c>
      <c r="AC17" s="52"/>
      <c r="AD17" s="52"/>
      <c r="AE17" s="50">
        <v>1</v>
      </c>
      <c r="AF17" s="50"/>
      <c r="AG17" s="50"/>
      <c r="AH17" s="51"/>
      <c r="AI17" s="51"/>
      <c r="AJ17" s="51"/>
      <c r="AK17" s="52"/>
      <c r="AL17" s="52"/>
      <c r="AM17" s="51"/>
      <c r="AN17" s="51"/>
      <c r="AO17" s="51"/>
      <c r="AP17" s="51"/>
      <c r="AQ17" s="51"/>
      <c r="AR17" s="51"/>
      <c r="AS17" s="51"/>
      <c r="AT17" s="51"/>
      <c r="AU17" s="1">
        <f t="shared" si="1"/>
        <v>15</v>
      </c>
    </row>
    <row r="18" spans="1:47">
      <c r="A18" s="102"/>
      <c r="B18" s="23">
        <v>12</v>
      </c>
      <c r="C18" s="9" t="s">
        <v>388</v>
      </c>
      <c r="D18" s="9" t="s">
        <v>101</v>
      </c>
      <c r="E18" s="87">
        <v>0</v>
      </c>
      <c r="F18" s="50">
        <v>1</v>
      </c>
      <c r="G18" s="50">
        <v>1</v>
      </c>
      <c r="H18" s="50">
        <v>1</v>
      </c>
      <c r="I18" s="50">
        <v>0</v>
      </c>
      <c r="J18" s="50">
        <v>0</v>
      </c>
      <c r="K18" s="52"/>
      <c r="L18" s="52"/>
      <c r="M18" s="50">
        <v>1</v>
      </c>
      <c r="N18" s="50">
        <v>1</v>
      </c>
      <c r="O18" s="50">
        <v>1</v>
      </c>
      <c r="P18" s="50">
        <v>0</v>
      </c>
      <c r="Q18" s="78"/>
      <c r="R18" s="50">
        <v>1</v>
      </c>
      <c r="S18" s="50">
        <v>0</v>
      </c>
      <c r="T18" s="52"/>
      <c r="U18" s="52"/>
      <c r="V18" s="50">
        <v>0</v>
      </c>
      <c r="W18" s="50">
        <v>0</v>
      </c>
      <c r="X18" s="50">
        <v>0</v>
      </c>
      <c r="Y18" s="50">
        <v>1</v>
      </c>
      <c r="Z18" s="50">
        <v>1</v>
      </c>
      <c r="AA18" s="50">
        <v>1</v>
      </c>
      <c r="AB18" s="50">
        <v>1</v>
      </c>
      <c r="AC18" s="52"/>
      <c r="AD18" s="52"/>
      <c r="AE18" s="50">
        <v>0</v>
      </c>
      <c r="AF18" s="50"/>
      <c r="AG18" s="50"/>
      <c r="AH18" s="51"/>
      <c r="AI18" s="51"/>
      <c r="AJ18" s="51"/>
      <c r="AK18" s="52"/>
      <c r="AL18" s="52"/>
      <c r="AM18" s="51"/>
      <c r="AN18" s="51"/>
      <c r="AO18" s="51"/>
      <c r="AP18" s="51"/>
      <c r="AQ18" s="51"/>
      <c r="AR18" s="51"/>
      <c r="AS18" s="51"/>
      <c r="AT18" s="51"/>
      <c r="AU18" s="1">
        <f t="shared" si="1"/>
        <v>8</v>
      </c>
    </row>
    <row r="19" spans="1:47">
      <c r="A19" s="102"/>
      <c r="B19" s="23">
        <v>13</v>
      </c>
      <c r="C19" s="24" t="s">
        <v>389</v>
      </c>
      <c r="D19" s="9" t="s">
        <v>88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/>
      <c r="L19" s="87"/>
      <c r="M19" s="87">
        <v>0</v>
      </c>
      <c r="N19" s="87">
        <v>0</v>
      </c>
      <c r="O19" s="87">
        <v>0</v>
      </c>
      <c r="P19" s="87">
        <v>0</v>
      </c>
      <c r="Q19" s="87"/>
      <c r="R19" s="87">
        <v>0</v>
      </c>
      <c r="S19" s="87">
        <v>0</v>
      </c>
      <c r="T19" s="87"/>
      <c r="U19" s="87"/>
      <c r="V19" s="87">
        <v>0</v>
      </c>
      <c r="W19" s="87">
        <v>0</v>
      </c>
      <c r="X19" s="87">
        <v>0</v>
      </c>
      <c r="Y19" s="50">
        <v>1</v>
      </c>
      <c r="Z19" s="50"/>
      <c r="AA19" s="50">
        <v>0</v>
      </c>
      <c r="AB19" s="50">
        <v>0</v>
      </c>
      <c r="AC19" s="52"/>
      <c r="AD19" s="52"/>
      <c r="AE19" s="50">
        <v>1</v>
      </c>
      <c r="AF19" s="50"/>
      <c r="AG19" s="50"/>
      <c r="AH19" s="51"/>
      <c r="AI19" s="51"/>
      <c r="AJ19" s="51"/>
      <c r="AK19" s="52"/>
      <c r="AL19" s="52"/>
      <c r="AM19" s="51"/>
      <c r="AN19" s="51"/>
      <c r="AO19" s="51"/>
      <c r="AP19" s="51"/>
      <c r="AQ19" s="51"/>
      <c r="AR19" s="51"/>
      <c r="AS19" s="51"/>
      <c r="AT19" s="51"/>
      <c r="AU19" s="1">
        <f t="shared" si="1"/>
        <v>2</v>
      </c>
    </row>
    <row r="20" spans="1:47">
      <c r="A20" s="102"/>
      <c r="B20" s="23">
        <v>14</v>
      </c>
      <c r="C20" s="24" t="s">
        <v>390</v>
      </c>
      <c r="D20" s="9" t="s">
        <v>94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78"/>
      <c r="R20" s="87"/>
      <c r="S20" s="87"/>
      <c r="T20" s="87"/>
      <c r="U20" s="87"/>
      <c r="V20" s="87"/>
      <c r="W20" s="87"/>
      <c r="X20" s="87"/>
      <c r="Y20" s="87"/>
      <c r="Z20" s="87"/>
      <c r="AA20" s="87">
        <v>1</v>
      </c>
      <c r="AB20" s="87"/>
      <c r="AC20" s="52"/>
      <c r="AD20" s="52"/>
      <c r="AE20" s="50">
        <v>1</v>
      </c>
      <c r="AF20" s="50"/>
      <c r="AG20" s="50"/>
      <c r="AH20" s="51"/>
      <c r="AI20" s="51"/>
      <c r="AJ20" s="51"/>
      <c r="AK20" s="52"/>
      <c r="AL20" s="52"/>
      <c r="AM20" s="51"/>
      <c r="AN20" s="51"/>
      <c r="AO20" s="51"/>
      <c r="AP20" s="51"/>
      <c r="AQ20" s="51"/>
      <c r="AR20" s="51"/>
      <c r="AS20" s="51"/>
      <c r="AT20" s="51"/>
      <c r="AU20" s="1">
        <f t="shared" si="1"/>
        <v>2</v>
      </c>
    </row>
    <row r="21" spans="1:47">
      <c r="A21" s="102"/>
      <c r="B21" s="23">
        <v>15</v>
      </c>
      <c r="C21" s="24"/>
      <c r="D21" s="9"/>
      <c r="E21" s="50"/>
      <c r="F21" s="50"/>
      <c r="G21" s="50"/>
      <c r="H21" s="50"/>
      <c r="I21" s="50"/>
      <c r="J21" s="50"/>
      <c r="K21" s="52"/>
      <c r="L21" s="52"/>
      <c r="M21" s="50"/>
      <c r="N21" s="50"/>
      <c r="O21" s="50"/>
      <c r="P21" s="50"/>
      <c r="Q21" s="78"/>
      <c r="R21" s="50"/>
      <c r="S21" s="50"/>
      <c r="T21" s="52"/>
      <c r="U21" s="52"/>
      <c r="V21" s="50"/>
      <c r="W21" s="50"/>
      <c r="X21" s="50"/>
      <c r="Y21" s="50"/>
      <c r="Z21" s="50"/>
      <c r="AA21" s="50"/>
      <c r="AB21" s="50"/>
      <c r="AC21" s="52"/>
      <c r="AD21" s="52"/>
      <c r="AE21" s="50"/>
      <c r="AF21" s="50"/>
      <c r="AG21" s="50"/>
      <c r="AH21" s="51"/>
      <c r="AI21" s="51"/>
      <c r="AJ21" s="51"/>
      <c r="AK21" s="52"/>
      <c r="AL21" s="52"/>
      <c r="AM21" s="51"/>
      <c r="AN21" s="51"/>
      <c r="AO21" s="51"/>
      <c r="AP21" s="51"/>
      <c r="AQ21" s="51"/>
      <c r="AR21" s="51"/>
      <c r="AS21" s="51"/>
      <c r="AT21" s="51"/>
      <c r="AU21" s="1">
        <f t="shared" si="1"/>
        <v>0</v>
      </c>
    </row>
    <row r="22" spans="1:47">
      <c r="A22" s="102"/>
      <c r="B22" s="23">
        <v>16</v>
      </c>
      <c r="C22" s="24"/>
      <c r="D22" s="9"/>
      <c r="E22" s="50"/>
      <c r="F22" s="50"/>
      <c r="G22" s="50"/>
      <c r="H22" s="50"/>
      <c r="I22" s="50"/>
      <c r="J22" s="50"/>
      <c r="K22" s="52"/>
      <c r="L22" s="52"/>
      <c r="M22" s="50"/>
      <c r="N22" s="50"/>
      <c r="O22" s="50"/>
      <c r="P22" s="50"/>
      <c r="Q22" s="78"/>
      <c r="R22" s="50"/>
      <c r="S22" s="50"/>
      <c r="T22" s="52"/>
      <c r="U22" s="52"/>
      <c r="V22" s="50"/>
      <c r="W22" s="50"/>
      <c r="X22" s="50"/>
      <c r="Y22" s="50"/>
      <c r="Z22" s="50"/>
      <c r="AA22" s="50"/>
      <c r="AB22" s="50"/>
      <c r="AC22" s="52"/>
      <c r="AD22" s="52"/>
      <c r="AE22" s="50"/>
      <c r="AF22" s="50"/>
      <c r="AG22" s="50"/>
      <c r="AH22" s="51"/>
      <c r="AI22" s="51"/>
      <c r="AJ22" s="51"/>
      <c r="AK22" s="52"/>
      <c r="AL22" s="52"/>
      <c r="AM22" s="51"/>
      <c r="AN22" s="51"/>
      <c r="AO22" s="51"/>
      <c r="AP22" s="51"/>
      <c r="AQ22" s="51"/>
      <c r="AR22" s="51"/>
      <c r="AS22" s="51"/>
      <c r="AT22" s="51"/>
      <c r="AU22" s="1">
        <f t="shared" si="1"/>
        <v>0</v>
      </c>
    </row>
    <row r="23" spans="1:47" ht="19.5">
      <c r="A23" s="3"/>
      <c r="B23" s="68">
        <v>14</v>
      </c>
      <c r="C23" s="12" t="s">
        <v>48</v>
      </c>
      <c r="D23" s="7"/>
      <c r="E23" s="8">
        <f>COUNTIF(E7:E22,"1")</f>
        <v>6</v>
      </c>
      <c r="F23" s="8">
        <f t="shared" ref="F23:AT23" si="2">COUNTIF(F7:F22,"1")</f>
        <v>8</v>
      </c>
      <c r="G23" s="8">
        <f t="shared" si="2"/>
        <v>11</v>
      </c>
      <c r="H23" s="8">
        <f t="shared" si="2"/>
        <v>10</v>
      </c>
      <c r="I23" s="8">
        <f t="shared" si="2"/>
        <v>8</v>
      </c>
      <c r="J23" s="8">
        <f t="shared" si="2"/>
        <v>9</v>
      </c>
      <c r="K23" s="8">
        <f t="shared" si="2"/>
        <v>0</v>
      </c>
      <c r="L23" s="8">
        <f t="shared" si="2"/>
        <v>0</v>
      </c>
      <c r="M23" s="8">
        <f t="shared" si="2"/>
        <v>11</v>
      </c>
      <c r="N23" s="8">
        <f t="shared" si="2"/>
        <v>10</v>
      </c>
      <c r="O23" s="8">
        <f t="shared" si="2"/>
        <v>11</v>
      </c>
      <c r="P23" s="8">
        <f t="shared" si="2"/>
        <v>10</v>
      </c>
      <c r="Q23" s="8">
        <f t="shared" si="2"/>
        <v>5</v>
      </c>
      <c r="R23" s="8">
        <f>COUNTIF(R7:R22,"1")</f>
        <v>9</v>
      </c>
      <c r="S23" s="8">
        <f t="shared" si="2"/>
        <v>7</v>
      </c>
      <c r="T23" s="8">
        <f t="shared" si="2"/>
        <v>0</v>
      </c>
      <c r="U23" s="8">
        <f t="shared" si="2"/>
        <v>0</v>
      </c>
      <c r="V23" s="8">
        <f t="shared" si="2"/>
        <v>9</v>
      </c>
      <c r="W23" s="8">
        <f t="shared" si="2"/>
        <v>11</v>
      </c>
      <c r="X23" s="8">
        <f t="shared" si="2"/>
        <v>10</v>
      </c>
      <c r="Y23" s="8">
        <f t="shared" si="2"/>
        <v>12</v>
      </c>
      <c r="Z23" s="8">
        <f t="shared" si="2"/>
        <v>10</v>
      </c>
      <c r="AA23" s="8">
        <f t="shared" si="2"/>
        <v>13</v>
      </c>
      <c r="AB23" s="8">
        <f t="shared" si="2"/>
        <v>9</v>
      </c>
      <c r="AC23" s="8">
        <f t="shared" si="2"/>
        <v>0</v>
      </c>
      <c r="AD23" s="8">
        <f t="shared" si="2"/>
        <v>5</v>
      </c>
      <c r="AE23" s="8">
        <f t="shared" si="2"/>
        <v>10</v>
      </c>
      <c r="AF23" s="8">
        <f t="shared" si="2"/>
        <v>0</v>
      </c>
      <c r="AG23" s="8">
        <f t="shared" si="2"/>
        <v>0</v>
      </c>
      <c r="AH23" s="8">
        <f t="shared" si="2"/>
        <v>0</v>
      </c>
      <c r="AI23" s="8">
        <f t="shared" si="2"/>
        <v>0</v>
      </c>
      <c r="AJ23" s="8">
        <f t="shared" si="2"/>
        <v>0</v>
      </c>
      <c r="AK23" s="8">
        <f t="shared" si="2"/>
        <v>0</v>
      </c>
      <c r="AL23" s="8">
        <f t="shared" si="2"/>
        <v>0</v>
      </c>
      <c r="AM23" s="8">
        <f t="shared" si="2"/>
        <v>0</v>
      </c>
      <c r="AN23" s="8">
        <f t="shared" si="2"/>
        <v>0</v>
      </c>
      <c r="AO23" s="8">
        <f t="shared" si="2"/>
        <v>0</v>
      </c>
      <c r="AP23" s="8">
        <f t="shared" si="2"/>
        <v>0</v>
      </c>
      <c r="AQ23" s="8">
        <f t="shared" si="2"/>
        <v>0</v>
      </c>
      <c r="AR23" s="8">
        <f t="shared" si="2"/>
        <v>0</v>
      </c>
      <c r="AS23" s="8">
        <f t="shared" si="2"/>
        <v>0</v>
      </c>
      <c r="AT23" s="8">
        <f t="shared" si="2"/>
        <v>0</v>
      </c>
      <c r="AU23" s="1">
        <f t="shared" si="1"/>
        <v>169</v>
      </c>
    </row>
    <row r="24" spans="1:47" ht="14.45" customHeight="1">
      <c r="B24" s="3"/>
      <c r="C24"/>
      <c r="D24"/>
      <c r="E24" s="99">
        <v>45913</v>
      </c>
      <c r="F24" s="99">
        <f>E24+7</f>
        <v>45920</v>
      </c>
      <c r="G24" s="99">
        <f t="shared" ref="G24:AT24" si="3">F24+7</f>
        <v>45927</v>
      </c>
      <c r="H24" s="99">
        <f t="shared" si="3"/>
        <v>45934</v>
      </c>
      <c r="I24" s="99">
        <f t="shared" si="3"/>
        <v>45941</v>
      </c>
      <c r="J24" s="99">
        <f t="shared" si="3"/>
        <v>45948</v>
      </c>
      <c r="K24" s="99">
        <f t="shared" si="3"/>
        <v>45955</v>
      </c>
      <c r="L24" s="99">
        <f t="shared" si="3"/>
        <v>45962</v>
      </c>
      <c r="M24" s="99">
        <f t="shared" si="3"/>
        <v>45969</v>
      </c>
      <c r="N24" s="99">
        <f t="shared" si="3"/>
        <v>45976</v>
      </c>
      <c r="O24" s="99">
        <f t="shared" si="3"/>
        <v>45983</v>
      </c>
      <c r="P24" s="99">
        <f t="shared" si="3"/>
        <v>45990</v>
      </c>
      <c r="Q24" s="99">
        <f t="shared" si="3"/>
        <v>45997</v>
      </c>
      <c r="R24" s="99">
        <f t="shared" si="3"/>
        <v>46004</v>
      </c>
      <c r="S24" s="99">
        <f t="shared" si="3"/>
        <v>46011</v>
      </c>
      <c r="T24" s="99">
        <f t="shared" si="3"/>
        <v>46018</v>
      </c>
      <c r="U24" s="99">
        <f t="shared" si="3"/>
        <v>46025</v>
      </c>
      <c r="V24" s="99">
        <f t="shared" si="3"/>
        <v>46032</v>
      </c>
      <c r="W24" s="99">
        <f t="shared" si="3"/>
        <v>46039</v>
      </c>
      <c r="X24" s="99">
        <f t="shared" si="3"/>
        <v>46046</v>
      </c>
      <c r="Y24" s="99">
        <f t="shared" si="3"/>
        <v>46053</v>
      </c>
      <c r="Z24" s="99">
        <f t="shared" si="3"/>
        <v>46060</v>
      </c>
      <c r="AA24" s="99">
        <f t="shared" si="3"/>
        <v>46067</v>
      </c>
      <c r="AB24" s="99">
        <f t="shared" si="3"/>
        <v>46074</v>
      </c>
      <c r="AC24" s="99">
        <f t="shared" si="3"/>
        <v>46081</v>
      </c>
      <c r="AD24" s="99">
        <f t="shared" si="3"/>
        <v>46088</v>
      </c>
      <c r="AE24" s="99">
        <f t="shared" si="3"/>
        <v>46095</v>
      </c>
      <c r="AF24" s="99">
        <f t="shared" si="3"/>
        <v>46102</v>
      </c>
      <c r="AG24" s="99">
        <f t="shared" si="3"/>
        <v>46109</v>
      </c>
      <c r="AH24" s="99">
        <f t="shared" si="3"/>
        <v>46116</v>
      </c>
      <c r="AI24" s="99">
        <f t="shared" si="3"/>
        <v>46123</v>
      </c>
      <c r="AJ24" s="99">
        <f t="shared" si="3"/>
        <v>46130</v>
      </c>
      <c r="AK24" s="99">
        <f t="shared" si="3"/>
        <v>46137</v>
      </c>
      <c r="AL24" s="99">
        <f t="shared" si="3"/>
        <v>46144</v>
      </c>
      <c r="AM24" s="99">
        <f t="shared" si="3"/>
        <v>46151</v>
      </c>
      <c r="AN24" s="99">
        <f t="shared" si="3"/>
        <v>46158</v>
      </c>
      <c r="AO24" s="99">
        <f t="shared" si="3"/>
        <v>46165</v>
      </c>
      <c r="AP24" s="99">
        <f t="shared" si="3"/>
        <v>46172</v>
      </c>
      <c r="AQ24" s="99">
        <f t="shared" si="3"/>
        <v>46179</v>
      </c>
      <c r="AR24" s="99">
        <f t="shared" si="3"/>
        <v>46186</v>
      </c>
      <c r="AS24" s="99">
        <f t="shared" si="3"/>
        <v>46193</v>
      </c>
      <c r="AT24" s="99">
        <f t="shared" si="3"/>
        <v>46200</v>
      </c>
    </row>
    <row r="25" spans="1:47" ht="14.45" customHeight="1">
      <c r="B25" s="3"/>
      <c r="C25"/>
      <c r="D25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</row>
    <row r="26" spans="1:47" ht="14.45" customHeight="1">
      <c r="B26" s="3"/>
      <c r="C26"/>
      <c r="D26"/>
      <c r="E26" s="6" t="s">
        <v>4</v>
      </c>
      <c r="F26" s="15" t="s">
        <v>5</v>
      </c>
      <c r="G26" s="6" t="s">
        <v>6</v>
      </c>
      <c r="H26" s="15" t="s">
        <v>7</v>
      </c>
      <c r="I26" s="6" t="s">
        <v>8</v>
      </c>
      <c r="J26" s="15" t="s">
        <v>9</v>
      </c>
      <c r="K26" s="27" t="s">
        <v>10</v>
      </c>
      <c r="L26" s="27" t="s">
        <v>10</v>
      </c>
      <c r="M26" s="6" t="s">
        <v>11</v>
      </c>
      <c r="N26" s="15" t="s">
        <v>12</v>
      </c>
      <c r="O26" s="6" t="s">
        <v>13</v>
      </c>
      <c r="P26" s="15" t="s">
        <v>14</v>
      </c>
      <c r="Q26" s="6" t="s">
        <v>15</v>
      </c>
      <c r="R26" s="6" t="s">
        <v>16</v>
      </c>
      <c r="S26" s="6" t="s">
        <v>17</v>
      </c>
      <c r="T26" s="27" t="s">
        <v>10</v>
      </c>
      <c r="U26" s="27" t="s">
        <v>10</v>
      </c>
      <c r="V26" s="15" t="s">
        <v>18</v>
      </c>
      <c r="W26" s="6" t="s">
        <v>19</v>
      </c>
      <c r="X26" s="15" t="s">
        <v>20</v>
      </c>
      <c r="Y26" s="6" t="s">
        <v>21</v>
      </c>
      <c r="Z26" s="15" t="s">
        <v>22</v>
      </c>
      <c r="AA26" s="6" t="s">
        <v>23</v>
      </c>
      <c r="AB26" s="15" t="s">
        <v>24</v>
      </c>
      <c r="AC26" s="27" t="s">
        <v>10</v>
      </c>
      <c r="AD26" s="27" t="s">
        <v>10</v>
      </c>
      <c r="AE26" s="6" t="s">
        <v>25</v>
      </c>
      <c r="AF26" s="15" t="s">
        <v>26</v>
      </c>
      <c r="AG26" s="6" t="s">
        <v>27</v>
      </c>
      <c r="AH26" s="6" t="s">
        <v>28</v>
      </c>
      <c r="AI26" s="15" t="s">
        <v>29</v>
      </c>
      <c r="AJ26" s="6" t="s">
        <v>30</v>
      </c>
      <c r="AK26" s="27" t="s">
        <v>10</v>
      </c>
      <c r="AL26" s="27" t="s">
        <v>10</v>
      </c>
      <c r="AM26" s="15" t="s">
        <v>31</v>
      </c>
      <c r="AN26" s="14" t="s">
        <v>32</v>
      </c>
      <c r="AO26" s="15" t="s">
        <v>33</v>
      </c>
      <c r="AP26" s="14" t="s">
        <v>34</v>
      </c>
      <c r="AQ26" s="14" t="s">
        <v>35</v>
      </c>
      <c r="AR26" s="14" t="s">
        <v>36</v>
      </c>
      <c r="AS26" s="14" t="s">
        <v>37</v>
      </c>
      <c r="AT26" s="14" t="s">
        <v>38</v>
      </c>
      <c r="AU26" s="1">
        <f>SUM(I26:AT26)</f>
        <v>0</v>
      </c>
    </row>
    <row r="27" spans="1:47">
      <c r="A27" s="102" t="s">
        <v>105</v>
      </c>
      <c r="B27" s="23">
        <v>1</v>
      </c>
      <c r="C27" s="11"/>
      <c r="D27" s="11"/>
      <c r="E27" s="47"/>
      <c r="F27" s="47"/>
      <c r="G27" s="47"/>
      <c r="H27" s="47"/>
      <c r="I27" s="47"/>
      <c r="J27" s="47"/>
      <c r="K27" s="49"/>
      <c r="L27" s="49"/>
      <c r="M27" s="47"/>
      <c r="N27" s="47"/>
      <c r="O27" s="47"/>
      <c r="P27" s="47"/>
      <c r="Q27" s="77"/>
      <c r="R27" s="47"/>
      <c r="S27" s="47"/>
      <c r="T27" s="49"/>
      <c r="U27" s="49"/>
      <c r="V27" s="47"/>
      <c r="W27" s="47"/>
      <c r="X27" s="47"/>
      <c r="Y27" s="47"/>
      <c r="Z27" s="47"/>
      <c r="AA27" s="47"/>
      <c r="AB27" s="47"/>
      <c r="AC27" s="49"/>
      <c r="AD27" s="49"/>
      <c r="AE27" s="47"/>
      <c r="AF27" s="47"/>
      <c r="AG27" s="47"/>
      <c r="AH27" s="48"/>
      <c r="AI27" s="48"/>
      <c r="AJ27" s="48"/>
      <c r="AK27" s="49"/>
      <c r="AL27" s="49"/>
      <c r="AM27" s="48"/>
      <c r="AN27" s="48"/>
      <c r="AO27" s="48"/>
      <c r="AP27" s="48"/>
      <c r="AQ27" s="48"/>
      <c r="AR27" s="48"/>
      <c r="AS27" s="48"/>
      <c r="AT27" s="48"/>
      <c r="AU27" s="1">
        <f t="shared" ref="AU27:AU43" si="4">SUM(I27:AT27)</f>
        <v>0</v>
      </c>
    </row>
    <row r="28" spans="1:47">
      <c r="A28" s="102"/>
      <c r="B28" s="23">
        <v>2</v>
      </c>
      <c r="C28" s="11"/>
      <c r="D28" s="11"/>
      <c r="E28" s="50"/>
      <c r="F28" s="50"/>
      <c r="G28" s="50"/>
      <c r="H28" s="50"/>
      <c r="I28" s="50"/>
      <c r="J28" s="50"/>
      <c r="K28" s="52"/>
      <c r="L28" s="52"/>
      <c r="M28" s="50"/>
      <c r="N28" s="50"/>
      <c r="O28" s="50"/>
      <c r="P28" s="50"/>
      <c r="Q28" s="78"/>
      <c r="R28" s="50"/>
      <c r="S28" s="50"/>
      <c r="T28" s="52"/>
      <c r="U28" s="52"/>
      <c r="V28" s="50"/>
      <c r="W28" s="50"/>
      <c r="X28" s="50"/>
      <c r="Y28" s="50"/>
      <c r="Z28" s="50"/>
      <c r="AA28" s="50"/>
      <c r="AB28" s="50"/>
      <c r="AC28" s="52"/>
      <c r="AD28" s="52"/>
      <c r="AE28" s="50"/>
      <c r="AF28" s="50"/>
      <c r="AG28" s="50"/>
      <c r="AH28" s="51"/>
      <c r="AI28" s="51"/>
      <c r="AJ28" s="51"/>
      <c r="AK28" s="52"/>
      <c r="AL28" s="52"/>
      <c r="AM28" s="51"/>
      <c r="AN28" s="51"/>
      <c r="AO28" s="51"/>
      <c r="AP28" s="51"/>
      <c r="AQ28" s="51"/>
      <c r="AR28" s="51"/>
      <c r="AS28" s="51"/>
      <c r="AT28" s="51"/>
      <c r="AU28" s="1">
        <f t="shared" si="4"/>
        <v>0</v>
      </c>
    </row>
    <row r="29" spans="1:47">
      <c r="A29" s="102"/>
      <c r="B29" s="23">
        <v>3</v>
      </c>
      <c r="C29" s="11"/>
      <c r="D29" s="11"/>
      <c r="E29" s="50"/>
      <c r="F29" s="50"/>
      <c r="G29" s="50"/>
      <c r="H29" s="50"/>
      <c r="I29" s="50"/>
      <c r="J29" s="50"/>
      <c r="K29" s="52"/>
      <c r="L29" s="52"/>
      <c r="M29" s="50"/>
      <c r="N29" s="50"/>
      <c r="O29" s="50"/>
      <c r="P29" s="50"/>
      <c r="Q29" s="78"/>
      <c r="R29" s="50"/>
      <c r="S29" s="50"/>
      <c r="T29" s="52"/>
      <c r="U29" s="52"/>
      <c r="V29" s="50"/>
      <c r="W29" s="50"/>
      <c r="X29" s="50"/>
      <c r="Y29" s="50"/>
      <c r="Z29" s="50"/>
      <c r="AA29" s="50"/>
      <c r="AB29" s="50"/>
      <c r="AC29" s="52"/>
      <c r="AD29" s="52"/>
      <c r="AE29" s="50"/>
      <c r="AF29" s="50"/>
      <c r="AG29" s="50"/>
      <c r="AH29" s="51"/>
      <c r="AI29" s="51"/>
      <c r="AJ29" s="51"/>
      <c r="AK29" s="52"/>
      <c r="AL29" s="52"/>
      <c r="AM29" s="51"/>
      <c r="AN29" s="51"/>
      <c r="AO29" s="51"/>
      <c r="AP29" s="51"/>
      <c r="AQ29" s="51"/>
      <c r="AR29" s="51"/>
      <c r="AS29" s="51"/>
      <c r="AT29" s="51"/>
      <c r="AU29" s="1">
        <f t="shared" si="4"/>
        <v>0</v>
      </c>
    </row>
    <row r="30" spans="1:47">
      <c r="A30" s="102"/>
      <c r="B30" s="23">
        <v>4</v>
      </c>
      <c r="C30" s="11"/>
      <c r="D30" s="11"/>
      <c r="E30" s="50"/>
      <c r="F30" s="50"/>
      <c r="G30" s="50"/>
      <c r="H30" s="50"/>
      <c r="I30" s="50"/>
      <c r="J30" s="50"/>
      <c r="K30" s="52"/>
      <c r="L30" s="52"/>
      <c r="M30" s="50"/>
      <c r="N30" s="50"/>
      <c r="O30" s="50"/>
      <c r="P30" s="50"/>
      <c r="Q30" s="78"/>
      <c r="R30" s="50"/>
      <c r="S30" s="50"/>
      <c r="T30" s="52"/>
      <c r="U30" s="52"/>
      <c r="V30" s="50"/>
      <c r="W30" s="50"/>
      <c r="X30" s="50"/>
      <c r="Y30" s="50"/>
      <c r="Z30" s="50"/>
      <c r="AA30" s="50"/>
      <c r="AB30" s="50"/>
      <c r="AC30" s="52"/>
      <c r="AD30" s="52"/>
      <c r="AE30" s="50"/>
      <c r="AF30" s="50"/>
      <c r="AG30" s="50"/>
      <c r="AH30" s="51"/>
      <c r="AI30" s="51"/>
      <c r="AJ30" s="51"/>
      <c r="AK30" s="52"/>
      <c r="AL30" s="52"/>
      <c r="AM30" s="51"/>
      <c r="AN30" s="51"/>
      <c r="AO30" s="51"/>
      <c r="AP30" s="51"/>
      <c r="AQ30" s="51"/>
      <c r="AR30" s="51"/>
      <c r="AS30" s="51"/>
      <c r="AT30" s="51"/>
      <c r="AU30" s="1">
        <f t="shared" si="4"/>
        <v>0</v>
      </c>
    </row>
    <row r="31" spans="1:47">
      <c r="A31" s="102"/>
      <c r="B31" s="23">
        <v>5</v>
      </c>
      <c r="C31" s="11"/>
      <c r="D31" s="11"/>
      <c r="E31" s="50"/>
      <c r="F31" s="50"/>
      <c r="G31" s="50"/>
      <c r="H31" s="50"/>
      <c r="I31" s="50"/>
      <c r="J31" s="50"/>
      <c r="K31" s="52"/>
      <c r="L31" s="52"/>
      <c r="M31" s="50"/>
      <c r="N31" s="50"/>
      <c r="O31" s="50"/>
      <c r="P31" s="50"/>
      <c r="Q31" s="78"/>
      <c r="R31" s="50"/>
      <c r="S31" s="50"/>
      <c r="T31" s="52"/>
      <c r="U31" s="52"/>
      <c r="V31" s="50"/>
      <c r="W31" s="50"/>
      <c r="X31" s="50"/>
      <c r="Y31" s="50"/>
      <c r="Z31" s="50"/>
      <c r="AA31" s="50"/>
      <c r="AB31" s="50"/>
      <c r="AC31" s="52"/>
      <c r="AD31" s="52"/>
      <c r="AE31" s="50"/>
      <c r="AF31" s="50"/>
      <c r="AG31" s="50"/>
      <c r="AH31" s="51"/>
      <c r="AI31" s="51"/>
      <c r="AJ31" s="51"/>
      <c r="AK31" s="52"/>
      <c r="AL31" s="52"/>
      <c r="AM31" s="51"/>
      <c r="AN31" s="51"/>
      <c r="AO31" s="51"/>
      <c r="AP31" s="51"/>
      <c r="AQ31" s="51"/>
      <c r="AR31" s="51"/>
      <c r="AS31" s="51"/>
      <c r="AT31" s="51"/>
      <c r="AU31" s="1">
        <f t="shared" si="4"/>
        <v>0</v>
      </c>
    </row>
    <row r="32" spans="1:47">
      <c r="A32" s="102"/>
      <c r="B32" s="23">
        <v>6</v>
      </c>
      <c r="C32" s="11"/>
      <c r="D32" s="11"/>
      <c r="E32" s="50"/>
      <c r="F32" s="50"/>
      <c r="G32" s="50"/>
      <c r="H32" s="50"/>
      <c r="I32" s="50"/>
      <c r="J32" s="50"/>
      <c r="K32" s="52"/>
      <c r="L32" s="52"/>
      <c r="M32" s="50"/>
      <c r="N32" s="50"/>
      <c r="O32" s="50"/>
      <c r="P32" s="50"/>
      <c r="Q32" s="78"/>
      <c r="R32" s="50"/>
      <c r="S32" s="50"/>
      <c r="T32" s="52"/>
      <c r="U32" s="52"/>
      <c r="V32" s="50"/>
      <c r="W32" s="50"/>
      <c r="X32" s="50"/>
      <c r="Y32" s="50"/>
      <c r="Z32" s="50"/>
      <c r="AA32" s="50"/>
      <c r="AB32" s="50"/>
      <c r="AC32" s="52"/>
      <c r="AD32" s="52"/>
      <c r="AE32" s="50"/>
      <c r="AF32" s="50"/>
      <c r="AG32" s="50"/>
      <c r="AH32" s="51"/>
      <c r="AI32" s="51"/>
      <c r="AJ32" s="51"/>
      <c r="AK32" s="52"/>
      <c r="AL32" s="52"/>
      <c r="AM32" s="51"/>
      <c r="AN32" s="51"/>
      <c r="AO32" s="51"/>
      <c r="AP32" s="51"/>
      <c r="AQ32" s="51"/>
      <c r="AR32" s="51"/>
      <c r="AS32" s="51"/>
      <c r="AT32" s="51"/>
      <c r="AU32" s="1">
        <f t="shared" si="4"/>
        <v>0</v>
      </c>
    </row>
    <row r="33" spans="1:47">
      <c r="A33" s="102"/>
      <c r="B33" s="23">
        <v>7</v>
      </c>
      <c r="C33" s="11"/>
      <c r="D33" s="11"/>
      <c r="E33" s="50"/>
      <c r="F33" s="50"/>
      <c r="G33" s="50"/>
      <c r="H33" s="50"/>
      <c r="I33" s="50"/>
      <c r="J33" s="50"/>
      <c r="K33" s="52"/>
      <c r="L33" s="52"/>
      <c r="M33" s="50"/>
      <c r="N33" s="50"/>
      <c r="O33" s="50"/>
      <c r="P33" s="50"/>
      <c r="Q33" s="78"/>
      <c r="R33" s="50"/>
      <c r="S33" s="50"/>
      <c r="T33" s="52"/>
      <c r="U33" s="52"/>
      <c r="V33" s="50"/>
      <c r="W33" s="50"/>
      <c r="X33" s="50"/>
      <c r="Y33" s="50"/>
      <c r="Z33" s="50"/>
      <c r="AA33" s="50"/>
      <c r="AB33" s="50"/>
      <c r="AC33" s="52"/>
      <c r="AD33" s="52"/>
      <c r="AE33" s="50"/>
      <c r="AF33" s="50"/>
      <c r="AG33" s="50"/>
      <c r="AH33" s="51"/>
      <c r="AI33" s="51"/>
      <c r="AJ33" s="51"/>
      <c r="AK33" s="52"/>
      <c r="AL33" s="52"/>
      <c r="AM33" s="51"/>
      <c r="AN33" s="51"/>
      <c r="AO33" s="51"/>
      <c r="AP33" s="51"/>
      <c r="AQ33" s="51"/>
      <c r="AR33" s="51"/>
      <c r="AS33" s="51"/>
      <c r="AT33" s="51"/>
      <c r="AU33" s="1">
        <f t="shared" si="4"/>
        <v>0</v>
      </c>
    </row>
    <row r="34" spans="1:47">
      <c r="A34" s="102"/>
      <c r="B34" s="23">
        <v>8</v>
      </c>
      <c r="C34" s="11"/>
      <c r="D34" s="11"/>
      <c r="E34" s="50"/>
      <c r="F34" s="50"/>
      <c r="G34" s="50"/>
      <c r="H34" s="50"/>
      <c r="I34" s="50"/>
      <c r="J34" s="50"/>
      <c r="K34" s="52"/>
      <c r="L34" s="52"/>
      <c r="M34" s="50"/>
      <c r="N34" s="50"/>
      <c r="O34" s="50"/>
      <c r="P34" s="50"/>
      <c r="Q34" s="78"/>
      <c r="R34" s="50"/>
      <c r="S34" s="50"/>
      <c r="T34" s="52"/>
      <c r="U34" s="52"/>
      <c r="V34" s="50"/>
      <c r="W34" s="50"/>
      <c r="X34" s="50"/>
      <c r="Y34" s="50"/>
      <c r="Z34" s="50"/>
      <c r="AA34" s="50"/>
      <c r="AB34" s="50"/>
      <c r="AC34" s="52"/>
      <c r="AD34" s="52"/>
      <c r="AE34" s="50"/>
      <c r="AF34" s="50"/>
      <c r="AG34" s="50"/>
      <c r="AH34" s="51"/>
      <c r="AI34" s="51"/>
      <c r="AJ34" s="51"/>
      <c r="AK34" s="52"/>
      <c r="AL34" s="52"/>
      <c r="AM34" s="51"/>
      <c r="AN34" s="51"/>
      <c r="AO34" s="51"/>
      <c r="AP34" s="51"/>
      <c r="AQ34" s="51"/>
      <c r="AR34" s="51"/>
      <c r="AS34" s="51"/>
      <c r="AT34" s="51"/>
      <c r="AU34" s="1">
        <f t="shared" si="4"/>
        <v>0</v>
      </c>
    </row>
    <row r="35" spans="1:47">
      <c r="B35" s="23">
        <v>9</v>
      </c>
      <c r="C35" s="11"/>
      <c r="D35" s="11"/>
      <c r="E35" s="47"/>
      <c r="F35" s="47"/>
      <c r="G35" s="47"/>
      <c r="H35" s="47"/>
      <c r="I35" s="47"/>
      <c r="J35" s="47"/>
      <c r="K35" s="49"/>
      <c r="L35" s="49"/>
      <c r="M35" s="47"/>
      <c r="N35" s="47"/>
      <c r="O35" s="47"/>
      <c r="P35" s="47"/>
      <c r="Q35" s="77"/>
      <c r="R35" s="47"/>
      <c r="S35" s="47"/>
      <c r="T35" s="49"/>
      <c r="U35" s="49"/>
      <c r="V35" s="47"/>
      <c r="W35" s="47"/>
      <c r="X35" s="47"/>
      <c r="Y35" s="47"/>
      <c r="Z35" s="47"/>
      <c r="AA35" s="47"/>
      <c r="AB35" s="47"/>
      <c r="AC35" s="49"/>
      <c r="AD35" s="49"/>
      <c r="AE35" s="47"/>
      <c r="AF35" s="47"/>
      <c r="AG35" s="47"/>
      <c r="AH35" s="48"/>
      <c r="AI35" s="48"/>
      <c r="AJ35" s="48"/>
      <c r="AK35" s="49"/>
      <c r="AL35" s="49"/>
      <c r="AM35" s="48"/>
      <c r="AN35" s="48"/>
      <c r="AO35" s="48"/>
      <c r="AP35" s="48"/>
      <c r="AQ35" s="48"/>
      <c r="AR35" s="48"/>
      <c r="AS35" s="48"/>
      <c r="AT35" s="48"/>
      <c r="AU35" s="1">
        <f t="shared" si="4"/>
        <v>0</v>
      </c>
    </row>
    <row r="36" spans="1:47">
      <c r="B36" s="23">
        <v>10</v>
      </c>
      <c r="C36" s="11"/>
      <c r="D36" s="11"/>
      <c r="E36" s="50"/>
      <c r="F36" s="50"/>
      <c r="G36" s="50"/>
      <c r="H36" s="50"/>
      <c r="I36" s="50"/>
      <c r="J36" s="50"/>
      <c r="K36" s="52"/>
      <c r="L36" s="52"/>
      <c r="M36" s="50"/>
      <c r="N36" s="50"/>
      <c r="O36" s="50"/>
      <c r="P36" s="50"/>
      <c r="Q36" s="78"/>
      <c r="R36" s="50"/>
      <c r="S36" s="50"/>
      <c r="T36" s="52"/>
      <c r="U36" s="52"/>
      <c r="V36" s="50"/>
      <c r="W36" s="50"/>
      <c r="X36" s="50"/>
      <c r="Y36" s="50"/>
      <c r="Z36" s="50"/>
      <c r="AA36" s="50"/>
      <c r="AB36" s="50"/>
      <c r="AC36" s="52"/>
      <c r="AD36" s="52"/>
      <c r="AE36" s="50"/>
      <c r="AF36" s="50"/>
      <c r="AG36" s="50"/>
      <c r="AH36" s="51"/>
      <c r="AI36" s="51"/>
      <c r="AJ36" s="51"/>
      <c r="AK36" s="52"/>
      <c r="AL36" s="52"/>
      <c r="AM36" s="51"/>
      <c r="AN36" s="51"/>
      <c r="AO36" s="51"/>
      <c r="AP36" s="51"/>
      <c r="AQ36" s="51"/>
      <c r="AR36" s="51"/>
      <c r="AS36" s="51"/>
      <c r="AT36" s="51"/>
      <c r="AU36" s="1">
        <f t="shared" si="4"/>
        <v>0</v>
      </c>
    </row>
    <row r="37" spans="1:47">
      <c r="B37" s="23">
        <v>11</v>
      </c>
      <c r="C37" s="11"/>
      <c r="D37" s="11"/>
      <c r="E37" s="50"/>
      <c r="F37" s="50"/>
      <c r="G37" s="50"/>
      <c r="H37" s="50"/>
      <c r="I37" s="50"/>
      <c r="J37" s="50"/>
      <c r="K37" s="52"/>
      <c r="L37" s="52"/>
      <c r="M37" s="50"/>
      <c r="N37" s="50"/>
      <c r="O37" s="50"/>
      <c r="P37" s="50"/>
      <c r="Q37" s="78"/>
      <c r="R37" s="50"/>
      <c r="S37" s="50"/>
      <c r="T37" s="52"/>
      <c r="U37" s="52"/>
      <c r="V37" s="50"/>
      <c r="W37" s="50"/>
      <c r="X37" s="50"/>
      <c r="Y37" s="50"/>
      <c r="Z37" s="50"/>
      <c r="AA37" s="50"/>
      <c r="AB37" s="50"/>
      <c r="AC37" s="52"/>
      <c r="AD37" s="52"/>
      <c r="AE37" s="50"/>
      <c r="AF37" s="50"/>
      <c r="AG37" s="50"/>
      <c r="AH37" s="51"/>
      <c r="AI37" s="51"/>
      <c r="AJ37" s="51"/>
      <c r="AK37" s="52"/>
      <c r="AL37" s="52"/>
      <c r="AM37" s="51"/>
      <c r="AN37" s="51"/>
      <c r="AO37" s="51"/>
      <c r="AP37" s="51"/>
      <c r="AQ37" s="51"/>
      <c r="AR37" s="51"/>
      <c r="AS37" s="51"/>
      <c r="AT37" s="51"/>
      <c r="AU37" s="1">
        <f t="shared" si="4"/>
        <v>0</v>
      </c>
    </row>
    <row r="38" spans="1:47">
      <c r="B38" s="23">
        <v>12</v>
      </c>
      <c r="C38" s="11"/>
      <c r="D38" s="11"/>
      <c r="E38" s="50"/>
      <c r="F38" s="50"/>
      <c r="G38" s="50"/>
      <c r="H38" s="50"/>
      <c r="I38" s="50"/>
      <c r="J38" s="50"/>
      <c r="K38" s="52"/>
      <c r="L38" s="52"/>
      <c r="M38" s="50"/>
      <c r="N38" s="50"/>
      <c r="O38" s="50"/>
      <c r="P38" s="50"/>
      <c r="Q38" s="78"/>
      <c r="R38" s="50"/>
      <c r="S38" s="50"/>
      <c r="T38" s="52"/>
      <c r="U38" s="52"/>
      <c r="V38" s="50"/>
      <c r="W38" s="50"/>
      <c r="X38" s="50"/>
      <c r="Y38" s="50"/>
      <c r="Z38" s="50"/>
      <c r="AA38" s="50"/>
      <c r="AB38" s="50"/>
      <c r="AC38" s="52"/>
      <c r="AD38" s="52"/>
      <c r="AE38" s="50"/>
      <c r="AF38" s="50"/>
      <c r="AG38" s="50"/>
      <c r="AH38" s="51"/>
      <c r="AI38" s="51"/>
      <c r="AJ38" s="51"/>
      <c r="AK38" s="52"/>
      <c r="AL38" s="52"/>
      <c r="AM38" s="51"/>
      <c r="AN38" s="51"/>
      <c r="AO38" s="51"/>
      <c r="AP38" s="51"/>
      <c r="AQ38" s="51"/>
      <c r="AR38" s="51"/>
      <c r="AS38" s="51"/>
      <c r="AT38" s="51"/>
      <c r="AU38" s="1">
        <f t="shared" si="4"/>
        <v>0</v>
      </c>
    </row>
    <row r="39" spans="1:47">
      <c r="B39" s="23">
        <v>13</v>
      </c>
      <c r="C39" s="11"/>
      <c r="D39" s="11"/>
      <c r="E39" s="50"/>
      <c r="F39" s="50"/>
      <c r="G39" s="50"/>
      <c r="H39" s="50"/>
      <c r="I39" s="50"/>
      <c r="J39" s="50"/>
      <c r="K39" s="52"/>
      <c r="L39" s="52"/>
      <c r="M39" s="50"/>
      <c r="N39" s="50"/>
      <c r="O39" s="50"/>
      <c r="P39" s="50"/>
      <c r="Q39" s="78"/>
      <c r="R39" s="50"/>
      <c r="S39" s="50"/>
      <c r="T39" s="52"/>
      <c r="U39" s="52"/>
      <c r="V39" s="50"/>
      <c r="W39" s="50"/>
      <c r="X39" s="50"/>
      <c r="Y39" s="50"/>
      <c r="Z39" s="50"/>
      <c r="AA39" s="50"/>
      <c r="AB39" s="50"/>
      <c r="AC39" s="52"/>
      <c r="AD39" s="52"/>
      <c r="AE39" s="50"/>
      <c r="AF39" s="50"/>
      <c r="AG39" s="50"/>
      <c r="AH39" s="51"/>
      <c r="AI39" s="51"/>
      <c r="AJ39" s="51"/>
      <c r="AK39" s="52"/>
      <c r="AL39" s="52"/>
      <c r="AM39" s="51"/>
      <c r="AN39" s="51"/>
      <c r="AO39" s="51"/>
      <c r="AP39" s="51"/>
      <c r="AQ39" s="51"/>
      <c r="AR39" s="51"/>
      <c r="AS39" s="51"/>
      <c r="AT39" s="51"/>
      <c r="AU39" s="1">
        <f t="shared" si="4"/>
        <v>0</v>
      </c>
    </row>
    <row r="40" spans="1:47">
      <c r="B40" s="23">
        <v>14</v>
      </c>
      <c r="C40" s="11"/>
      <c r="D40" s="11"/>
      <c r="E40" s="50"/>
      <c r="F40" s="50"/>
      <c r="G40" s="50"/>
      <c r="H40" s="50"/>
      <c r="I40" s="50"/>
      <c r="J40" s="50"/>
      <c r="K40" s="52"/>
      <c r="L40" s="52"/>
      <c r="M40" s="50"/>
      <c r="N40" s="50"/>
      <c r="O40" s="50"/>
      <c r="P40" s="50"/>
      <c r="Q40" s="78"/>
      <c r="R40" s="50"/>
      <c r="S40" s="50"/>
      <c r="T40" s="52"/>
      <c r="U40" s="52"/>
      <c r="V40" s="50"/>
      <c r="W40" s="50"/>
      <c r="X40" s="50"/>
      <c r="Y40" s="50"/>
      <c r="Z40" s="50"/>
      <c r="AA40" s="50"/>
      <c r="AB40" s="50"/>
      <c r="AC40" s="52"/>
      <c r="AD40" s="52"/>
      <c r="AE40" s="50"/>
      <c r="AF40" s="50"/>
      <c r="AG40" s="50"/>
      <c r="AH40" s="51"/>
      <c r="AI40" s="51"/>
      <c r="AJ40" s="51"/>
      <c r="AK40" s="52"/>
      <c r="AL40" s="52"/>
      <c r="AM40" s="51"/>
      <c r="AN40" s="51"/>
      <c r="AO40" s="51"/>
      <c r="AP40" s="51"/>
      <c r="AQ40" s="51"/>
      <c r="AR40" s="51"/>
      <c r="AS40" s="51"/>
      <c r="AT40" s="51"/>
      <c r="AU40" s="1">
        <f t="shared" si="4"/>
        <v>0</v>
      </c>
    </row>
    <row r="41" spans="1:47">
      <c r="B41" s="23">
        <v>15</v>
      </c>
      <c r="C41" s="11"/>
      <c r="D41" s="11"/>
      <c r="E41" s="50"/>
      <c r="F41" s="50"/>
      <c r="G41" s="50"/>
      <c r="H41" s="50"/>
      <c r="I41" s="50"/>
      <c r="J41" s="50"/>
      <c r="K41" s="52"/>
      <c r="L41" s="52"/>
      <c r="M41" s="50"/>
      <c r="N41" s="50"/>
      <c r="O41" s="50"/>
      <c r="P41" s="50"/>
      <c r="Q41" s="78"/>
      <c r="R41" s="50"/>
      <c r="S41" s="50"/>
      <c r="T41" s="52"/>
      <c r="U41" s="52"/>
      <c r="V41" s="50"/>
      <c r="W41" s="50"/>
      <c r="X41" s="50"/>
      <c r="Y41" s="50"/>
      <c r="Z41" s="50"/>
      <c r="AA41" s="50"/>
      <c r="AB41" s="50"/>
      <c r="AC41" s="52"/>
      <c r="AD41" s="52"/>
      <c r="AE41" s="50"/>
      <c r="AF41" s="50"/>
      <c r="AG41" s="50"/>
      <c r="AH41" s="51"/>
      <c r="AI41" s="51"/>
      <c r="AJ41" s="51"/>
      <c r="AK41" s="52"/>
      <c r="AL41" s="52"/>
      <c r="AM41" s="51"/>
      <c r="AN41" s="51"/>
      <c r="AO41" s="51"/>
      <c r="AP41" s="51"/>
      <c r="AQ41" s="51"/>
      <c r="AR41" s="51"/>
      <c r="AS41" s="51"/>
      <c r="AT41" s="51"/>
      <c r="AU41" s="1">
        <f t="shared" si="4"/>
        <v>0</v>
      </c>
    </row>
    <row r="42" spans="1:47">
      <c r="B42" s="23">
        <v>16</v>
      </c>
      <c r="C42" s="11"/>
      <c r="D42" s="11"/>
      <c r="E42" s="50"/>
      <c r="F42" s="50"/>
      <c r="G42" s="50"/>
      <c r="H42" s="50"/>
      <c r="I42" s="50"/>
      <c r="J42" s="50"/>
      <c r="K42" s="52"/>
      <c r="L42" s="52"/>
      <c r="M42" s="50"/>
      <c r="N42" s="50"/>
      <c r="O42" s="50"/>
      <c r="P42" s="50"/>
      <c r="Q42" s="78"/>
      <c r="R42" s="50"/>
      <c r="S42" s="50"/>
      <c r="T42" s="52"/>
      <c r="U42" s="52"/>
      <c r="V42" s="50"/>
      <c r="W42" s="50"/>
      <c r="X42" s="50"/>
      <c r="Y42" s="50"/>
      <c r="Z42" s="50"/>
      <c r="AA42" s="50"/>
      <c r="AB42" s="50"/>
      <c r="AC42" s="52"/>
      <c r="AD42" s="52"/>
      <c r="AE42" s="50"/>
      <c r="AF42" s="50"/>
      <c r="AG42" s="50"/>
      <c r="AH42" s="51"/>
      <c r="AI42" s="51"/>
      <c r="AJ42" s="51"/>
      <c r="AK42" s="52"/>
      <c r="AL42" s="52"/>
      <c r="AM42" s="51"/>
      <c r="AN42" s="51"/>
      <c r="AO42" s="51"/>
      <c r="AP42" s="51"/>
      <c r="AQ42" s="51"/>
      <c r="AR42" s="51"/>
      <c r="AS42" s="51"/>
      <c r="AT42" s="51"/>
      <c r="AU42" s="1">
        <f t="shared" si="4"/>
        <v>0</v>
      </c>
    </row>
    <row r="43" spans="1:47" ht="19.5">
      <c r="B43" s="22"/>
      <c r="C43" s="12" t="s">
        <v>58</v>
      </c>
      <c r="D43" s="11"/>
      <c r="E43" s="8">
        <f>COUNTIF(E27:E42,"1")</f>
        <v>0</v>
      </c>
      <c r="F43" s="8">
        <f t="shared" ref="F43:AT43" si="5">COUNTIF(F27:F42,"1")</f>
        <v>0</v>
      </c>
      <c r="G43" s="8">
        <f t="shared" si="5"/>
        <v>0</v>
      </c>
      <c r="H43" s="8">
        <f t="shared" si="5"/>
        <v>0</v>
      </c>
      <c r="I43" s="8">
        <f t="shared" si="5"/>
        <v>0</v>
      </c>
      <c r="J43" s="8">
        <f t="shared" si="5"/>
        <v>0</v>
      </c>
      <c r="K43" s="8">
        <f t="shared" si="5"/>
        <v>0</v>
      </c>
      <c r="L43" s="8">
        <f t="shared" si="5"/>
        <v>0</v>
      </c>
      <c r="M43" s="8">
        <f t="shared" si="5"/>
        <v>0</v>
      </c>
      <c r="N43" s="8">
        <f t="shared" si="5"/>
        <v>0</v>
      </c>
      <c r="O43" s="8">
        <f t="shared" si="5"/>
        <v>0</v>
      </c>
      <c r="P43" s="8">
        <f t="shared" si="5"/>
        <v>0</v>
      </c>
      <c r="Q43" s="8">
        <f t="shared" si="5"/>
        <v>0</v>
      </c>
      <c r="R43" s="8">
        <f t="shared" si="5"/>
        <v>0</v>
      </c>
      <c r="S43" s="8">
        <f t="shared" si="5"/>
        <v>0</v>
      </c>
      <c r="T43" s="8">
        <f t="shared" si="5"/>
        <v>0</v>
      </c>
      <c r="U43" s="8">
        <f t="shared" si="5"/>
        <v>0</v>
      </c>
      <c r="V43" s="8">
        <f t="shared" si="5"/>
        <v>0</v>
      </c>
      <c r="W43" s="8">
        <f t="shared" si="5"/>
        <v>0</v>
      </c>
      <c r="X43" s="8">
        <f t="shared" si="5"/>
        <v>0</v>
      </c>
      <c r="Y43" s="8">
        <f t="shared" si="5"/>
        <v>0</v>
      </c>
      <c r="Z43" s="8">
        <f t="shared" si="5"/>
        <v>0</v>
      </c>
      <c r="AA43" s="8">
        <f t="shared" si="5"/>
        <v>0</v>
      </c>
      <c r="AB43" s="8">
        <f t="shared" si="5"/>
        <v>0</v>
      </c>
      <c r="AC43" s="8">
        <f t="shared" si="5"/>
        <v>0</v>
      </c>
      <c r="AD43" s="8">
        <f t="shared" si="5"/>
        <v>0</v>
      </c>
      <c r="AE43" s="8">
        <f t="shared" si="5"/>
        <v>0</v>
      </c>
      <c r="AF43" s="8">
        <f t="shared" si="5"/>
        <v>0</v>
      </c>
      <c r="AG43" s="8">
        <f t="shared" si="5"/>
        <v>0</v>
      </c>
      <c r="AH43" s="8">
        <f t="shared" si="5"/>
        <v>0</v>
      </c>
      <c r="AI43" s="8">
        <f t="shared" si="5"/>
        <v>0</v>
      </c>
      <c r="AJ43" s="8">
        <f t="shared" si="5"/>
        <v>0</v>
      </c>
      <c r="AK43" s="8">
        <f t="shared" si="5"/>
        <v>0</v>
      </c>
      <c r="AL43" s="8">
        <f t="shared" si="5"/>
        <v>0</v>
      </c>
      <c r="AM43" s="8">
        <f t="shared" si="5"/>
        <v>0</v>
      </c>
      <c r="AN43" s="8">
        <f t="shared" si="5"/>
        <v>0</v>
      </c>
      <c r="AO43" s="8">
        <f t="shared" si="5"/>
        <v>0</v>
      </c>
      <c r="AP43" s="8">
        <f t="shared" si="5"/>
        <v>0</v>
      </c>
      <c r="AQ43" s="8">
        <f t="shared" si="5"/>
        <v>0</v>
      </c>
      <c r="AR43" s="8">
        <f t="shared" si="5"/>
        <v>0</v>
      </c>
      <c r="AS43" s="8">
        <f t="shared" si="5"/>
        <v>0</v>
      </c>
      <c r="AT43" s="8">
        <f t="shared" si="5"/>
        <v>0</v>
      </c>
      <c r="AU43" s="1">
        <f t="shared" si="4"/>
        <v>0</v>
      </c>
    </row>
    <row r="45" spans="1:47" ht="15" customHeight="1">
      <c r="C45" s="71">
        <f>B23</f>
        <v>14</v>
      </c>
    </row>
  </sheetData>
  <sortState xmlns:xlrd2="http://schemas.microsoft.com/office/spreadsheetml/2017/richdata2" ref="C7:M17">
    <sortCondition ref="D7:D17"/>
  </sortState>
  <mergeCells count="88">
    <mergeCell ref="AT24:AT25"/>
    <mergeCell ref="A27:A34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U24:U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AR4:AR5"/>
    <mergeCell ref="AS4:AS5"/>
    <mergeCell ref="AT4:AT5"/>
    <mergeCell ref="A6:A13"/>
    <mergeCell ref="A14:A22"/>
    <mergeCell ref="AL4:AL5"/>
    <mergeCell ref="AM4:AM5"/>
    <mergeCell ref="AN4:AN5"/>
    <mergeCell ref="AO4:AO5"/>
    <mergeCell ref="AP4:AP5"/>
    <mergeCell ref="AQ4:AQ5"/>
    <mergeCell ref="AF4:AF5"/>
    <mergeCell ref="AG4:AG5"/>
    <mergeCell ref="AH4:AH5"/>
    <mergeCell ref="AI4:AI5"/>
    <mergeCell ref="AJ4:AJ5"/>
    <mergeCell ref="E24:E25"/>
    <mergeCell ref="F24:F25"/>
    <mergeCell ref="G24:G25"/>
    <mergeCell ref="H24:H25"/>
    <mergeCell ref="I24:I25"/>
    <mergeCell ref="X4:X5"/>
    <mergeCell ref="AK4:AK5"/>
    <mergeCell ref="Z4:Z5"/>
    <mergeCell ref="AA4:AA5"/>
    <mergeCell ref="AB4:AB5"/>
    <mergeCell ref="AC4:AC5"/>
    <mergeCell ref="AD4:AD5"/>
    <mergeCell ref="AE4:AE5"/>
    <mergeCell ref="S4:S5"/>
    <mergeCell ref="T4:T5"/>
    <mergeCell ref="U4:U5"/>
    <mergeCell ref="V4:V5"/>
    <mergeCell ref="W4:W5"/>
    <mergeCell ref="C1:AP3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Y4:Y5"/>
    <mergeCell ref="N4:N5"/>
    <mergeCell ref="O4:O5"/>
    <mergeCell ref="P4:P5"/>
    <mergeCell ref="Q4:Q5"/>
    <mergeCell ref="R4:R5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83" orientation="portrait"/>
  <rowBreaks count="1" manualBreakCount="1">
    <brk id="4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0D27-8227-4386-A3DF-4F97577B9B9A}">
  <sheetPr>
    <pageSetUpPr fitToPage="1"/>
  </sheetPr>
  <dimension ref="A1:J67"/>
  <sheetViews>
    <sheetView workbookViewId="0">
      <selection activeCell="C18" sqref="C18:D19"/>
    </sheetView>
  </sheetViews>
  <sheetFormatPr defaultRowHeight="15"/>
  <cols>
    <col min="1" max="1" width="3" bestFit="1" customWidth="1"/>
    <col min="2" max="2" width="4" bestFit="1" customWidth="1"/>
    <col min="3" max="3" width="31.28515625" bestFit="1" customWidth="1"/>
    <col min="4" max="4" width="4.5703125" bestFit="1" customWidth="1"/>
    <col min="6" max="6" width="3" bestFit="1" customWidth="1"/>
    <col min="7" max="7" width="4" bestFit="1" customWidth="1"/>
    <col min="8" max="8" width="29.42578125" bestFit="1" customWidth="1"/>
    <col min="9" max="9" width="4.5703125" bestFit="1" customWidth="1"/>
    <col min="11" max="11" width="3" bestFit="1" customWidth="1"/>
    <col min="12" max="12" width="4" bestFit="1" customWidth="1"/>
    <col min="13" max="13" width="23.7109375" bestFit="1" customWidth="1"/>
    <col min="14" max="14" width="4.5703125" bestFit="1" customWidth="1"/>
  </cols>
  <sheetData>
    <row r="1" spans="1:10" ht="61.5">
      <c r="A1" s="119"/>
      <c r="B1" s="111" t="s">
        <v>391</v>
      </c>
      <c r="C1" s="111"/>
      <c r="D1" s="111"/>
    </row>
    <row r="3" spans="1:10" ht="15" customHeight="1">
      <c r="A3" s="119"/>
      <c r="B3" s="113" t="s">
        <v>392</v>
      </c>
      <c r="C3" s="114"/>
      <c r="D3" s="115"/>
      <c r="J3" s="119"/>
    </row>
    <row r="4" spans="1:10" ht="18.75" customHeight="1">
      <c r="A4" s="112" t="s">
        <v>86</v>
      </c>
      <c r="B4" s="120">
        <v>1</v>
      </c>
      <c r="C4" s="40" t="str">
        <f>'LUNDI 17H30 Présence'!C7</f>
        <v>GRAY Louis</v>
      </c>
      <c r="D4" s="40" t="str">
        <f>'LUNDI 17H30 Présence'!D7</f>
        <v>U10</v>
      </c>
      <c r="J4" s="119"/>
    </row>
    <row r="5" spans="1:10">
      <c r="A5" s="112"/>
      <c r="B5" s="121">
        <v>2</v>
      </c>
      <c r="C5" s="40" t="str">
        <f>'LUNDI 17H30 Présence'!C8</f>
        <v>LECEA Joseph</v>
      </c>
      <c r="D5" s="40" t="str">
        <f>'LUNDI 17H30 Présence'!D8</f>
        <v>U10</v>
      </c>
      <c r="J5" s="119"/>
    </row>
    <row r="6" spans="1:10">
      <c r="A6" s="112"/>
      <c r="B6" s="121">
        <v>3</v>
      </c>
      <c r="C6" s="40" t="str">
        <f>'LUNDI 17H30 Présence'!C9</f>
        <v>SALAME Bassam</v>
      </c>
      <c r="D6" s="40" t="str">
        <f>'LUNDI 17H30 Présence'!D9</f>
        <v>U10</v>
      </c>
      <c r="J6" s="119"/>
    </row>
    <row r="7" spans="1:10">
      <c r="A7" s="112"/>
      <c r="B7" s="121">
        <v>4</v>
      </c>
      <c r="C7" s="40" t="str">
        <f>'LUNDI 17H30 Présence'!C10</f>
        <v>GUILLETAT Seyf</v>
      </c>
      <c r="D7" s="40" t="str">
        <f>'LUNDI 17H30 Présence'!D10</f>
        <v>U10</v>
      </c>
      <c r="J7" s="119"/>
    </row>
    <row r="8" spans="1:10">
      <c r="A8" s="112"/>
      <c r="B8" s="121">
        <v>5</v>
      </c>
      <c r="C8" s="40" t="str">
        <f>'LUNDI 17H30 Présence'!C11</f>
        <v>COINTE-FOURRIER Axel</v>
      </c>
      <c r="D8" s="40" t="str">
        <f>'LUNDI 17H30 Présence'!D11</f>
        <v>U10</v>
      </c>
      <c r="J8" s="119"/>
    </row>
    <row r="9" spans="1:10">
      <c r="A9" s="112"/>
      <c r="B9" s="121">
        <v>6</v>
      </c>
      <c r="C9" s="40" t="str">
        <f>'LUNDI 17H30 Présence'!C12</f>
        <v>RODRIGUEZ Clément</v>
      </c>
      <c r="D9" s="40" t="str">
        <f>'LUNDI 17H30 Présence'!D12</f>
        <v>U11</v>
      </c>
      <c r="J9" s="119"/>
    </row>
    <row r="10" spans="1:10">
      <c r="A10" s="112"/>
      <c r="B10" s="121">
        <v>7</v>
      </c>
      <c r="C10" s="40" t="str">
        <f>'LUNDI 17H30 Présence'!C13</f>
        <v>SUN Bastien</v>
      </c>
      <c r="D10" s="40" t="str">
        <f>'LUNDI 17H30 Présence'!D13</f>
        <v>U11</v>
      </c>
      <c r="J10" s="119"/>
    </row>
    <row r="11" spans="1:10">
      <c r="A11" s="112"/>
      <c r="B11" s="121">
        <v>8</v>
      </c>
      <c r="C11" s="40" t="str">
        <f>'LUNDI 17H30 Présence'!C14</f>
        <v>MOUMEN Maher</v>
      </c>
      <c r="D11" s="40" t="str">
        <f>'LUNDI 17H30 Présence'!D14</f>
        <v>U11</v>
      </c>
      <c r="J11" s="119"/>
    </row>
    <row r="12" spans="1:10">
      <c r="A12" s="41"/>
      <c r="B12" s="121">
        <v>9</v>
      </c>
      <c r="C12" s="40" t="str">
        <f>'LUNDI 17H30 Présence'!C15</f>
        <v>MOUMEN Wael</v>
      </c>
      <c r="D12" s="40" t="str">
        <f>'LUNDI 17H30 Présence'!D15</f>
        <v>U11</v>
      </c>
      <c r="J12" s="119"/>
    </row>
    <row r="13" spans="1:10">
      <c r="A13" s="41"/>
      <c r="B13" s="121">
        <v>10</v>
      </c>
      <c r="C13" s="40" t="str">
        <f>'LUNDI 17H30 Présence'!C16</f>
        <v>AZARYOUH Ismael</v>
      </c>
      <c r="D13" s="40" t="str">
        <f>'LUNDI 17H30 Présence'!D16</f>
        <v>U11</v>
      </c>
      <c r="J13" s="119"/>
    </row>
    <row r="14" spans="1:10">
      <c r="A14" s="41"/>
      <c r="B14" s="121">
        <v>11</v>
      </c>
      <c r="C14" s="40" t="str">
        <f>'LUNDI 17H30 Présence'!C17</f>
        <v>ZERROUKI Aymen</v>
      </c>
      <c r="D14" s="40" t="str">
        <f>'LUNDI 17H30 Présence'!D17</f>
        <v>U11</v>
      </c>
      <c r="J14" s="119"/>
    </row>
    <row r="15" spans="1:10">
      <c r="A15" s="41"/>
      <c r="B15" s="121">
        <v>12</v>
      </c>
      <c r="C15" s="40" t="str">
        <f>'LUNDI 17H30 Présence'!C18</f>
        <v>FATY Noha</v>
      </c>
      <c r="D15" s="40" t="str">
        <f>'LUNDI 17H30 Présence'!D18</f>
        <v>U12</v>
      </c>
      <c r="J15" s="119"/>
    </row>
    <row r="16" spans="1:10">
      <c r="A16" s="41"/>
      <c r="B16" s="121">
        <v>13</v>
      </c>
      <c r="C16" s="40" t="str">
        <f>'LUNDI 17H30 Présence'!C19</f>
        <v>CROSNIER Simon</v>
      </c>
      <c r="D16" s="40" t="str">
        <f>'LUNDI 17H30 Présence'!D19</f>
        <v>U13</v>
      </c>
      <c r="J16" s="119"/>
    </row>
    <row r="17" spans="1:10">
      <c r="A17" s="41"/>
      <c r="B17" s="121">
        <v>14</v>
      </c>
      <c r="C17" s="40" t="str">
        <f>'LUNDI 17H30 Présence'!C20</f>
        <v>BECKER Kolja</v>
      </c>
      <c r="D17" s="40" t="str">
        <f>'LUNDI 17H30 Présence'!D20</f>
        <v>U11</v>
      </c>
      <c r="J17" s="119"/>
    </row>
    <row r="18" spans="1:10">
      <c r="A18" s="41"/>
      <c r="B18" s="121">
        <v>15</v>
      </c>
      <c r="C18" s="40"/>
      <c r="D18" s="40"/>
      <c r="J18" s="119"/>
    </row>
    <row r="19" spans="1:10">
      <c r="A19" s="41"/>
      <c r="B19" s="122">
        <v>16</v>
      </c>
      <c r="C19" s="40"/>
      <c r="D19" s="40"/>
      <c r="J19" s="119"/>
    </row>
    <row r="20" spans="1:10" ht="18.75">
      <c r="A20" s="41"/>
      <c r="B20" s="108" t="s">
        <v>393</v>
      </c>
      <c r="C20" s="109"/>
      <c r="D20" s="110"/>
      <c r="J20" s="119"/>
    </row>
    <row r="21" spans="1:10" ht="18.75">
      <c r="A21" s="44"/>
      <c r="B21" s="44"/>
      <c r="C21" s="44"/>
      <c r="D21" s="44"/>
      <c r="J21" s="119"/>
    </row>
    <row r="22" spans="1:10">
      <c r="A22" s="119"/>
    </row>
    <row r="23" spans="1:10" ht="15" customHeight="1">
      <c r="A23" s="119"/>
    </row>
    <row r="24" spans="1:10">
      <c r="A24" s="119"/>
      <c r="E24" s="2"/>
    </row>
    <row r="25" spans="1:10">
      <c r="A25" s="119"/>
      <c r="E25" s="2"/>
    </row>
    <row r="26" spans="1:10">
      <c r="A26" s="119"/>
      <c r="E26" s="2"/>
    </row>
    <row r="27" spans="1:10">
      <c r="A27" s="119"/>
      <c r="E27" s="2"/>
    </row>
    <row r="28" spans="1:10">
      <c r="A28" s="119"/>
      <c r="E28" s="2"/>
    </row>
    <row r="29" spans="1:10">
      <c r="A29" s="119"/>
      <c r="E29" s="2"/>
    </row>
    <row r="30" spans="1:10">
      <c r="A30" s="119"/>
      <c r="E30" s="2"/>
    </row>
    <row r="31" spans="1:10">
      <c r="A31" s="119"/>
      <c r="E31" s="2"/>
    </row>
    <row r="32" spans="1:10">
      <c r="A32" s="119"/>
      <c r="E32" s="2"/>
    </row>
    <row r="33" spans="1:5">
      <c r="A33" s="119"/>
      <c r="E33" s="2"/>
    </row>
    <row r="34" spans="1:5">
      <c r="A34" s="119"/>
      <c r="E34" s="2"/>
    </row>
    <row r="35" spans="1:5">
      <c r="A35" s="119"/>
      <c r="E35" s="2"/>
    </row>
    <row r="36" spans="1:5">
      <c r="A36" s="119"/>
      <c r="E36" s="2"/>
    </row>
    <row r="37" spans="1:5">
      <c r="A37" s="119"/>
      <c r="E37" s="2"/>
    </row>
    <row r="38" spans="1:5">
      <c r="A38" s="119"/>
      <c r="E38" s="2"/>
    </row>
    <row r="39" spans="1:5">
      <c r="A39" s="119"/>
      <c r="E39" s="2"/>
    </row>
    <row r="40" spans="1:5">
      <c r="A40" s="119"/>
      <c r="E40" s="2"/>
    </row>
    <row r="41" spans="1:5">
      <c r="A41" s="119"/>
      <c r="E41" s="2"/>
    </row>
    <row r="42" spans="1:5" ht="15" customHeight="1">
      <c r="A42" s="119"/>
      <c r="E42" s="2"/>
    </row>
    <row r="43" spans="1:5" ht="15" customHeight="1">
      <c r="A43" s="119"/>
      <c r="E43" s="2"/>
    </row>
    <row r="44" spans="1:5">
      <c r="A44" s="119"/>
      <c r="E44" s="2"/>
    </row>
    <row r="45" spans="1:5">
      <c r="A45" s="119"/>
      <c r="E45" s="2"/>
    </row>
    <row r="46" spans="1:5">
      <c r="A46" s="119"/>
      <c r="E46" s="2"/>
    </row>
    <row r="47" spans="1:5">
      <c r="A47" s="119"/>
      <c r="E47" s="2"/>
    </row>
    <row r="48" spans="1:5">
      <c r="A48" s="119"/>
      <c r="E48" s="2"/>
    </row>
    <row r="49" spans="1:5">
      <c r="A49" s="119"/>
      <c r="E49" s="2"/>
    </row>
    <row r="50" spans="1:5">
      <c r="A50" s="119"/>
      <c r="E50" s="2"/>
    </row>
    <row r="51" spans="1:5">
      <c r="A51" s="119"/>
      <c r="E51" s="2"/>
    </row>
    <row r="52" spans="1:5">
      <c r="A52" s="119"/>
      <c r="E52" s="2"/>
    </row>
    <row r="53" spans="1:5">
      <c r="A53" s="119"/>
      <c r="E53" s="2"/>
    </row>
    <row r="54" spans="1:5">
      <c r="A54" s="119"/>
      <c r="E54" s="2"/>
    </row>
    <row r="55" spans="1:5">
      <c r="A55" s="119"/>
      <c r="E55" s="2"/>
    </row>
    <row r="56" spans="1:5">
      <c r="A56" s="119"/>
      <c r="E56" s="2"/>
    </row>
    <row r="57" spans="1:5">
      <c r="A57" s="119"/>
      <c r="E57" s="2"/>
    </row>
    <row r="58" spans="1:5">
      <c r="A58" s="119"/>
      <c r="E58" s="2"/>
    </row>
    <row r="59" spans="1:5">
      <c r="A59" s="119"/>
      <c r="E59" s="2"/>
    </row>
    <row r="60" spans="1:5">
      <c r="A60" s="119"/>
      <c r="E60" s="2"/>
    </row>
    <row r="61" spans="1:5">
      <c r="A61" s="119"/>
      <c r="E61" s="2"/>
    </row>
    <row r="62" spans="1:5">
      <c r="A62" s="119"/>
      <c r="E62" s="2"/>
    </row>
    <row r="63" spans="1:5" ht="15" customHeight="1">
      <c r="A63" s="119"/>
      <c r="E63" s="2"/>
    </row>
    <row r="64" spans="1:5">
      <c r="A64" s="119"/>
      <c r="E64" s="2"/>
    </row>
    <row r="65" spans="1:5">
      <c r="A65" s="119"/>
      <c r="E65" s="2"/>
    </row>
    <row r="66" spans="1:5">
      <c r="A66" s="119"/>
    </row>
    <row r="67" spans="1:5">
      <c r="A67" s="119"/>
    </row>
  </sheetData>
  <mergeCells count="4">
    <mergeCell ref="B20:D20"/>
    <mergeCell ref="B1:D1"/>
    <mergeCell ref="A4:A11"/>
    <mergeCell ref="B3:D3"/>
  </mergeCells>
  <pageMargins left="0.7" right="0.7" top="0.75" bottom="0.75" header="0.3" footer="0.3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99A3-3982-4CB1-9837-7A102A867915}">
  <sheetPr>
    <pageSetUpPr fitToPage="1"/>
  </sheetPr>
  <dimension ref="A1:J67"/>
  <sheetViews>
    <sheetView workbookViewId="0">
      <selection activeCell="M15" sqref="M15"/>
    </sheetView>
  </sheetViews>
  <sheetFormatPr defaultRowHeight="15"/>
  <cols>
    <col min="1" max="1" width="3" bestFit="1" customWidth="1"/>
    <col min="2" max="2" width="4" bestFit="1" customWidth="1"/>
    <col min="3" max="3" width="31.28515625" bestFit="1" customWidth="1"/>
    <col min="4" max="4" width="4.5703125" bestFit="1" customWidth="1"/>
    <col min="6" max="6" width="3" bestFit="1" customWidth="1"/>
    <col min="7" max="7" width="4" bestFit="1" customWidth="1"/>
    <col min="8" max="8" width="29.42578125" bestFit="1" customWidth="1"/>
    <col min="9" max="9" width="4.5703125" bestFit="1" customWidth="1"/>
    <col min="11" max="11" width="3" bestFit="1" customWidth="1"/>
    <col min="12" max="12" width="4" bestFit="1" customWidth="1"/>
    <col min="13" max="13" width="23.7109375" bestFit="1" customWidth="1"/>
    <col min="14" max="14" width="4.5703125" bestFit="1" customWidth="1"/>
  </cols>
  <sheetData>
    <row r="1" spans="1:10" ht="61.5">
      <c r="A1" s="111" t="s">
        <v>394</v>
      </c>
      <c r="B1" s="111"/>
      <c r="C1" s="111"/>
      <c r="D1" s="111"/>
      <c r="E1" s="111"/>
      <c r="F1" s="111"/>
      <c r="G1" s="111"/>
      <c r="H1" s="111"/>
      <c r="I1" s="111"/>
    </row>
    <row r="3" spans="1:10" ht="15" customHeight="1">
      <c r="A3" s="119"/>
      <c r="B3" s="113" t="s">
        <v>392</v>
      </c>
      <c r="C3" s="114"/>
      <c r="D3" s="115"/>
      <c r="F3" s="119"/>
      <c r="G3" s="113" t="s">
        <v>392</v>
      </c>
      <c r="H3" s="114"/>
      <c r="I3" s="115"/>
      <c r="J3" s="119"/>
    </row>
    <row r="4" spans="1:10" ht="18.75" customHeight="1">
      <c r="A4" s="112" t="s">
        <v>86</v>
      </c>
      <c r="B4" s="120">
        <v>1</v>
      </c>
      <c r="C4" s="40" t="str">
        <f>'MARDI 17H30 Présence'!C7</f>
        <v>GHACHI TAILLARD Naël</v>
      </c>
      <c r="D4" s="40" t="str">
        <f>'MARDI 17H30 Présence'!D7</f>
        <v>U6</v>
      </c>
      <c r="F4" s="112" t="s">
        <v>105</v>
      </c>
      <c r="G4" s="120">
        <v>1</v>
      </c>
      <c r="H4" s="40" t="str">
        <f>'MARDI 17H30 Présence'!C27</f>
        <v>KHELIF Aaron</v>
      </c>
      <c r="I4" s="40" t="str">
        <f>'MARDI 17H30 Présence'!D27</f>
        <v>U8</v>
      </c>
      <c r="J4" s="119"/>
    </row>
    <row r="5" spans="1:10">
      <c r="A5" s="112"/>
      <c r="B5" s="121">
        <v>2</v>
      </c>
      <c r="C5" s="40" t="str">
        <f>'MARDI 17H30 Présence'!C8</f>
        <v>PUJOL Elio</v>
      </c>
      <c r="D5" s="40" t="str">
        <f>'MARDI 17H30 Présence'!D8</f>
        <v>U6</v>
      </c>
      <c r="F5" s="112"/>
      <c r="G5" s="121">
        <v>2</v>
      </c>
      <c r="H5" s="40" t="str">
        <f>'MARDI 17H30 Présence'!C28</f>
        <v>HARZALLAH Zakaria</v>
      </c>
      <c r="I5" s="40" t="str">
        <f>'MARDI 17H30 Présence'!D28</f>
        <v>U8</v>
      </c>
      <c r="J5" s="119"/>
    </row>
    <row r="6" spans="1:10">
      <c r="A6" s="112"/>
      <c r="B6" s="121">
        <v>3</v>
      </c>
      <c r="C6" s="40" t="str">
        <f>'MARDI 17H30 Présence'!C9</f>
        <v>BRUGAT Mathias</v>
      </c>
      <c r="D6" s="40" t="str">
        <f>'MARDI 17H30 Présence'!D9</f>
        <v>U6</v>
      </c>
      <c r="F6" s="112"/>
      <c r="G6" s="121">
        <v>3</v>
      </c>
      <c r="H6" s="40" t="str">
        <f>'MARDI 17H30 Présence'!C29</f>
        <v>SANCHEZ GUERRERO Lennys</v>
      </c>
      <c r="I6" s="40" t="str">
        <f>'MARDI 17H30 Présence'!D29</f>
        <v>U9</v>
      </c>
      <c r="J6" s="119"/>
    </row>
    <row r="7" spans="1:10">
      <c r="A7" s="112"/>
      <c r="B7" s="121">
        <v>4</v>
      </c>
      <c r="C7" s="40" t="str">
        <f>'MARDI 17H30 Présence'!C10</f>
        <v>MAGNIN Jade</v>
      </c>
      <c r="D7" s="40" t="str">
        <f>'MARDI 17H30 Présence'!D10</f>
        <v>U7</v>
      </c>
      <c r="F7" s="112"/>
      <c r="G7" s="121">
        <v>4</v>
      </c>
      <c r="H7" s="40" t="str">
        <f>'MARDI 17H30 Présence'!C30</f>
        <v>DANOT Maël</v>
      </c>
      <c r="I7" s="40" t="str">
        <f>'MARDI 17H30 Présence'!D30</f>
        <v>U9</v>
      </c>
      <c r="J7" s="119"/>
    </row>
    <row r="8" spans="1:10">
      <c r="A8" s="112"/>
      <c r="B8" s="121">
        <v>5</v>
      </c>
      <c r="C8" s="40" t="str">
        <f>'MARDI 17H30 Présence'!C11</f>
        <v>MAGNIN Sophie</v>
      </c>
      <c r="D8" s="40" t="str">
        <f>'MARDI 17H30 Présence'!D11</f>
        <v>U7</v>
      </c>
      <c r="F8" s="112"/>
      <c r="G8" s="121">
        <v>5</v>
      </c>
      <c r="H8" s="40" t="str">
        <f>'MARDI 17H30 Présence'!C31</f>
        <v>OLVERA MARTINEZ Matias Andres</v>
      </c>
      <c r="I8" s="40" t="str">
        <f>'MARDI 17H30 Présence'!D31</f>
        <v>U9</v>
      </c>
      <c r="J8" s="119"/>
    </row>
    <row r="9" spans="1:10">
      <c r="A9" s="112"/>
      <c r="B9" s="121">
        <v>6</v>
      </c>
      <c r="C9" s="40" t="str">
        <f>'MARDI 17H30 Présence'!C12</f>
        <v>AMSELEM Ishay</v>
      </c>
      <c r="D9" s="40" t="str">
        <f>'MARDI 17H30 Présence'!D12</f>
        <v>U7</v>
      </c>
      <c r="F9" s="112"/>
      <c r="G9" s="121">
        <v>6</v>
      </c>
      <c r="H9" s="40" t="str">
        <f>'MARDI 17H30 Présence'!C32</f>
        <v>CHALLUT Tom</v>
      </c>
      <c r="I9" s="40" t="str">
        <f>'MARDI 17H30 Présence'!D32</f>
        <v>U9</v>
      </c>
      <c r="J9" s="119"/>
    </row>
    <row r="10" spans="1:10">
      <c r="A10" s="112"/>
      <c r="B10" s="121">
        <v>7</v>
      </c>
      <c r="C10" s="40"/>
      <c r="D10" s="40"/>
      <c r="F10" s="112"/>
      <c r="G10" s="121">
        <v>7</v>
      </c>
      <c r="H10" s="40" t="str">
        <f>'MARDI 17H30 Présence'!C33</f>
        <v>GUEDJ Joseph</v>
      </c>
      <c r="I10" s="40" t="str">
        <f>'MARDI 17H30 Présence'!D33</f>
        <v>U9</v>
      </c>
      <c r="J10" s="119"/>
    </row>
    <row r="11" spans="1:10">
      <c r="A11" s="112"/>
      <c r="B11" s="121">
        <v>8</v>
      </c>
      <c r="C11" s="40"/>
      <c r="D11" s="40"/>
      <c r="F11" s="112"/>
      <c r="G11" s="121">
        <v>8</v>
      </c>
      <c r="H11" s="40" t="str">
        <f>'MARDI 17H30 Présence'!C34</f>
        <v>BENHADDOU Imrane</v>
      </c>
      <c r="I11" s="40" t="str">
        <f>'MARDI 17H30 Présence'!D34</f>
        <v>U9</v>
      </c>
      <c r="J11" s="119"/>
    </row>
    <row r="12" spans="1:10">
      <c r="A12" s="41"/>
      <c r="B12" s="121">
        <v>9</v>
      </c>
      <c r="C12" s="40"/>
      <c r="D12" s="40"/>
      <c r="F12" s="41"/>
      <c r="G12" s="121">
        <v>9</v>
      </c>
      <c r="H12" s="40" t="str">
        <f>'MARDI 17H30 Présence'!C35</f>
        <v>GHACHI TAILLARD Noé</v>
      </c>
      <c r="I12" s="40" t="str">
        <f>'MARDI 17H30 Présence'!D35</f>
        <v>U9</v>
      </c>
      <c r="J12" s="119"/>
    </row>
    <row r="13" spans="1:10">
      <c r="A13" s="41"/>
      <c r="B13" s="121">
        <v>10</v>
      </c>
      <c r="C13" s="40"/>
      <c r="D13" s="40"/>
      <c r="F13" s="41"/>
      <c r="G13" s="121">
        <v>10</v>
      </c>
      <c r="H13" s="40" t="str">
        <f>'MARDI 17H30 Présence'!C36</f>
        <v>PUJOL Timéo</v>
      </c>
      <c r="I13" s="40" t="str">
        <f>'MARDI 17H30 Présence'!D36</f>
        <v>U9</v>
      </c>
      <c r="J13" s="119"/>
    </row>
    <row r="14" spans="1:10">
      <c r="A14" s="41"/>
      <c r="B14" s="121">
        <v>11</v>
      </c>
      <c r="C14" s="40"/>
      <c r="D14" s="40"/>
      <c r="F14" s="41"/>
      <c r="G14" s="121">
        <v>11</v>
      </c>
      <c r="H14" s="40"/>
      <c r="I14" s="40"/>
      <c r="J14" s="119"/>
    </row>
    <row r="15" spans="1:10">
      <c r="A15" s="41"/>
      <c r="B15" s="121">
        <v>12</v>
      </c>
      <c r="C15" s="40"/>
      <c r="D15" s="40"/>
      <c r="F15" s="41"/>
      <c r="G15" s="121">
        <v>12</v>
      </c>
      <c r="H15" s="40"/>
      <c r="I15" s="40"/>
      <c r="J15" s="119"/>
    </row>
    <row r="16" spans="1:10">
      <c r="A16" s="41"/>
      <c r="B16" s="121">
        <v>13</v>
      </c>
      <c r="C16" s="40"/>
      <c r="D16" s="40"/>
      <c r="F16" s="41"/>
      <c r="G16" s="121">
        <v>13</v>
      </c>
      <c r="H16" s="40"/>
      <c r="I16" s="40"/>
      <c r="J16" s="119"/>
    </row>
    <row r="17" spans="1:10">
      <c r="A17" s="41"/>
      <c r="B17" s="121">
        <v>14</v>
      </c>
      <c r="C17" s="40"/>
      <c r="D17" s="40"/>
      <c r="F17" s="41"/>
      <c r="G17" s="121">
        <v>14</v>
      </c>
      <c r="H17" s="40"/>
      <c r="I17" s="40"/>
      <c r="J17" s="119"/>
    </row>
    <row r="18" spans="1:10">
      <c r="A18" s="41"/>
      <c r="B18" s="121">
        <v>15</v>
      </c>
      <c r="C18" s="40"/>
      <c r="D18" s="40"/>
      <c r="F18" s="41"/>
      <c r="G18" s="121">
        <v>15</v>
      </c>
      <c r="H18" s="40"/>
      <c r="I18" s="40"/>
      <c r="J18" s="119"/>
    </row>
    <row r="19" spans="1:10">
      <c r="A19" s="41"/>
      <c r="B19" s="122">
        <v>16</v>
      </c>
      <c r="C19" s="40"/>
      <c r="D19" s="40"/>
      <c r="F19" s="41"/>
      <c r="G19" s="122">
        <v>16</v>
      </c>
      <c r="H19" s="40"/>
      <c r="I19" s="40"/>
      <c r="J19" s="119"/>
    </row>
    <row r="20" spans="1:10" ht="18.75">
      <c r="A20" s="41"/>
      <c r="B20" s="108" t="s">
        <v>395</v>
      </c>
      <c r="C20" s="109"/>
      <c r="D20" s="110"/>
      <c r="F20" s="41"/>
      <c r="G20" s="108" t="s">
        <v>396</v>
      </c>
      <c r="H20" s="109"/>
      <c r="I20" s="110"/>
      <c r="J20" s="119"/>
    </row>
    <row r="21" spans="1:10" ht="18.75">
      <c r="A21" s="44"/>
      <c r="B21" s="44"/>
      <c r="C21" s="44"/>
      <c r="D21" s="44"/>
      <c r="J21" s="119"/>
    </row>
    <row r="22" spans="1:10">
      <c r="A22" s="119"/>
    </row>
    <row r="23" spans="1:10" ht="15" customHeight="1">
      <c r="A23" s="119"/>
    </row>
    <row r="24" spans="1:10">
      <c r="A24" s="119"/>
      <c r="E24" s="2"/>
    </row>
    <row r="25" spans="1:10">
      <c r="A25" s="119"/>
      <c r="E25" s="2"/>
    </row>
    <row r="26" spans="1:10">
      <c r="A26" s="119"/>
      <c r="E26" s="2"/>
    </row>
    <row r="27" spans="1:10">
      <c r="A27" s="119"/>
      <c r="E27" s="2"/>
    </row>
    <row r="28" spans="1:10">
      <c r="A28" s="119"/>
      <c r="E28" s="2"/>
    </row>
    <row r="29" spans="1:10">
      <c r="A29" s="119"/>
      <c r="E29" s="2"/>
    </row>
    <row r="30" spans="1:10">
      <c r="A30" s="119"/>
      <c r="E30" s="2"/>
    </row>
    <row r="31" spans="1:10">
      <c r="A31" s="119"/>
      <c r="E31" s="2"/>
    </row>
    <row r="32" spans="1:10">
      <c r="A32" s="119"/>
      <c r="E32" s="2"/>
    </row>
    <row r="33" spans="1:5">
      <c r="A33" s="119"/>
      <c r="E33" s="2"/>
    </row>
    <row r="34" spans="1:5">
      <c r="A34" s="119"/>
      <c r="E34" s="2"/>
    </row>
    <row r="35" spans="1:5">
      <c r="A35" s="119"/>
      <c r="E35" s="2"/>
    </row>
    <row r="36" spans="1:5">
      <c r="A36" s="119"/>
      <c r="E36" s="2"/>
    </row>
    <row r="37" spans="1:5">
      <c r="A37" s="119"/>
      <c r="E37" s="2"/>
    </row>
    <row r="38" spans="1:5">
      <c r="A38" s="119"/>
      <c r="E38" s="2"/>
    </row>
    <row r="39" spans="1:5">
      <c r="A39" s="119"/>
      <c r="E39" s="2"/>
    </row>
    <row r="40" spans="1:5">
      <c r="A40" s="119"/>
      <c r="E40" s="2"/>
    </row>
    <row r="41" spans="1:5">
      <c r="A41" s="119"/>
      <c r="E41" s="2"/>
    </row>
    <row r="42" spans="1:5" ht="15" customHeight="1">
      <c r="A42" s="119"/>
      <c r="E42" s="2"/>
    </row>
    <row r="43" spans="1:5" ht="15" customHeight="1">
      <c r="A43" s="119"/>
      <c r="E43" s="2"/>
    </row>
    <row r="44" spans="1:5">
      <c r="A44" s="119"/>
      <c r="E44" s="2"/>
    </row>
    <row r="45" spans="1:5">
      <c r="A45" s="119"/>
      <c r="E45" s="2"/>
    </row>
    <row r="46" spans="1:5">
      <c r="A46" s="119"/>
      <c r="E46" s="2"/>
    </row>
    <row r="47" spans="1:5">
      <c r="A47" s="119"/>
      <c r="E47" s="2"/>
    </row>
    <row r="48" spans="1:5">
      <c r="A48" s="119"/>
      <c r="E48" s="2"/>
    </row>
    <row r="49" spans="1:5">
      <c r="A49" s="119"/>
      <c r="E49" s="2"/>
    </row>
    <row r="50" spans="1:5">
      <c r="A50" s="119"/>
      <c r="E50" s="2"/>
    </row>
    <row r="51" spans="1:5">
      <c r="A51" s="119"/>
      <c r="E51" s="2"/>
    </row>
    <row r="52" spans="1:5">
      <c r="A52" s="119"/>
      <c r="E52" s="2"/>
    </row>
    <row r="53" spans="1:5">
      <c r="A53" s="119"/>
      <c r="E53" s="2"/>
    </row>
    <row r="54" spans="1:5">
      <c r="A54" s="119"/>
      <c r="E54" s="2"/>
    </row>
    <row r="55" spans="1:5">
      <c r="A55" s="119"/>
      <c r="E55" s="2"/>
    </row>
    <row r="56" spans="1:5">
      <c r="A56" s="119"/>
      <c r="E56" s="2"/>
    </row>
    <row r="57" spans="1:5">
      <c r="A57" s="119"/>
      <c r="E57" s="2"/>
    </row>
    <row r="58" spans="1:5">
      <c r="A58" s="119"/>
      <c r="E58" s="2"/>
    </row>
    <row r="59" spans="1:5">
      <c r="A59" s="119"/>
      <c r="E59" s="2"/>
    </row>
    <row r="60" spans="1:5">
      <c r="A60" s="119"/>
      <c r="E60" s="2"/>
    </row>
    <row r="61" spans="1:5">
      <c r="A61" s="119"/>
      <c r="E61" s="2"/>
    </row>
    <row r="62" spans="1:5">
      <c r="A62" s="119"/>
      <c r="E62" s="2"/>
    </row>
    <row r="63" spans="1:5" ht="15" customHeight="1">
      <c r="A63" s="119"/>
      <c r="E63" s="2"/>
    </row>
    <row r="64" spans="1:5">
      <c r="A64" s="119"/>
      <c r="E64" s="2"/>
    </row>
    <row r="65" spans="1:5">
      <c r="A65" s="119"/>
      <c r="E65" s="2"/>
    </row>
    <row r="66" spans="1:5">
      <c r="A66" s="119"/>
    </row>
    <row r="67" spans="1:5">
      <c r="A67" s="119"/>
    </row>
  </sheetData>
  <mergeCells count="7">
    <mergeCell ref="A1:I1"/>
    <mergeCell ref="B3:D3"/>
    <mergeCell ref="A4:A11"/>
    <mergeCell ref="B20:D20"/>
    <mergeCell ref="G3:I3"/>
    <mergeCell ref="F4:F11"/>
    <mergeCell ref="G20:I20"/>
  </mergeCells>
  <pageMargins left="0.7" right="0.7" top="0.75" bottom="0.75" header="0.3" footer="0.3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577B-247E-41A8-9090-9A841BE4E6A0}">
  <sheetPr>
    <pageSetUpPr fitToPage="1"/>
  </sheetPr>
  <dimension ref="A1:N65"/>
  <sheetViews>
    <sheetView topLeftCell="A11" workbookViewId="0">
      <selection activeCell="P14" sqref="P14"/>
    </sheetView>
  </sheetViews>
  <sheetFormatPr defaultRowHeight="15"/>
  <cols>
    <col min="1" max="1" width="3" bestFit="1" customWidth="1"/>
    <col min="2" max="2" width="4" bestFit="1" customWidth="1"/>
    <col min="3" max="3" width="31.28515625" bestFit="1" customWidth="1"/>
    <col min="4" max="4" width="4.5703125" bestFit="1" customWidth="1"/>
    <col min="6" max="6" width="3" bestFit="1" customWidth="1"/>
    <col min="7" max="7" width="4" bestFit="1" customWidth="1"/>
    <col min="8" max="8" width="29.42578125" bestFit="1" customWidth="1"/>
    <col min="9" max="9" width="4.5703125" bestFit="1" customWidth="1"/>
    <col min="11" max="11" width="3" bestFit="1" customWidth="1"/>
    <col min="12" max="12" width="4" bestFit="1" customWidth="1"/>
    <col min="13" max="13" width="23.7109375" bestFit="1" customWidth="1"/>
    <col min="14" max="14" width="4.5703125" bestFit="1" customWidth="1"/>
  </cols>
  <sheetData>
    <row r="1" spans="1:14" ht="61.5">
      <c r="A1" s="119"/>
      <c r="B1" s="111" t="s">
        <v>397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21.7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6" t="s">
        <v>86</v>
      </c>
      <c r="B3" s="117" t="s">
        <v>398</v>
      </c>
      <c r="C3" s="117"/>
      <c r="D3" s="117"/>
      <c r="E3" s="119"/>
      <c r="F3" s="119"/>
      <c r="G3" s="117" t="s">
        <v>398</v>
      </c>
      <c r="H3" s="117"/>
      <c r="I3" s="117"/>
      <c r="J3" s="119"/>
      <c r="K3" s="119"/>
      <c r="L3" s="117" t="s">
        <v>398</v>
      </c>
      <c r="M3" s="117"/>
      <c r="N3" s="117"/>
    </row>
    <row r="4" spans="1:14">
      <c r="A4" s="116"/>
      <c r="B4" s="120">
        <v>1</v>
      </c>
      <c r="C4" s="39" t="str">
        <f>'MERCREDI 14h Présence'!C7</f>
        <v>BARCELO Pablo</v>
      </c>
      <c r="D4" s="39" t="str">
        <f>'MERCREDI 14h Présence'!D7</f>
        <v>U6</v>
      </c>
      <c r="E4" s="119"/>
      <c r="F4" s="116" t="s">
        <v>105</v>
      </c>
      <c r="G4" s="120">
        <v>1</v>
      </c>
      <c r="H4" s="40" t="str">
        <f>'MERCREDI 14h Présence'!C27</f>
        <v>GLANDIER Carl</v>
      </c>
      <c r="I4" s="40" t="str">
        <f>'MERCREDI 14h Présence'!D27</f>
        <v>U8</v>
      </c>
      <c r="J4" s="119"/>
      <c r="K4" s="116" t="s">
        <v>157</v>
      </c>
      <c r="L4" s="120">
        <v>1</v>
      </c>
      <c r="M4" s="40" t="str">
        <f>'MERCREDI 14h Présence'!C47</f>
        <v>COUDERC Antoine</v>
      </c>
      <c r="N4" s="40" t="str">
        <f>'MERCREDI 14h Présence'!D47</f>
        <v>U9</v>
      </c>
    </row>
    <row r="5" spans="1:14">
      <c r="A5" s="116"/>
      <c r="B5" s="121">
        <v>2</v>
      </c>
      <c r="C5" s="39" t="str">
        <f>'MERCREDI 14h Présence'!C8</f>
        <v>MORIN NGUYEN Milo</v>
      </c>
      <c r="D5" s="39" t="str">
        <f>'MERCREDI 14h Présence'!D8</f>
        <v>U6</v>
      </c>
      <c r="E5" s="119"/>
      <c r="F5" s="116"/>
      <c r="G5" s="121">
        <v>2</v>
      </c>
      <c r="H5" s="40" t="str">
        <f>'MERCREDI 14h Présence'!C28</f>
        <v>MITCHELL Arthur</v>
      </c>
      <c r="I5" s="40" t="str">
        <f>'MERCREDI 14h Présence'!D28</f>
        <v>U8</v>
      </c>
      <c r="J5" s="119"/>
      <c r="K5" s="116"/>
      <c r="L5" s="121">
        <v>2</v>
      </c>
      <c r="M5" s="40" t="str">
        <f>'MERCREDI 14h Présence'!C48</f>
        <v>LEGRAND LHOPITAULT Louis</v>
      </c>
      <c r="N5" s="40" t="str">
        <f>'MERCREDI 14h Présence'!D48</f>
        <v>U8</v>
      </c>
    </row>
    <row r="6" spans="1:14">
      <c r="A6" s="116"/>
      <c r="B6" s="121">
        <v>3</v>
      </c>
      <c r="C6" s="39" t="str">
        <f>'MERCREDI 14h Présence'!C9</f>
        <v xml:space="preserve">GARCIA LOPEZ Carlos </v>
      </c>
      <c r="D6" s="39" t="str">
        <f>'MERCREDI 14h Présence'!D9</f>
        <v>U6</v>
      </c>
      <c r="E6" s="119"/>
      <c r="F6" s="116"/>
      <c r="G6" s="121">
        <v>3</v>
      </c>
      <c r="H6" s="40" t="str">
        <f>'MERCREDI 14h Présence'!C29</f>
        <v>SALAH Gauthier</v>
      </c>
      <c r="I6" s="40" t="str">
        <f>'MERCREDI 14h Présence'!D29</f>
        <v>U8</v>
      </c>
      <c r="J6" s="119"/>
      <c r="K6" s="116"/>
      <c r="L6" s="121">
        <v>3</v>
      </c>
      <c r="M6" s="40" t="str">
        <f>'MERCREDI 14h Présence'!C49</f>
        <v>DELEAU Axel</v>
      </c>
      <c r="N6" s="40" t="str">
        <f>'MERCREDI 14h Présence'!D49</f>
        <v>U8</v>
      </c>
    </row>
    <row r="7" spans="1:14">
      <c r="A7" s="116"/>
      <c r="B7" s="121">
        <v>4</v>
      </c>
      <c r="C7" s="39" t="str">
        <f>'MERCREDI 14h Présence'!C10</f>
        <v>ANDRE Salomon</v>
      </c>
      <c r="D7" s="39" t="str">
        <f>'MERCREDI 14h Présence'!D10</f>
        <v>U6</v>
      </c>
      <c r="E7" s="119"/>
      <c r="F7" s="116"/>
      <c r="G7" s="121">
        <v>4</v>
      </c>
      <c r="H7" s="40" t="str">
        <f>'MERCREDI 14h Présence'!C30</f>
        <v>COULIBALY Adam</v>
      </c>
      <c r="I7" s="40" t="str">
        <f>'MERCREDI 14h Présence'!D30</f>
        <v>U9</v>
      </c>
      <c r="J7" s="119"/>
      <c r="K7" s="116"/>
      <c r="L7" s="121">
        <v>4</v>
      </c>
      <c r="M7" s="40" t="str">
        <f>'MERCREDI 14h Présence'!C50</f>
        <v>ICARD Matéo</v>
      </c>
      <c r="N7" s="40" t="str">
        <f>'MERCREDI 14h Présence'!D50</f>
        <v>U8</v>
      </c>
    </row>
    <row r="8" spans="1:14">
      <c r="A8" s="116"/>
      <c r="B8" s="121">
        <v>5</v>
      </c>
      <c r="C8" s="39" t="str">
        <f>'MERCREDI 14h Présence'!C11</f>
        <v>RAMOS AMAT Paolo</v>
      </c>
      <c r="D8" s="39" t="str">
        <f>'MERCREDI 14h Présence'!D11</f>
        <v>U6</v>
      </c>
      <c r="E8" s="119"/>
      <c r="F8" s="116"/>
      <c r="G8" s="121">
        <v>5</v>
      </c>
      <c r="H8" s="40" t="str">
        <f>'MERCREDI 14h Présence'!C31</f>
        <v>MEKDACH Riyad</v>
      </c>
      <c r="I8" s="40" t="str">
        <f>'MERCREDI 14h Présence'!D31</f>
        <v>U9</v>
      </c>
      <c r="J8" s="119"/>
      <c r="K8" s="116"/>
      <c r="L8" s="121">
        <v>5</v>
      </c>
      <c r="M8" s="40" t="str">
        <f>'MERCREDI 14h Présence'!C51</f>
        <v>BOUYGUES Léopold</v>
      </c>
      <c r="N8" s="40" t="str">
        <f>'MERCREDI 14h Présence'!D51</f>
        <v>U8</v>
      </c>
    </row>
    <row r="9" spans="1:14">
      <c r="A9" s="116"/>
      <c r="B9" s="121">
        <v>6</v>
      </c>
      <c r="C9" s="39" t="str">
        <f>'MERCREDI 14h Présence'!C12</f>
        <v>BALLET Akeem</v>
      </c>
      <c r="D9" s="39" t="str">
        <f>'MERCREDI 14h Présence'!D12</f>
        <v>U6</v>
      </c>
      <c r="E9" s="119"/>
      <c r="F9" s="116"/>
      <c r="G9" s="121">
        <v>6</v>
      </c>
      <c r="H9" s="40" t="str">
        <f>'MERCREDI 14h Présence'!C32</f>
        <v>SI SALAH Mayas</v>
      </c>
      <c r="I9" s="40" t="str">
        <f>'MERCREDI 14h Présence'!D32</f>
        <v>U9</v>
      </c>
      <c r="J9" s="119"/>
      <c r="K9" s="116"/>
      <c r="L9" s="121">
        <v>6</v>
      </c>
      <c r="M9" s="40" t="str">
        <f>'MERCREDI 14h Présence'!C52</f>
        <v>CAZES Mathis</v>
      </c>
      <c r="N9" s="40" t="str">
        <f>'MERCREDI 14h Présence'!D52</f>
        <v>U8</v>
      </c>
    </row>
    <row r="10" spans="1:14">
      <c r="A10" s="116"/>
      <c r="B10" s="121">
        <v>7</v>
      </c>
      <c r="C10" s="39" t="str">
        <f>'MERCREDI 14h Présence'!C13</f>
        <v xml:space="preserve">AZUELOS Marceau </v>
      </c>
      <c r="D10" s="39" t="str">
        <f>'MERCREDI 14h Présence'!D13</f>
        <v>U7</v>
      </c>
      <c r="E10" s="119"/>
      <c r="F10" s="116"/>
      <c r="G10" s="121">
        <v>7</v>
      </c>
      <c r="H10" s="40" t="str">
        <f>'MERCREDI 14h Présence'!C33</f>
        <v>MAZOIN Matisse</v>
      </c>
      <c r="I10" s="40" t="str">
        <f>'MERCREDI 14h Présence'!D33</f>
        <v>U8</v>
      </c>
      <c r="J10" s="119"/>
      <c r="K10" s="116"/>
      <c r="L10" s="121">
        <v>7</v>
      </c>
      <c r="M10" s="40" t="str">
        <f>'MERCREDI 14h Présence'!C53</f>
        <v>PARRA-BRUGUIERE Victor</v>
      </c>
      <c r="N10" s="40" t="str">
        <f>'MERCREDI 14h Présence'!D53</f>
        <v>U8</v>
      </c>
    </row>
    <row r="11" spans="1:14">
      <c r="A11" s="116"/>
      <c r="B11" s="121">
        <v>8</v>
      </c>
      <c r="C11" s="39" t="str">
        <f>'MERCREDI 14h Présence'!C14</f>
        <v>SYED Adem</v>
      </c>
      <c r="D11" s="39" t="str">
        <f>'MERCREDI 14h Présence'!D14</f>
        <v>U7</v>
      </c>
      <c r="E11" s="119"/>
      <c r="F11" s="116"/>
      <c r="G11" s="121">
        <v>8</v>
      </c>
      <c r="H11" s="40" t="str">
        <f>'MERCREDI 14h Présence'!C34</f>
        <v>LABORIE Romain</v>
      </c>
      <c r="I11" s="40" t="str">
        <f>'MERCREDI 14h Présence'!D34</f>
        <v>U8</v>
      </c>
      <c r="J11" s="119"/>
      <c r="K11" s="116"/>
      <c r="L11" s="121">
        <v>8</v>
      </c>
      <c r="M11" s="40" t="str">
        <f>'MERCREDI 14h Présence'!C54</f>
        <v>ARBONA Raphaël</v>
      </c>
      <c r="N11" s="40" t="str">
        <f>'MERCREDI 14h Présence'!D54</f>
        <v>U9</v>
      </c>
    </row>
    <row r="12" spans="1:14">
      <c r="A12" s="116"/>
      <c r="B12" s="121">
        <v>9</v>
      </c>
      <c r="C12" s="39" t="str">
        <f>'MERCREDI 14h Présence'!C15</f>
        <v>CARFANTAN Gaspar</v>
      </c>
      <c r="D12" s="39" t="str">
        <f>'MERCREDI 14h Présence'!D15</f>
        <v>U7</v>
      </c>
      <c r="E12" s="119"/>
      <c r="F12" s="41"/>
      <c r="G12" s="121">
        <v>9</v>
      </c>
      <c r="H12" s="40" t="str">
        <f>'MERCREDI 14h Présence'!C35</f>
        <v>DESCUDE Ivan</v>
      </c>
      <c r="I12" s="40" t="str">
        <f>'MERCREDI 14h Présence'!D35</f>
        <v>U8</v>
      </c>
      <c r="J12" s="119"/>
      <c r="K12" s="41"/>
      <c r="L12" s="121">
        <v>9</v>
      </c>
      <c r="M12" s="40" t="str">
        <f>'MERCREDI 14h Présence'!C55</f>
        <v>MOREIRA Enzo</v>
      </c>
      <c r="N12" s="40" t="str">
        <f>'MERCREDI 14h Présence'!D55</f>
        <v>U9</v>
      </c>
    </row>
    <row r="13" spans="1:14">
      <c r="A13" s="116"/>
      <c r="B13" s="121">
        <v>10</v>
      </c>
      <c r="C13" s="39" t="str">
        <f>'MERCREDI 14h Présence'!C16</f>
        <v>CALOIN Chris</v>
      </c>
      <c r="D13" s="39" t="str">
        <f>'MERCREDI 14h Présence'!D16</f>
        <v>U7</v>
      </c>
      <c r="E13" s="119"/>
      <c r="F13" s="41"/>
      <c r="G13" s="121">
        <v>10</v>
      </c>
      <c r="H13" s="40" t="str">
        <f>'MERCREDI 14h Présence'!C36</f>
        <v>SCHMITT Baptiste</v>
      </c>
      <c r="I13" s="40" t="str">
        <f>'MERCREDI 14h Présence'!D36</f>
        <v>U8</v>
      </c>
      <c r="J13" s="119"/>
      <c r="K13" s="41"/>
      <c r="L13" s="121">
        <v>10</v>
      </c>
      <c r="M13" s="40" t="str">
        <f>'MERCREDI 14h Présence'!C56</f>
        <v>MICHELLAND Marlon</v>
      </c>
      <c r="N13" s="40" t="str">
        <f>'MERCREDI 14h Présence'!D56</f>
        <v>U9</v>
      </c>
    </row>
    <row r="14" spans="1:14">
      <c r="A14" s="116"/>
      <c r="B14" s="121">
        <v>11</v>
      </c>
      <c r="C14" s="39" t="str">
        <f>'MERCREDI 14h Présence'!C17</f>
        <v>SABOUR Kamil</v>
      </c>
      <c r="D14" s="39" t="str">
        <f>'MERCREDI 14h Présence'!D17</f>
        <v>U6</v>
      </c>
      <c r="E14" s="119"/>
      <c r="F14" s="41"/>
      <c r="G14" s="121">
        <v>11</v>
      </c>
      <c r="H14" s="40" t="str">
        <f>'MERCREDI 14h Présence'!C37</f>
        <v>COUTE Nolan</v>
      </c>
      <c r="I14" s="40" t="str">
        <f>'MERCREDI 14h Présence'!D37</f>
        <v>U9</v>
      </c>
      <c r="J14" s="119"/>
      <c r="K14" s="41"/>
      <c r="L14" s="121">
        <v>11</v>
      </c>
      <c r="M14" s="40" t="str">
        <f>'MERCREDI 14h Présence'!C57</f>
        <v>LASPALLES Paul</v>
      </c>
      <c r="N14" s="40" t="str">
        <f>'MERCREDI 14h Présence'!D57</f>
        <v>U9</v>
      </c>
    </row>
    <row r="15" spans="1:14">
      <c r="A15" s="116"/>
      <c r="B15" s="121">
        <v>12</v>
      </c>
      <c r="C15" s="39"/>
      <c r="D15" s="39"/>
      <c r="E15" s="119"/>
      <c r="F15" s="41"/>
      <c r="G15" s="121">
        <v>12</v>
      </c>
      <c r="H15" s="40" t="str">
        <f>'MERCREDI 14h Présence'!C38</f>
        <v>DIALLO Adam</v>
      </c>
      <c r="I15" s="40" t="str">
        <f>'MERCREDI 14h Présence'!D38</f>
        <v>U7</v>
      </c>
      <c r="J15" s="119"/>
      <c r="K15" s="41"/>
      <c r="L15" s="121">
        <v>12</v>
      </c>
      <c r="M15" s="40"/>
      <c r="N15" s="40"/>
    </row>
    <row r="16" spans="1:14">
      <c r="A16" s="116"/>
      <c r="B16" s="121">
        <v>13</v>
      </c>
      <c r="C16" s="39"/>
      <c r="D16" s="39"/>
      <c r="E16" s="119"/>
      <c r="F16" s="41"/>
      <c r="G16" s="121">
        <v>13</v>
      </c>
      <c r="H16" s="40"/>
      <c r="I16" s="40"/>
      <c r="J16" s="119"/>
      <c r="K16" s="41"/>
      <c r="L16" s="121">
        <v>13</v>
      </c>
      <c r="M16" s="40"/>
      <c r="N16" s="40"/>
    </row>
    <row r="17" spans="1:14">
      <c r="A17" s="116"/>
      <c r="B17" s="121">
        <v>14</v>
      </c>
      <c r="C17" s="39"/>
      <c r="D17" s="39"/>
      <c r="E17" s="119"/>
      <c r="F17" s="41"/>
      <c r="G17" s="121">
        <v>14</v>
      </c>
      <c r="H17" s="40"/>
      <c r="I17" s="40"/>
      <c r="J17" s="119"/>
      <c r="K17" s="41"/>
      <c r="L17" s="121">
        <v>14</v>
      </c>
      <c r="M17" s="40"/>
      <c r="N17" s="40"/>
    </row>
    <row r="18" spans="1:14">
      <c r="A18" s="116"/>
      <c r="B18" s="121">
        <v>15</v>
      </c>
      <c r="C18" s="39"/>
      <c r="D18" s="39"/>
      <c r="E18" s="119"/>
      <c r="F18" s="41"/>
      <c r="G18" s="121">
        <v>15</v>
      </c>
      <c r="H18" s="40"/>
      <c r="I18" s="40"/>
      <c r="J18" s="119"/>
      <c r="K18" s="41"/>
      <c r="L18" s="121">
        <v>15</v>
      </c>
      <c r="M18" s="40"/>
      <c r="N18" s="40"/>
    </row>
    <row r="19" spans="1:14">
      <c r="A19" s="116"/>
      <c r="B19" s="122">
        <v>16</v>
      </c>
      <c r="C19" s="39"/>
      <c r="D19" s="39"/>
      <c r="E19" s="119"/>
      <c r="F19" s="41"/>
      <c r="G19" s="122">
        <v>16</v>
      </c>
      <c r="H19" s="40"/>
      <c r="I19" s="40"/>
      <c r="J19" s="119"/>
      <c r="K19" s="41"/>
      <c r="L19" s="122">
        <v>16</v>
      </c>
      <c r="M19" s="40"/>
      <c r="N19" s="40"/>
    </row>
    <row r="20" spans="1:14" ht="18.75">
      <c r="A20" s="38"/>
      <c r="B20" s="118" t="s">
        <v>399</v>
      </c>
      <c r="C20" s="118"/>
      <c r="D20" s="118"/>
      <c r="E20" s="119"/>
      <c r="F20" s="41"/>
      <c r="G20" s="118" t="s">
        <v>396</v>
      </c>
      <c r="H20" s="118"/>
      <c r="I20" s="118"/>
      <c r="J20" s="119"/>
      <c r="K20" s="41"/>
      <c r="L20" s="118" t="s">
        <v>400</v>
      </c>
      <c r="M20" s="118"/>
      <c r="N20" s="118"/>
    </row>
    <row r="21" spans="1:14" ht="18.75">
      <c r="A21" s="38"/>
      <c r="B21" s="43"/>
      <c r="C21" s="119"/>
      <c r="D21" s="44"/>
      <c r="E21" s="119"/>
      <c r="F21" s="119"/>
      <c r="G21" s="119"/>
      <c r="H21" s="119"/>
      <c r="I21" s="119"/>
      <c r="J21" s="119"/>
      <c r="K21" s="119"/>
      <c r="L21" s="119"/>
      <c r="M21" s="119"/>
      <c r="N21" s="119"/>
    </row>
    <row r="22" spans="1:14">
      <c r="A22" s="119"/>
      <c r="B22" s="117" t="s">
        <v>401</v>
      </c>
      <c r="C22" s="117"/>
      <c r="D22" s="117"/>
      <c r="E22" s="119"/>
      <c r="F22" s="119"/>
      <c r="G22" s="117" t="s">
        <v>401</v>
      </c>
      <c r="H22" s="117"/>
      <c r="I22" s="117"/>
      <c r="J22" s="119"/>
      <c r="K22" s="119"/>
      <c r="L22" s="117" t="s">
        <v>401</v>
      </c>
      <c r="M22" s="117"/>
      <c r="N22" s="117"/>
    </row>
    <row r="23" spans="1:14" ht="15" customHeight="1">
      <c r="A23" s="116" t="s">
        <v>86</v>
      </c>
      <c r="B23" s="120">
        <v>1</v>
      </c>
      <c r="C23" s="45" t="str">
        <f>'MERCREDI 15h45 Présence '!C7</f>
        <v>ABOU LEYLA Youssef</v>
      </c>
      <c r="D23" s="45" t="str">
        <f>'MERCREDI 15h45 Présence '!D7</f>
        <v>U10</v>
      </c>
      <c r="E23" s="41"/>
      <c r="F23" s="116" t="s">
        <v>105</v>
      </c>
      <c r="G23" s="120">
        <v>1</v>
      </c>
      <c r="H23" s="36" t="str">
        <f>'MERCREDI 15h45 Présence '!C27</f>
        <v>MOREIRA Liam</v>
      </c>
      <c r="I23" s="36" t="str">
        <f>'MERCREDI 15h45 Présence '!D27</f>
        <v>U11</v>
      </c>
      <c r="J23" s="119"/>
      <c r="K23" s="116" t="s">
        <v>157</v>
      </c>
      <c r="L23" s="120">
        <v>1</v>
      </c>
      <c r="M23" s="26" t="str">
        <f>'MERCREDI 15h45 Présence '!C47</f>
        <v>DORNEVAL Sami, Keyann</v>
      </c>
      <c r="N23" s="26" t="str">
        <f>'MERCREDI 15h45 Présence '!D47</f>
        <v>U13</v>
      </c>
    </row>
    <row r="24" spans="1:14">
      <c r="A24" s="116"/>
      <c r="B24" s="121">
        <v>2</v>
      </c>
      <c r="C24" s="45" t="str">
        <f>'MERCREDI 15h45 Présence '!C8</f>
        <v>LEGRAND LHOPITAULT Gabriel</v>
      </c>
      <c r="D24" s="45" t="str">
        <f>'MERCREDI 15h45 Présence '!D8</f>
        <v>U10</v>
      </c>
      <c r="E24" s="41"/>
      <c r="F24" s="116"/>
      <c r="G24" s="121">
        <v>2</v>
      </c>
      <c r="H24" s="36" t="str">
        <f>'MERCREDI 15h45 Présence '!C28</f>
        <v>DEVOS Adam</v>
      </c>
      <c r="I24" s="36" t="str">
        <f>'MERCREDI 15h45 Présence '!D28</f>
        <v>U11</v>
      </c>
      <c r="J24" s="119"/>
      <c r="K24" s="116"/>
      <c r="L24" s="121">
        <v>2</v>
      </c>
      <c r="M24" s="26" t="str">
        <f>'MERCREDI 15h45 Présence '!C48</f>
        <v>BOUVIER Victor</v>
      </c>
      <c r="N24" s="26" t="str">
        <f>'MERCREDI 15h45 Présence '!D48</f>
        <v>U13</v>
      </c>
    </row>
    <row r="25" spans="1:14">
      <c r="A25" s="116"/>
      <c r="B25" s="121">
        <v>3</v>
      </c>
      <c r="C25" s="45" t="str">
        <f>'MERCREDI 15h45 Présence '!C9</f>
        <v>NGUEMA MEDANG Seth</v>
      </c>
      <c r="D25" s="45" t="str">
        <f>'MERCREDI 15h45 Présence '!D9</f>
        <v>U10</v>
      </c>
      <c r="E25" s="41"/>
      <c r="F25" s="116"/>
      <c r="G25" s="121">
        <v>3</v>
      </c>
      <c r="H25" s="36" t="str">
        <f>'MERCREDI 15h45 Présence '!C29</f>
        <v>MOLINA NEGRE Ruben</v>
      </c>
      <c r="I25" s="36" t="str">
        <f>'MERCREDI 15h45 Présence '!D29</f>
        <v>U11</v>
      </c>
      <c r="J25" s="119"/>
      <c r="K25" s="116"/>
      <c r="L25" s="121">
        <v>3</v>
      </c>
      <c r="M25" s="26" t="str">
        <f>'MERCREDI 15h45 Présence '!C49</f>
        <v>THILLARD Jack</v>
      </c>
      <c r="N25" s="26" t="str">
        <f>'MERCREDI 15h45 Présence '!D49</f>
        <v>U13</v>
      </c>
    </row>
    <row r="26" spans="1:14">
      <c r="A26" s="116"/>
      <c r="B26" s="121">
        <v>4</v>
      </c>
      <c r="C26" s="45" t="str">
        <f>'MERCREDI 15h45 Présence '!C10</f>
        <v>MEDALE Joaquim</v>
      </c>
      <c r="D26" s="45" t="str">
        <f>'MERCREDI 15h45 Présence '!D10</f>
        <v>U10</v>
      </c>
      <c r="E26" s="41"/>
      <c r="F26" s="116"/>
      <c r="G26" s="121">
        <v>4</v>
      </c>
      <c r="H26" s="36" t="str">
        <f>'MERCREDI 15h45 Présence '!C30</f>
        <v>MOUMEN Maher</v>
      </c>
      <c r="I26" s="36" t="str">
        <f>'MERCREDI 15h45 Présence '!D30</f>
        <v>U11</v>
      </c>
      <c r="J26" s="119"/>
      <c r="K26" s="116"/>
      <c r="L26" s="121">
        <v>4</v>
      </c>
      <c r="M26" s="26" t="str">
        <f>'MERCREDI 15h45 Présence '!C50</f>
        <v>CHAFIQ Yacine</v>
      </c>
      <c r="N26" s="26" t="str">
        <f>'MERCREDI 15h45 Présence '!D50</f>
        <v>U13</v>
      </c>
    </row>
    <row r="27" spans="1:14">
      <c r="A27" s="116"/>
      <c r="B27" s="121">
        <v>5</v>
      </c>
      <c r="C27" s="45" t="str">
        <f>'MERCREDI 15h45 Présence '!C11</f>
        <v>BESNARD Noah</v>
      </c>
      <c r="D27" s="45" t="str">
        <f>'MERCREDI 15h45 Présence '!D11</f>
        <v>U10</v>
      </c>
      <c r="E27" s="41"/>
      <c r="F27" s="116"/>
      <c r="G27" s="121">
        <v>5</v>
      </c>
      <c r="H27" s="36" t="str">
        <f>'MERCREDI 15h45 Présence '!C31</f>
        <v>MOUMEN Wael</v>
      </c>
      <c r="I27" s="36" t="str">
        <f>'MERCREDI 15h45 Présence '!D31</f>
        <v>U11</v>
      </c>
      <c r="J27" s="119"/>
      <c r="K27" s="116"/>
      <c r="L27" s="121">
        <v>5</v>
      </c>
      <c r="M27" s="26" t="str">
        <f>'MERCREDI 15h45 Présence '!C51</f>
        <v>AMER Wael</v>
      </c>
      <c r="N27" s="26" t="str">
        <f>'MERCREDI 15h45 Présence '!D51</f>
        <v>U13</v>
      </c>
    </row>
    <row r="28" spans="1:14">
      <c r="A28" s="116"/>
      <c r="B28" s="121">
        <v>6</v>
      </c>
      <c r="C28" s="45" t="str">
        <f>'MERCREDI 15h45 Présence '!C12</f>
        <v>DESPOISSE Louis</v>
      </c>
      <c r="D28" s="45" t="str">
        <f>'MERCREDI 15h45 Présence '!D12</f>
        <v>U10</v>
      </c>
      <c r="E28" s="41"/>
      <c r="F28" s="116"/>
      <c r="G28" s="121">
        <v>6</v>
      </c>
      <c r="H28" s="36" t="str">
        <f>'MERCREDI 15h45 Présence '!C32</f>
        <v>BEAUMONT Elie</v>
      </c>
      <c r="I28" s="36" t="str">
        <f>'MERCREDI 15h45 Présence '!D32</f>
        <v>U11</v>
      </c>
      <c r="J28" s="119"/>
      <c r="K28" s="116"/>
      <c r="L28" s="121">
        <v>6</v>
      </c>
      <c r="M28" s="26" t="str">
        <f>'MERCREDI 15h45 Présence '!C52</f>
        <v>MARCOU Esteban</v>
      </c>
      <c r="N28" s="26" t="str">
        <f>'MERCREDI 15h45 Présence '!D52</f>
        <v>U14</v>
      </c>
    </row>
    <row r="29" spans="1:14">
      <c r="A29" s="116"/>
      <c r="B29" s="121">
        <v>7</v>
      </c>
      <c r="C29" s="45" t="str">
        <f>'MERCREDI 15h45 Présence '!C13</f>
        <v>SACADURA DOS SANTOS Thomas</v>
      </c>
      <c r="D29" s="45" t="str">
        <f>'MERCREDI 15h45 Présence '!D13</f>
        <v>U10</v>
      </c>
      <c r="E29" s="41"/>
      <c r="F29" s="116"/>
      <c r="G29" s="121">
        <v>7</v>
      </c>
      <c r="H29" s="36" t="str">
        <f>'MERCREDI 15h45 Présence '!C33</f>
        <v>GOMIS Noam</v>
      </c>
      <c r="I29" s="36" t="str">
        <f>'MERCREDI 15h45 Présence '!D33</f>
        <v>U11</v>
      </c>
      <c r="J29" s="119"/>
      <c r="K29" s="116"/>
      <c r="L29" s="121">
        <v>7</v>
      </c>
      <c r="M29" s="26" t="str">
        <f>'MERCREDI 15h45 Présence '!C53</f>
        <v>PEREZ Sacha</v>
      </c>
      <c r="N29" s="26" t="str">
        <f>'MERCREDI 15h45 Présence '!D53</f>
        <v>U14</v>
      </c>
    </row>
    <row r="30" spans="1:14">
      <c r="A30" s="116"/>
      <c r="B30" s="121">
        <v>8</v>
      </c>
      <c r="C30" s="45" t="str">
        <f>'MERCREDI 15h45 Présence '!C14</f>
        <v>KARIMI Jad-Liam</v>
      </c>
      <c r="D30" s="45" t="str">
        <f>'MERCREDI 15h45 Présence '!D14</f>
        <v>U10</v>
      </c>
      <c r="E30" s="41"/>
      <c r="F30" s="116"/>
      <c r="G30" s="121">
        <v>8</v>
      </c>
      <c r="H30" s="36" t="str">
        <f>'MERCREDI 15h45 Présence '!C34</f>
        <v>BAMBA Karim Christ Emmanuel</v>
      </c>
      <c r="I30" s="36" t="str">
        <f>'MERCREDI 15h45 Présence '!D34</f>
        <v>U12</v>
      </c>
      <c r="J30" s="119"/>
      <c r="K30" s="116"/>
      <c r="L30" s="121">
        <v>8</v>
      </c>
      <c r="M30" s="26" t="str">
        <f>'MERCREDI 15h45 Présence '!C54</f>
        <v>PEMBA MBOULET Omaël</v>
      </c>
      <c r="N30" s="26" t="str">
        <f>'MERCREDI 15h45 Présence '!D54</f>
        <v>U14</v>
      </c>
    </row>
    <row r="31" spans="1:14">
      <c r="A31" s="38"/>
      <c r="B31" s="121">
        <v>9</v>
      </c>
      <c r="C31" s="45" t="str">
        <f>'MERCREDI 15h45 Présence '!C15</f>
        <v>DELGADO Emiliano</v>
      </c>
      <c r="D31" s="45" t="str">
        <f>'MERCREDI 15h45 Présence '!D15</f>
        <v>U10</v>
      </c>
      <c r="E31" s="41"/>
      <c r="F31" s="41"/>
      <c r="G31" s="121">
        <v>9</v>
      </c>
      <c r="H31" s="36" t="str">
        <f>'MERCREDI 15h45 Présence '!C35</f>
        <v>ARBONA Florian</v>
      </c>
      <c r="I31" s="36" t="str">
        <f>'MERCREDI 15h45 Présence '!D35</f>
        <v>U12</v>
      </c>
      <c r="J31" s="119"/>
      <c r="K31" s="41"/>
      <c r="L31" s="121">
        <v>9</v>
      </c>
      <c r="M31" s="26" t="str">
        <f>'MERCREDI 15h45 Présence '!C55</f>
        <v>NOTTOLI Oscar</v>
      </c>
      <c r="N31" s="26" t="str">
        <f>'MERCREDI 15h45 Présence '!D55</f>
        <v>U15</v>
      </c>
    </row>
    <row r="32" spans="1:14">
      <c r="A32" s="38"/>
      <c r="B32" s="121">
        <v>10</v>
      </c>
      <c r="C32" s="45" t="str">
        <f>'MERCREDI 15h45 Présence '!C16</f>
        <v>MANNA Gabriel</v>
      </c>
      <c r="D32" s="45" t="str">
        <f>'MERCREDI 15h45 Présence '!D16</f>
        <v>U10</v>
      </c>
      <c r="E32" s="41"/>
      <c r="F32" s="41"/>
      <c r="G32" s="121">
        <v>10</v>
      </c>
      <c r="H32" s="36" t="str">
        <f>'MERCREDI 15h45 Présence '!C36</f>
        <v>MAGOSSOU Melphy Antoine</v>
      </c>
      <c r="I32" s="36" t="str">
        <f>'MERCREDI 15h45 Présence '!D36</f>
        <v>U12</v>
      </c>
      <c r="J32" s="119"/>
      <c r="K32" s="41"/>
      <c r="L32" s="121">
        <v>10</v>
      </c>
      <c r="M32" s="26" t="str">
        <f>'MERCREDI 15h45 Présence '!C56</f>
        <v>LATHIERE Raphaël</v>
      </c>
      <c r="N32" s="26" t="str">
        <f>'MERCREDI 15h45 Présence '!D56</f>
        <v>U15</v>
      </c>
    </row>
    <row r="33" spans="1:14">
      <c r="A33" s="38"/>
      <c r="B33" s="121">
        <v>11</v>
      </c>
      <c r="C33" s="45" t="str">
        <f>'MERCREDI 15h45 Présence '!C17</f>
        <v>FARSI Amir</v>
      </c>
      <c r="D33" s="45" t="str">
        <f>'MERCREDI 15h45 Présence '!D17</f>
        <v>U10</v>
      </c>
      <c r="E33" s="41"/>
      <c r="F33" s="41"/>
      <c r="G33" s="121">
        <v>11</v>
      </c>
      <c r="H33" s="36" t="str">
        <f>'MERCREDI 15h45 Présence '!C37</f>
        <v>ABOU LEYA Adam</v>
      </c>
      <c r="I33" s="36" t="str">
        <f>'MERCREDI 15h45 Présence '!D37</f>
        <v>U12</v>
      </c>
      <c r="J33" s="119"/>
      <c r="K33" s="41"/>
      <c r="L33" s="121">
        <v>11</v>
      </c>
      <c r="M33" s="26" t="str">
        <f>'MERCREDI 15h45 Présence '!C57</f>
        <v>BANMASSOUD Yanis</v>
      </c>
      <c r="N33" s="26" t="str">
        <f>'MERCREDI 15h45 Présence '!D57</f>
        <v>U15</v>
      </c>
    </row>
    <row r="34" spans="1:14">
      <c r="A34" s="38"/>
      <c r="B34" s="121">
        <v>12</v>
      </c>
      <c r="C34" s="45" t="str">
        <f>'MERCREDI 15h45 Présence '!C18</f>
        <v>AMRI Souleymane</v>
      </c>
      <c r="D34" s="45" t="str">
        <f>'MERCREDI 15h45 Présence '!D18</f>
        <v>U10</v>
      </c>
      <c r="E34" s="41"/>
      <c r="F34" s="41"/>
      <c r="G34" s="121">
        <v>12</v>
      </c>
      <c r="H34" s="36" t="str">
        <f>'MERCREDI 15h45 Présence '!C38</f>
        <v>MARTIN CHOPINAUD Louis</v>
      </c>
      <c r="I34" s="36" t="str">
        <f>'MERCREDI 15h45 Présence '!D38</f>
        <v>U12</v>
      </c>
      <c r="J34" s="119"/>
      <c r="K34" s="41"/>
      <c r="L34" s="121">
        <v>12</v>
      </c>
      <c r="M34" s="26" t="str">
        <f>'MERCREDI 15h45 Présence '!C58</f>
        <v>MAYOUCHE Maël</v>
      </c>
      <c r="N34" s="26" t="str">
        <f>'MERCREDI 15h45 Présence '!D58</f>
        <v>U16</v>
      </c>
    </row>
    <row r="35" spans="1:14">
      <c r="A35" s="38"/>
      <c r="B35" s="121">
        <v>13</v>
      </c>
      <c r="C35" s="45" t="str">
        <f>'MERCREDI 15h45 Présence '!C19</f>
        <v xml:space="preserve">MAHAMOUD IBRAHIM Zaïn </v>
      </c>
      <c r="D35" s="45" t="str">
        <f>'MERCREDI 15h45 Présence '!D19</f>
        <v>U10</v>
      </c>
      <c r="E35" s="41"/>
      <c r="F35" s="41"/>
      <c r="G35" s="121">
        <v>13</v>
      </c>
      <c r="H35" s="36" t="str">
        <f>'MERCREDI 15h45 Présence '!C39</f>
        <v>MOREIRA Lucas</v>
      </c>
      <c r="I35" s="36" t="str">
        <f>'MERCREDI 15h45 Présence '!D39</f>
        <v>U12</v>
      </c>
      <c r="J35" s="119"/>
      <c r="K35" s="41"/>
      <c r="L35" s="121">
        <v>13</v>
      </c>
      <c r="M35" s="26" t="str">
        <f>'MERCREDI 15h45 Présence '!C59</f>
        <v>ROCHE Maël</v>
      </c>
      <c r="N35" s="26" t="str">
        <f>'MERCREDI 15h45 Présence '!D59</f>
        <v>U14</v>
      </c>
    </row>
    <row r="36" spans="1:14">
      <c r="A36" s="38"/>
      <c r="B36" s="121">
        <v>14</v>
      </c>
      <c r="C36" s="45" t="str">
        <f>'MERCREDI 15h45 Présence '!C20</f>
        <v>NICOLLE Noah</v>
      </c>
      <c r="D36" s="45" t="str">
        <f>'MERCREDI 15h45 Présence '!D20</f>
        <v>U10</v>
      </c>
      <c r="E36" s="41"/>
      <c r="F36" s="41"/>
      <c r="G36" s="121">
        <v>14</v>
      </c>
      <c r="H36" s="36" t="str">
        <f>'MERCREDI 15h45 Présence '!C40</f>
        <v>GUERRERO Nino</v>
      </c>
      <c r="I36" s="36" t="str">
        <f>'MERCREDI 15h45 Présence '!D40</f>
        <v>U12</v>
      </c>
      <c r="J36" s="119"/>
      <c r="K36" s="41"/>
      <c r="L36" s="121">
        <v>14</v>
      </c>
      <c r="M36" s="26"/>
      <c r="N36" s="26"/>
    </row>
    <row r="37" spans="1:14">
      <c r="A37" s="38"/>
      <c r="B37" s="121">
        <v>15</v>
      </c>
      <c r="C37" s="45" t="str">
        <f>'MERCREDI 15h45 Présence '!C21</f>
        <v>AMER Ayman</v>
      </c>
      <c r="D37" s="45" t="str">
        <f>'MERCREDI 15h45 Présence '!D21</f>
        <v>U10</v>
      </c>
      <c r="E37" s="41"/>
      <c r="F37" s="41"/>
      <c r="G37" s="121">
        <v>15</v>
      </c>
      <c r="H37" s="36" t="str">
        <f>'MERCREDI 15h45 Présence '!C41</f>
        <v>GONCALVES Gabin</v>
      </c>
      <c r="I37" s="36" t="str">
        <f>'MERCREDI 15h45 Présence '!D41</f>
        <v>U12</v>
      </c>
      <c r="J37" s="119"/>
      <c r="K37" s="41"/>
      <c r="L37" s="121">
        <v>15</v>
      </c>
      <c r="M37" s="26"/>
      <c r="N37" s="26"/>
    </row>
    <row r="38" spans="1:14">
      <c r="A38" s="38"/>
      <c r="B38" s="122">
        <v>16</v>
      </c>
      <c r="C38" s="45" t="str">
        <f>'MERCREDI 15h45 Présence '!C22</f>
        <v>AZIZA Sam</v>
      </c>
      <c r="D38" s="45" t="str">
        <f>'MERCREDI 15h45 Présence '!D22</f>
        <v>U11</v>
      </c>
      <c r="E38" s="41"/>
      <c r="F38" s="41"/>
      <c r="G38" s="122">
        <v>16</v>
      </c>
      <c r="H38" s="36" t="str">
        <f>'MERCREDI 15h45 Présence '!C42</f>
        <v>GARBAA Ilyas</v>
      </c>
      <c r="I38" s="36" t="str">
        <f>'MERCREDI 15h45 Présence '!D42</f>
        <v>U12</v>
      </c>
      <c r="J38" s="119"/>
      <c r="K38" s="41"/>
      <c r="L38" s="122">
        <v>16</v>
      </c>
      <c r="M38" s="26"/>
      <c r="N38" s="26"/>
    </row>
    <row r="39" spans="1:14" ht="18.75">
      <c r="A39" s="38"/>
      <c r="B39" s="118" t="s">
        <v>399</v>
      </c>
      <c r="C39" s="118"/>
      <c r="D39" s="118"/>
      <c r="E39" s="41"/>
      <c r="F39" s="41"/>
      <c r="G39" s="118" t="s">
        <v>396</v>
      </c>
      <c r="H39" s="118"/>
      <c r="I39" s="118"/>
      <c r="J39" s="119"/>
      <c r="K39" s="41"/>
      <c r="L39" s="118" t="s">
        <v>402</v>
      </c>
      <c r="M39" s="118"/>
      <c r="N39" s="118"/>
    </row>
    <row r="40" spans="1:14">
      <c r="A40" s="41"/>
      <c r="B40" s="38"/>
      <c r="C40" s="119"/>
      <c r="D40" s="119"/>
      <c r="E40" s="41"/>
      <c r="F40" s="41"/>
      <c r="G40" s="41"/>
      <c r="H40" s="41"/>
      <c r="I40" s="41"/>
      <c r="J40" s="41"/>
      <c r="K40" s="41"/>
      <c r="L40" s="41"/>
      <c r="M40" s="41"/>
      <c r="N40" s="119"/>
    </row>
    <row r="41" spans="1:14">
      <c r="A41" s="41"/>
      <c r="B41" s="117" t="s">
        <v>403</v>
      </c>
      <c r="C41" s="117"/>
      <c r="D41" s="117"/>
      <c r="E41" s="41"/>
      <c r="F41" s="119"/>
      <c r="G41" s="117" t="s">
        <v>404</v>
      </c>
      <c r="H41" s="117"/>
      <c r="I41" s="117"/>
      <c r="J41" s="119"/>
      <c r="K41" s="119"/>
      <c r="L41" s="119"/>
      <c r="M41" s="119"/>
      <c r="N41" s="119"/>
    </row>
    <row r="42" spans="1:14" ht="15" customHeight="1">
      <c r="A42" s="119"/>
      <c r="B42" s="120">
        <v>1</v>
      </c>
      <c r="C42" s="42" t="str">
        <f>'BABY Présence'!C7</f>
        <v>AMARA Aylan</v>
      </c>
      <c r="D42" s="42" t="str">
        <f>'BABY Présence'!D7</f>
        <v>U5</v>
      </c>
      <c r="E42" s="41"/>
      <c r="F42" s="119"/>
      <c r="G42" s="120">
        <v>1</v>
      </c>
      <c r="H42" s="42" t="str">
        <f>'BABY Présence'!C20</f>
        <v>PILLAS Matéo</v>
      </c>
      <c r="I42" s="42" t="str">
        <f>'BABY Présence'!D20</f>
        <v>U5</v>
      </c>
      <c r="J42" s="119"/>
      <c r="K42" s="119"/>
      <c r="L42" s="119"/>
      <c r="M42" s="119"/>
      <c r="N42" s="119"/>
    </row>
    <row r="43" spans="1:14" ht="15" customHeight="1">
      <c r="A43" s="119"/>
      <c r="B43" s="121">
        <v>2</v>
      </c>
      <c r="C43" s="42" t="str">
        <f>'BABY Présence'!C8</f>
        <v>MANGA Farell</v>
      </c>
      <c r="D43" s="42" t="str">
        <f>'BABY Présence'!D8</f>
        <v>U5</v>
      </c>
      <c r="E43" s="41"/>
      <c r="F43" s="119"/>
      <c r="G43" s="121">
        <v>2</v>
      </c>
      <c r="H43" s="42" t="str">
        <f>'BABY Présence'!C21</f>
        <v>BARGACH Adam</v>
      </c>
      <c r="I43" s="42" t="str">
        <f>'BABY Présence'!D21</f>
        <v>U5</v>
      </c>
      <c r="J43" s="119"/>
      <c r="K43" s="119"/>
      <c r="L43" s="119"/>
      <c r="M43" s="119"/>
      <c r="N43" s="119"/>
    </row>
    <row r="44" spans="1:14">
      <c r="A44" s="119"/>
      <c r="B44" s="121">
        <v>3</v>
      </c>
      <c r="C44" s="42" t="str">
        <f>'BABY Présence'!C9</f>
        <v>DIABY Ibrahima</v>
      </c>
      <c r="D44" s="42" t="str">
        <f>'BABY Présence'!D9</f>
        <v>U5</v>
      </c>
      <c r="E44" s="41"/>
      <c r="F44" s="119"/>
      <c r="G44" s="121">
        <v>3</v>
      </c>
      <c r="H44" s="42" t="str">
        <f>'BABY Présence'!C22</f>
        <v>ALMEIDA SOAVE Elikiah</v>
      </c>
      <c r="I44" s="42" t="str">
        <f>'BABY Présence'!D22</f>
        <v>U5</v>
      </c>
      <c r="J44" s="119"/>
      <c r="K44" s="119"/>
      <c r="L44" s="119"/>
      <c r="M44" s="119"/>
      <c r="N44" s="119"/>
    </row>
    <row r="45" spans="1:14">
      <c r="A45" s="119"/>
      <c r="B45" s="121">
        <v>4</v>
      </c>
      <c r="C45" s="42" t="str">
        <f>'BABY Présence'!C10</f>
        <v>SONGABIMA NDOMBASI Braxton</v>
      </c>
      <c r="D45" s="42" t="str">
        <f>'BABY Présence'!D10</f>
        <v>U5</v>
      </c>
      <c r="E45" s="41"/>
      <c r="F45" s="119"/>
      <c r="G45" s="121">
        <v>4</v>
      </c>
      <c r="H45" s="42" t="str">
        <f>'BABY Présence'!C23</f>
        <v>MARTIN TROYES Nathan</v>
      </c>
      <c r="I45" s="42" t="str">
        <f>'BABY Présence'!D23</f>
        <v>U5</v>
      </c>
      <c r="J45" s="119"/>
      <c r="K45" s="119"/>
      <c r="L45" s="119"/>
      <c r="M45" s="119"/>
      <c r="N45" s="119"/>
    </row>
    <row r="46" spans="1:14">
      <c r="A46" s="119"/>
      <c r="B46" s="121">
        <v>5</v>
      </c>
      <c r="C46" s="42" t="str">
        <f>'BABY Présence'!C11</f>
        <v>RAHMAOUI Ilyan</v>
      </c>
      <c r="D46" s="42" t="str">
        <f>'BABY Présence'!D11</f>
        <v>U5</v>
      </c>
      <c r="E46" s="41"/>
      <c r="F46" s="119"/>
      <c r="G46" s="121">
        <v>5</v>
      </c>
      <c r="H46" s="42" t="str">
        <f>'BABY Présence'!C24</f>
        <v>SIMON Taïryk</v>
      </c>
      <c r="I46" s="42" t="str">
        <f>'BABY Présence'!D24</f>
        <v>U5</v>
      </c>
      <c r="J46" s="119"/>
      <c r="K46" s="119"/>
      <c r="L46" s="119"/>
      <c r="M46" s="119"/>
      <c r="N46" s="119"/>
    </row>
    <row r="47" spans="1:14">
      <c r="A47" s="119"/>
      <c r="B47" s="121">
        <v>6</v>
      </c>
      <c r="C47" s="42" t="str">
        <f>'BABY Présence'!C12</f>
        <v>BENNABI Issam</v>
      </c>
      <c r="D47" s="42" t="str">
        <f>'BABY Présence'!D12</f>
        <v>U5</v>
      </c>
      <c r="E47" s="41"/>
      <c r="F47" s="119"/>
      <c r="G47" s="121">
        <v>6</v>
      </c>
      <c r="H47" s="42" t="str">
        <f>'BABY Présence'!C25</f>
        <v>JAMALEDDINE Nail</v>
      </c>
      <c r="I47" s="42" t="str">
        <f>'BABY Présence'!D25</f>
        <v>U5</v>
      </c>
      <c r="J47" s="119"/>
      <c r="K47" s="119"/>
      <c r="L47" s="119"/>
      <c r="M47" s="119"/>
      <c r="N47" s="119"/>
    </row>
    <row r="48" spans="1:14">
      <c r="A48" s="119"/>
      <c r="B48" s="121">
        <v>7</v>
      </c>
      <c r="C48" s="42" t="str">
        <f>'BABY Présence'!C13</f>
        <v>ALTINSOY Kenan</v>
      </c>
      <c r="D48" s="42" t="str">
        <f>'BABY Présence'!D13</f>
        <v>U5</v>
      </c>
      <c r="E48" s="41"/>
      <c r="F48" s="119"/>
      <c r="G48" s="121">
        <v>7</v>
      </c>
      <c r="H48" s="42" t="str">
        <f>'BABY Présence'!C26</f>
        <v>NGUEMA MEDANG Alpha</v>
      </c>
      <c r="I48" s="42" t="str">
        <f>'BABY Présence'!D26</f>
        <v>U5</v>
      </c>
      <c r="J48" s="119"/>
      <c r="K48" s="119"/>
      <c r="L48" s="119"/>
      <c r="M48" s="119"/>
      <c r="N48" s="119"/>
    </row>
    <row r="49" spans="1:14">
      <c r="A49" s="119"/>
      <c r="B49" s="121">
        <v>8</v>
      </c>
      <c r="C49" s="42" t="str">
        <f>'BABY Présence'!C14</f>
        <v>CALOIN Enzo</v>
      </c>
      <c r="D49" s="42" t="str">
        <f>'BABY Présence'!D14</f>
        <v>U5</v>
      </c>
      <c r="E49" s="41"/>
      <c r="F49" s="119"/>
      <c r="G49" s="121">
        <v>8</v>
      </c>
      <c r="H49" s="42" t="str">
        <f>'BABY Présence'!C27</f>
        <v>BENZITOUNI Noham</v>
      </c>
      <c r="I49" s="42" t="str">
        <f>'BABY Présence'!D27</f>
        <v>U5</v>
      </c>
      <c r="J49" s="119"/>
      <c r="K49" s="119"/>
      <c r="L49" s="119"/>
      <c r="M49" s="119"/>
      <c r="N49" s="119"/>
    </row>
    <row r="50" spans="1:14">
      <c r="A50" s="119"/>
      <c r="B50" s="121">
        <v>9</v>
      </c>
      <c r="C50" s="46"/>
      <c r="D50" s="46"/>
      <c r="E50" s="41"/>
      <c r="F50" s="119"/>
      <c r="G50" s="121">
        <v>9</v>
      </c>
      <c r="H50" s="46"/>
      <c r="I50" s="46"/>
      <c r="J50" s="119"/>
      <c r="K50" s="119"/>
      <c r="L50" s="119"/>
      <c r="M50" s="119"/>
      <c r="N50" s="119"/>
    </row>
    <row r="51" spans="1:14">
      <c r="A51" s="119"/>
      <c r="B51" s="122">
        <v>10</v>
      </c>
      <c r="C51" s="46"/>
      <c r="D51" s="46"/>
      <c r="E51" s="41"/>
      <c r="F51" s="119"/>
      <c r="G51" s="122">
        <v>10</v>
      </c>
      <c r="H51" s="46"/>
      <c r="I51" s="46"/>
      <c r="J51" s="119"/>
      <c r="K51" s="119"/>
      <c r="L51" s="119"/>
      <c r="M51" s="119"/>
      <c r="N51" s="119"/>
    </row>
    <row r="52" spans="1:14" ht="18.75">
      <c r="A52" s="119"/>
      <c r="B52" s="118" t="s">
        <v>405</v>
      </c>
      <c r="C52" s="118"/>
      <c r="D52" s="118"/>
      <c r="E52" s="41"/>
      <c r="F52" s="119"/>
      <c r="G52" s="118" t="s">
        <v>396</v>
      </c>
      <c r="H52" s="118"/>
      <c r="I52" s="118"/>
      <c r="J52" s="119"/>
      <c r="K52" s="119"/>
      <c r="L52" s="119"/>
      <c r="M52" s="119"/>
      <c r="N52" s="119"/>
    </row>
    <row r="53" spans="1:14">
      <c r="E53" s="2"/>
    </row>
    <row r="54" spans="1:14">
      <c r="E54" s="2"/>
    </row>
    <row r="55" spans="1:14">
      <c r="E55" s="2"/>
    </row>
    <row r="56" spans="1:14">
      <c r="E56" s="2"/>
    </row>
    <row r="57" spans="1:14">
      <c r="E57" s="2"/>
    </row>
    <row r="58" spans="1:14">
      <c r="E58" s="2"/>
    </row>
    <row r="59" spans="1:14">
      <c r="E59" s="2"/>
    </row>
    <row r="60" spans="1:14">
      <c r="E60" s="2"/>
    </row>
    <row r="61" spans="1:14">
      <c r="E61" s="2"/>
    </row>
    <row r="62" spans="1:14">
      <c r="E62" s="2"/>
    </row>
    <row r="63" spans="1:14" ht="15" customHeight="1">
      <c r="E63" s="2"/>
    </row>
    <row r="64" spans="1:14">
      <c r="E64" s="2"/>
    </row>
    <row r="65" spans="5:5">
      <c r="E65" s="2"/>
    </row>
  </sheetData>
  <mergeCells count="24">
    <mergeCell ref="B41:D41"/>
    <mergeCell ref="B52:D52"/>
    <mergeCell ref="A23:A30"/>
    <mergeCell ref="F23:F30"/>
    <mergeCell ref="K23:K30"/>
    <mergeCell ref="B39:D39"/>
    <mergeCell ref="G39:I39"/>
    <mergeCell ref="G41:I41"/>
    <mergeCell ref="G52:I52"/>
    <mergeCell ref="L39:N39"/>
    <mergeCell ref="B20:D20"/>
    <mergeCell ref="G20:I20"/>
    <mergeCell ref="L20:N20"/>
    <mergeCell ref="B22:D22"/>
    <mergeCell ref="G22:I22"/>
    <mergeCell ref="L22:N22"/>
    <mergeCell ref="B1:N1"/>
    <mergeCell ref="A3:A10"/>
    <mergeCell ref="B3:D3"/>
    <mergeCell ref="G3:I3"/>
    <mergeCell ref="L3:N3"/>
    <mergeCell ref="F4:F11"/>
    <mergeCell ref="K4:K11"/>
    <mergeCell ref="A11:A19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DD83-2C41-4075-8C5F-7F14D1ACABD2}">
  <sheetPr>
    <pageSetUpPr fitToPage="1"/>
  </sheetPr>
  <dimension ref="A1:N67"/>
  <sheetViews>
    <sheetView workbookViewId="0">
      <selection activeCell="T12" sqref="T12"/>
    </sheetView>
  </sheetViews>
  <sheetFormatPr defaultRowHeight="15"/>
  <cols>
    <col min="1" max="1" width="3" bestFit="1" customWidth="1"/>
    <col min="2" max="2" width="4" bestFit="1" customWidth="1"/>
    <col min="3" max="3" width="31.28515625" bestFit="1" customWidth="1"/>
    <col min="4" max="4" width="4.5703125" bestFit="1" customWidth="1"/>
    <col min="6" max="6" width="3" bestFit="1" customWidth="1"/>
    <col min="7" max="7" width="4" bestFit="1" customWidth="1"/>
    <col min="8" max="8" width="29.42578125" bestFit="1" customWidth="1"/>
    <col min="9" max="9" width="4.5703125" bestFit="1" customWidth="1"/>
    <col min="11" max="11" width="3" bestFit="1" customWidth="1"/>
    <col min="12" max="12" width="4" bestFit="1" customWidth="1"/>
    <col min="13" max="13" width="23.7109375" bestFit="1" customWidth="1"/>
    <col min="14" max="14" width="4.5703125" bestFit="1" customWidth="1"/>
  </cols>
  <sheetData>
    <row r="1" spans="1:14" ht="61.5">
      <c r="A1" s="119"/>
      <c r="B1" s="111" t="s">
        <v>406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6" t="s">
        <v>86</v>
      </c>
      <c r="B3" s="117" t="s">
        <v>392</v>
      </c>
      <c r="C3" s="117"/>
      <c r="D3" s="117"/>
      <c r="E3" s="119"/>
      <c r="F3" s="119"/>
      <c r="G3" s="117" t="s">
        <v>392</v>
      </c>
      <c r="H3" s="117"/>
      <c r="I3" s="117"/>
      <c r="J3" s="119"/>
      <c r="K3" s="119"/>
      <c r="L3" s="117" t="s">
        <v>392</v>
      </c>
      <c r="M3" s="117"/>
      <c r="N3" s="117"/>
    </row>
    <row r="4" spans="1:14">
      <c r="A4" s="116"/>
      <c r="B4" s="120">
        <v>1</v>
      </c>
      <c r="C4" s="39" t="str">
        <f>'VENDREDI 17h30 Présence'!C7</f>
        <v>TRIN Léo</v>
      </c>
      <c r="D4" s="39" t="str">
        <f>'VENDREDI 17h30 Présence'!D7</f>
        <v>U6</v>
      </c>
      <c r="E4" s="119"/>
      <c r="F4" s="116" t="s">
        <v>105</v>
      </c>
      <c r="G4" s="120">
        <v>1</v>
      </c>
      <c r="H4" s="40" t="str">
        <f>'VENDREDI 17h30 Présence'!C27</f>
        <v>ZORGATI Ryan</v>
      </c>
      <c r="I4" s="40" t="str">
        <f>'VENDREDI 17h30 Présence'!D27</f>
        <v>U8</v>
      </c>
      <c r="J4" s="119"/>
      <c r="K4" s="116" t="s">
        <v>157</v>
      </c>
      <c r="L4" s="120">
        <v>1</v>
      </c>
      <c r="M4" s="40" t="str">
        <f>'VENDREDI 17h30 Présence'!C46</f>
        <v>HAMICHE Maëlan</v>
      </c>
      <c r="N4" s="40" t="str">
        <f>'VENDREDI 17h30 Présence'!D46</f>
        <v>U11</v>
      </c>
    </row>
    <row r="5" spans="1:14">
      <c r="A5" s="116"/>
      <c r="B5" s="121">
        <v>2</v>
      </c>
      <c r="C5" s="39" t="str">
        <f>'VENDREDI 17h30 Présence'!C8</f>
        <v>PEGUET Edgar</v>
      </c>
      <c r="D5" s="39" t="str">
        <f>'VENDREDI 17h30 Présence'!D8</f>
        <v>U6</v>
      </c>
      <c r="E5" s="119"/>
      <c r="F5" s="116"/>
      <c r="G5" s="121">
        <v>2</v>
      </c>
      <c r="H5" s="40" t="str">
        <f>'VENDREDI 17h30 Présence'!C28</f>
        <v>BRADAI Adam</v>
      </c>
      <c r="I5" s="40" t="str">
        <f>'VENDREDI 17h30 Présence'!D28</f>
        <v>U8</v>
      </c>
      <c r="J5" s="119"/>
      <c r="K5" s="116"/>
      <c r="L5" s="121">
        <v>2</v>
      </c>
      <c r="M5" s="40" t="str">
        <f>'VENDREDI 17h30 Présence'!C47</f>
        <v>MANAL Gabriel</v>
      </c>
      <c r="N5" s="40" t="str">
        <f>'VENDREDI 17h30 Présence'!D47</f>
        <v>U11</v>
      </c>
    </row>
    <row r="6" spans="1:14">
      <c r="A6" s="116"/>
      <c r="B6" s="121">
        <v>3</v>
      </c>
      <c r="C6" s="39" t="str">
        <f>'VENDREDI 17h30 Présence'!C9</f>
        <v>AL HASSAN Yousef</v>
      </c>
      <c r="D6" s="39" t="str">
        <f>'VENDREDI 17h30 Présence'!D9</f>
        <v>U6</v>
      </c>
      <c r="E6" s="119"/>
      <c r="F6" s="116"/>
      <c r="G6" s="121">
        <v>3</v>
      </c>
      <c r="H6" s="40" t="str">
        <f>'VENDREDI 17h30 Présence'!C29</f>
        <v>ALADWAN Shahim</v>
      </c>
      <c r="I6" s="40" t="str">
        <f>'VENDREDI 17h30 Présence'!D29</f>
        <v>U9</v>
      </c>
      <c r="J6" s="119"/>
      <c r="K6" s="116"/>
      <c r="L6" s="120">
        <v>3</v>
      </c>
      <c r="M6" s="40" t="str">
        <f>'VENDREDI 17h30 Présence'!C48</f>
        <v>COURTEILLE Nahil</v>
      </c>
      <c r="N6" s="40" t="str">
        <f>'VENDREDI 17h30 Présence'!D48</f>
        <v>U11</v>
      </c>
    </row>
    <row r="7" spans="1:14">
      <c r="A7" s="116"/>
      <c r="B7" s="121">
        <v>4</v>
      </c>
      <c r="C7" s="39" t="str">
        <f>'VENDREDI 17h30 Présence'!C10</f>
        <v>SIMON Gabriel</v>
      </c>
      <c r="D7" s="39" t="str">
        <f>'VENDREDI 17h30 Présence'!D10</f>
        <v>U6</v>
      </c>
      <c r="E7" s="119"/>
      <c r="F7" s="116"/>
      <c r="G7" s="121">
        <v>4</v>
      </c>
      <c r="H7" s="40" t="str">
        <f>'VENDREDI 17h30 Présence'!C30</f>
        <v>KATAOKA Ren</v>
      </c>
      <c r="I7" s="40" t="str">
        <f>'VENDREDI 17h30 Présence'!D30</f>
        <v>U9</v>
      </c>
      <c r="J7" s="119"/>
      <c r="K7" s="116"/>
      <c r="L7" s="121">
        <v>4</v>
      </c>
      <c r="M7" s="40" t="str">
        <f>'VENDREDI 17h30 Présence'!C49</f>
        <v>COURTEILLE Ryan</v>
      </c>
      <c r="N7" s="40" t="str">
        <f>'VENDREDI 17h30 Présence'!D49</f>
        <v>U11</v>
      </c>
    </row>
    <row r="8" spans="1:14">
      <c r="A8" s="116"/>
      <c r="B8" s="121">
        <v>5</v>
      </c>
      <c r="C8" s="39" t="str">
        <f>'VENDREDI 17h30 Présence'!C11</f>
        <v>SAFA Jad</v>
      </c>
      <c r="D8" s="39" t="str">
        <f>'VENDREDI 17h30 Présence'!D11</f>
        <v>U6</v>
      </c>
      <c r="E8" s="119"/>
      <c r="F8" s="116"/>
      <c r="G8" s="121">
        <v>5</v>
      </c>
      <c r="H8" s="40" t="str">
        <f>'VENDREDI 17h30 Présence'!C31</f>
        <v>BEN ABDELJELIL Skander</v>
      </c>
      <c r="I8" s="40" t="str">
        <f>'VENDREDI 17h30 Présence'!D31</f>
        <v>U9</v>
      </c>
      <c r="J8" s="119"/>
      <c r="K8" s="116"/>
      <c r="L8" s="120">
        <v>5</v>
      </c>
      <c r="M8" s="40" t="str">
        <f>'VENDREDI 17h30 Présence'!C50</f>
        <v>ZORGATI Adam</v>
      </c>
      <c r="N8" s="40" t="str">
        <f>'VENDREDI 17h30 Présence'!D50</f>
        <v>U11</v>
      </c>
    </row>
    <row r="9" spans="1:14">
      <c r="A9" s="116"/>
      <c r="B9" s="121">
        <v>6</v>
      </c>
      <c r="C9" s="39" t="str">
        <f>'VENDREDI 17h30 Présence'!C12</f>
        <v>GRIMAL Johan</v>
      </c>
      <c r="D9" s="39" t="str">
        <f>'VENDREDI 17h30 Présence'!D12</f>
        <v>U7</v>
      </c>
      <c r="E9" s="119"/>
      <c r="F9" s="116"/>
      <c r="G9" s="121">
        <v>6</v>
      </c>
      <c r="H9" s="40" t="str">
        <f>'VENDREDI 17h30 Présence'!C32</f>
        <v>SEMPE Soan</v>
      </c>
      <c r="I9" s="40" t="str">
        <f>'VENDREDI 17h30 Présence'!D32</f>
        <v>U9</v>
      </c>
      <c r="J9" s="119"/>
      <c r="K9" s="116"/>
      <c r="L9" s="121">
        <v>6</v>
      </c>
      <c r="M9" s="40" t="str">
        <f>'VENDREDI 17h30 Présence'!C51</f>
        <v>MESTRALLET Téo</v>
      </c>
      <c r="N9" s="40" t="str">
        <f>'VENDREDI 17h30 Présence'!D51</f>
        <v>U12</v>
      </c>
    </row>
    <row r="10" spans="1:14">
      <c r="A10" s="116"/>
      <c r="B10" s="121">
        <v>7</v>
      </c>
      <c r="C10" s="39" t="str">
        <f>'VENDREDI 17h30 Présence'!C13</f>
        <v>TEIXEIRA RICHARD Paul</v>
      </c>
      <c r="D10" s="39" t="str">
        <f>'VENDREDI 17h30 Présence'!D13</f>
        <v>U7</v>
      </c>
      <c r="E10" s="119"/>
      <c r="F10" s="116"/>
      <c r="G10" s="121">
        <v>7</v>
      </c>
      <c r="H10" s="40" t="str">
        <f>'VENDREDI 17h30 Présence'!C33</f>
        <v>KHASAEEBAH Adim</v>
      </c>
      <c r="I10" s="40" t="str">
        <f>'VENDREDI 17h30 Présence'!D33</f>
        <v>U10</v>
      </c>
      <c r="J10" s="119"/>
      <c r="K10" s="116"/>
      <c r="L10" s="120">
        <v>7</v>
      </c>
      <c r="M10" s="40" t="str">
        <f>'VENDREDI 17h30 Présence'!C52</f>
        <v>BERNADETTE Loïc</v>
      </c>
      <c r="N10" s="40" t="str">
        <f>'VENDREDI 17h30 Présence'!D52</f>
        <v>U12</v>
      </c>
    </row>
    <row r="11" spans="1:14">
      <c r="A11" s="116"/>
      <c r="B11" s="121">
        <v>8</v>
      </c>
      <c r="C11" s="39" t="str">
        <f>'VENDREDI 17h30 Présence'!C14</f>
        <v>BEN ABDELJELIL Zakarya</v>
      </c>
      <c r="D11" s="39" t="str">
        <f>'VENDREDI 17h30 Présence'!D14</f>
        <v>U7</v>
      </c>
      <c r="E11" s="119"/>
      <c r="F11" s="116"/>
      <c r="G11" s="121">
        <v>8</v>
      </c>
      <c r="H11" s="40" t="str">
        <f>'VENDREDI 17h30 Présence'!C34</f>
        <v>PEGUET Achille</v>
      </c>
      <c r="I11" s="40" t="str">
        <f>'VENDREDI 17h30 Présence'!D34</f>
        <v>U10</v>
      </c>
      <c r="J11" s="119"/>
      <c r="K11" s="116"/>
      <c r="L11" s="121">
        <v>8</v>
      </c>
      <c r="M11" s="40" t="str">
        <f>'VENDREDI 17h30 Présence'!C53</f>
        <v>STIER Arthur</v>
      </c>
      <c r="N11" s="40" t="str">
        <f>'VENDREDI 17h30 Présence'!D53</f>
        <v>U12</v>
      </c>
    </row>
    <row r="12" spans="1:14">
      <c r="A12" s="116"/>
      <c r="B12" s="121">
        <v>9</v>
      </c>
      <c r="C12" s="39" t="str">
        <f>'VENDREDI 17h30 Présence'!C15</f>
        <v>SUN Jimmy</v>
      </c>
      <c r="D12" s="39" t="str">
        <f>'VENDREDI 17h30 Présence'!D15</f>
        <v>U7</v>
      </c>
      <c r="E12" s="119"/>
      <c r="F12" s="41"/>
      <c r="G12" s="121">
        <v>9</v>
      </c>
      <c r="H12" s="40" t="str">
        <f>'VENDREDI 17h30 Présence'!C35</f>
        <v>GRIMAL Adria</v>
      </c>
      <c r="I12" s="40" t="str">
        <f>'VENDREDI 17h30 Présence'!D35</f>
        <v>U10</v>
      </c>
      <c r="J12" s="119"/>
      <c r="K12" s="41"/>
      <c r="L12" s="120">
        <v>9</v>
      </c>
      <c r="M12" s="40" t="str">
        <f>'VENDREDI 17h30 Présence'!C54</f>
        <v>PEREZ DÜRR Lukas</v>
      </c>
      <c r="N12" s="40" t="str">
        <f>'VENDREDI 17h30 Présence'!D54</f>
        <v>U12</v>
      </c>
    </row>
    <row r="13" spans="1:14">
      <c r="A13" s="116"/>
      <c r="B13" s="121">
        <v>10</v>
      </c>
      <c r="C13" s="39" t="str">
        <f>'VENDREDI 17h30 Présence'!C16</f>
        <v>ELKHALFIOUI Wakil</v>
      </c>
      <c r="D13" s="39" t="str">
        <f>'VENDREDI 17h30 Présence'!D16</f>
        <v>U7</v>
      </c>
      <c r="E13" s="119"/>
      <c r="F13" s="41"/>
      <c r="G13" s="121">
        <v>10</v>
      </c>
      <c r="H13" s="40" t="str">
        <f>'VENDREDI 17h30 Présence'!C36</f>
        <v>AMADIEU BALAVOINE Basile</v>
      </c>
      <c r="I13" s="40" t="str">
        <f>'VENDREDI 17h30 Présence'!D36</f>
        <v>U10</v>
      </c>
      <c r="J13" s="119"/>
      <c r="K13" s="41"/>
      <c r="L13" s="121">
        <v>10</v>
      </c>
      <c r="M13" s="40" t="str">
        <f>'VENDREDI 17h30 Présence'!C55</f>
        <v>SELLAOUTI Ahmed</v>
      </c>
      <c r="N13" s="40" t="str">
        <f>'VENDREDI 17h30 Présence'!D55</f>
        <v>U12</v>
      </c>
    </row>
    <row r="14" spans="1:14">
      <c r="A14" s="116"/>
      <c r="B14" s="121">
        <v>11</v>
      </c>
      <c r="C14" s="39" t="str">
        <f>'VENDREDI 17h30 Présence'!C17</f>
        <v>MURILLO-NNABUIHE Caymmi</v>
      </c>
      <c r="D14" s="39" t="str">
        <f>'VENDREDI 17h30 Présence'!D17</f>
        <v>U8</v>
      </c>
      <c r="E14" s="119"/>
      <c r="F14" s="41"/>
      <c r="G14" s="121">
        <v>11</v>
      </c>
      <c r="H14" s="40" t="str">
        <f>'VENDREDI 17h30 Présence'!C37</f>
        <v>REGIS Noé</v>
      </c>
      <c r="I14" s="40" t="str">
        <f>'VENDREDI 17h30 Présence'!D37</f>
        <v>U10</v>
      </c>
      <c r="J14" s="119"/>
      <c r="K14" s="41"/>
      <c r="L14" s="120">
        <v>11</v>
      </c>
      <c r="M14" s="40" t="str">
        <f>'VENDREDI 17h30 Présence'!C56</f>
        <v>BOU ISSAC Marc</v>
      </c>
      <c r="N14" s="40" t="str">
        <f>'VENDREDI 17h30 Présence'!D56</f>
        <v>U12</v>
      </c>
    </row>
    <row r="15" spans="1:14">
      <c r="A15" s="116"/>
      <c r="B15" s="121">
        <v>12</v>
      </c>
      <c r="C15" s="39" t="str">
        <f>'VENDREDI 17h30 Présence'!C18</f>
        <v>HARZALLAH Zakaria</v>
      </c>
      <c r="D15" s="39" t="str">
        <f>'VENDREDI 17h30 Présence'!D18</f>
        <v>U8</v>
      </c>
      <c r="E15" s="119"/>
      <c r="F15" s="41"/>
      <c r="G15" s="121">
        <v>12</v>
      </c>
      <c r="H15" s="40" t="str">
        <f>'VENDREDI 17h30 Présence'!C38</f>
        <v>NICOLLE Noah</v>
      </c>
      <c r="I15" s="40" t="str">
        <f>'VENDREDI 17h30 Présence'!D38</f>
        <v>U10</v>
      </c>
      <c r="J15" s="119"/>
      <c r="K15" s="41"/>
      <c r="L15" s="121">
        <v>12</v>
      </c>
      <c r="M15" s="40" t="str">
        <f>'VENDREDI 17h30 Présence'!C57</f>
        <v>VAZQUEZ Aaron</v>
      </c>
      <c r="N15" s="40" t="str">
        <f>'VENDREDI 17h30 Présence'!D57</f>
        <v>U12</v>
      </c>
    </row>
    <row r="16" spans="1:14">
      <c r="A16" s="116"/>
      <c r="B16" s="121">
        <v>13</v>
      </c>
      <c r="C16" s="39" t="str">
        <f>'VENDREDI 17h30 Présence'!C19</f>
        <v>LEMOINE Anatole</v>
      </c>
      <c r="D16" s="39" t="str">
        <f>'VENDREDI 17h30 Présence'!D19</f>
        <v>U8</v>
      </c>
      <c r="E16" s="119"/>
      <c r="F16" s="41"/>
      <c r="G16" s="121">
        <v>13</v>
      </c>
      <c r="H16" s="40" t="str">
        <f>'VENDREDI 17h30 Présence'!C39</f>
        <v>AL HASSAN Karam</v>
      </c>
      <c r="I16" s="40" t="str">
        <f>'VENDREDI 17h30 Présence'!D39</f>
        <v>U11</v>
      </c>
      <c r="J16" s="119"/>
      <c r="K16" s="41"/>
      <c r="L16" s="120">
        <v>13</v>
      </c>
      <c r="M16" s="40" t="str">
        <f>'VENDREDI 17h30 Présence'!C58</f>
        <v>SEMPE Ilyan</v>
      </c>
      <c r="N16" s="40" t="str">
        <f>'VENDREDI 17h30 Présence'!D58</f>
        <v>U12</v>
      </c>
    </row>
    <row r="17" spans="1:14">
      <c r="A17" s="116"/>
      <c r="B17" s="121">
        <v>14</v>
      </c>
      <c r="C17" s="39" t="str">
        <f>'VENDREDI 17h30 Présence'!C20</f>
        <v>PETITJEAN Maxance</v>
      </c>
      <c r="D17" s="39" t="str">
        <f>'VENDREDI 17h30 Présence'!D20</f>
        <v>U8</v>
      </c>
      <c r="E17" s="119"/>
      <c r="F17" s="41"/>
      <c r="G17" s="121">
        <v>14</v>
      </c>
      <c r="H17" s="40" t="str">
        <f>'VENDREDI 17h30 Présence'!C40</f>
        <v>BELFQUIH Amine</v>
      </c>
      <c r="I17" s="40" t="str">
        <f>'VENDREDI 17h30 Présence'!D40</f>
        <v>U12</v>
      </c>
      <c r="J17" s="119"/>
      <c r="K17" s="41"/>
      <c r="L17" s="121">
        <v>14</v>
      </c>
      <c r="M17" s="40" t="str">
        <f>'VENDREDI 17h30 Présence'!C59</f>
        <v>CROSNIER Simon</v>
      </c>
      <c r="N17" s="40" t="str">
        <f>'VENDREDI 17h30 Présence'!D59</f>
        <v>U13</v>
      </c>
    </row>
    <row r="18" spans="1:14">
      <c r="A18" s="116"/>
      <c r="B18" s="121">
        <v>15</v>
      </c>
      <c r="C18" s="39" t="str">
        <f>'VENDREDI 17h30 Présence'!C21</f>
        <v>GASPARINI CASTRO Matteo</v>
      </c>
      <c r="D18" s="39" t="str">
        <f>'VENDREDI 17h30 Présence'!D21</f>
        <v>U7</v>
      </c>
      <c r="E18" s="119"/>
      <c r="F18" s="41"/>
      <c r="G18" s="121">
        <v>15</v>
      </c>
      <c r="H18" s="40" t="str">
        <f>'VENDREDI 17h30 Présence'!C41</f>
        <v>ARIF Adam</v>
      </c>
      <c r="I18" s="40" t="str">
        <f>'VENDREDI 17h30 Présence'!D41</f>
        <v>U10</v>
      </c>
      <c r="J18" s="119"/>
      <c r="K18" s="41"/>
      <c r="L18" s="120">
        <v>15</v>
      </c>
      <c r="M18" s="40" t="str">
        <f>'VENDREDI 17h30 Présence'!C60</f>
        <v>LINCHEVSKYY Taras</v>
      </c>
      <c r="N18" s="40" t="str">
        <f>'VENDREDI 17h30 Présence'!D60</f>
        <v>U13</v>
      </c>
    </row>
    <row r="19" spans="1:14">
      <c r="A19" s="116"/>
      <c r="B19" s="122">
        <v>16</v>
      </c>
      <c r="C19" s="39" t="str">
        <f>'VENDREDI 17h30 Présence'!C22</f>
        <v>LARBAOUI El Mehdi</v>
      </c>
      <c r="D19" s="39" t="str">
        <f>'VENDREDI 17h30 Présence'!D22</f>
        <v>U6</v>
      </c>
      <c r="E19" s="119"/>
      <c r="F19" s="41"/>
      <c r="G19" s="122">
        <v>16</v>
      </c>
      <c r="H19" s="40"/>
      <c r="I19" s="40"/>
      <c r="J19" s="119"/>
      <c r="K19" s="41"/>
      <c r="L19" s="121">
        <v>16</v>
      </c>
      <c r="M19" s="40" t="str">
        <f>'VENDREDI 17h30 Présence'!C61</f>
        <v>SAFA Mohamad</v>
      </c>
      <c r="N19" s="40" t="str">
        <f>'VENDREDI 17h30 Présence'!D61</f>
        <v>U10</v>
      </c>
    </row>
    <row r="20" spans="1:14" ht="18.75">
      <c r="A20" s="38"/>
      <c r="B20" s="118" t="s">
        <v>399</v>
      </c>
      <c r="C20" s="118"/>
      <c r="D20" s="118"/>
      <c r="E20" s="119"/>
      <c r="F20" s="41"/>
      <c r="G20" s="118" t="s">
        <v>396</v>
      </c>
      <c r="H20" s="118"/>
      <c r="I20" s="118"/>
      <c r="J20" s="119"/>
      <c r="K20" s="41"/>
      <c r="L20" s="120">
        <v>17</v>
      </c>
      <c r="M20" s="40" t="str">
        <f>'VENDREDI 17h30 Présence'!C62</f>
        <v>RAOUX Maélan</v>
      </c>
      <c r="N20" s="40" t="str">
        <f>'VENDREDI 17h30 Présence'!D62</f>
        <v>U10</v>
      </c>
    </row>
    <row r="21" spans="1:14" ht="18.75">
      <c r="A21" s="38"/>
      <c r="B21" s="43"/>
      <c r="C21" s="123"/>
      <c r="D21" s="44"/>
      <c r="E21" s="119"/>
      <c r="F21" s="119"/>
      <c r="G21" s="119"/>
      <c r="H21" s="119"/>
      <c r="I21" s="119"/>
      <c r="J21" s="119"/>
      <c r="K21" s="119"/>
      <c r="L21" s="118" t="s">
        <v>402</v>
      </c>
      <c r="M21" s="118"/>
      <c r="N21" s="118"/>
    </row>
    <row r="22" spans="1:14">
      <c r="A22" s="119"/>
      <c r="E22" s="2"/>
    </row>
    <row r="23" spans="1:14" ht="15" customHeight="1">
      <c r="A23" s="119"/>
      <c r="E23" s="2"/>
    </row>
    <row r="24" spans="1:14">
      <c r="A24" s="119"/>
      <c r="E24" s="2"/>
    </row>
    <row r="25" spans="1:14">
      <c r="A25" s="119"/>
      <c r="E25" s="2"/>
    </row>
    <row r="26" spans="1:14">
      <c r="A26" s="119"/>
      <c r="E26" s="2"/>
    </row>
    <row r="27" spans="1:14">
      <c r="A27" s="119"/>
      <c r="E27" s="2"/>
    </row>
    <row r="28" spans="1:14">
      <c r="A28" s="119"/>
      <c r="E28" s="2"/>
    </row>
    <row r="29" spans="1:14">
      <c r="A29" s="119"/>
      <c r="E29" s="2"/>
    </row>
    <row r="30" spans="1:14">
      <c r="A30" s="119"/>
      <c r="E30" s="2"/>
    </row>
    <row r="31" spans="1:14">
      <c r="A31" s="119"/>
      <c r="E31" s="2"/>
    </row>
    <row r="32" spans="1:14">
      <c r="A32" s="119"/>
      <c r="E32" s="2"/>
    </row>
    <row r="33" spans="1:5">
      <c r="A33" s="119"/>
      <c r="E33" s="2"/>
    </row>
    <row r="34" spans="1:5">
      <c r="A34" s="119"/>
      <c r="E34" s="2"/>
    </row>
    <row r="35" spans="1:5">
      <c r="A35" s="119"/>
      <c r="E35" s="2"/>
    </row>
    <row r="36" spans="1:5">
      <c r="A36" s="119"/>
      <c r="E36" s="2"/>
    </row>
    <row r="37" spans="1:5">
      <c r="A37" s="119"/>
      <c r="E37" s="2"/>
    </row>
    <row r="38" spans="1:5">
      <c r="A38" s="119"/>
      <c r="E38" s="2"/>
    </row>
    <row r="39" spans="1:5">
      <c r="A39" s="119"/>
      <c r="E39" s="2"/>
    </row>
    <row r="40" spans="1:5">
      <c r="A40" s="119"/>
      <c r="E40" s="2"/>
    </row>
    <row r="41" spans="1:5">
      <c r="A41" s="119"/>
      <c r="E41" s="2"/>
    </row>
    <row r="42" spans="1:5" ht="15" customHeight="1">
      <c r="A42" s="119"/>
      <c r="E42" s="2"/>
    </row>
    <row r="43" spans="1:5" ht="15" customHeight="1">
      <c r="A43" s="119"/>
      <c r="E43" s="2"/>
    </row>
    <row r="44" spans="1:5">
      <c r="A44" s="119"/>
      <c r="E44" s="2"/>
    </row>
    <row r="45" spans="1:5">
      <c r="A45" s="119"/>
      <c r="E45" s="2"/>
    </row>
    <row r="46" spans="1:5">
      <c r="A46" s="119"/>
      <c r="E46" s="2"/>
    </row>
    <row r="47" spans="1:5">
      <c r="A47" s="119"/>
      <c r="E47" s="2"/>
    </row>
    <row r="48" spans="1:5">
      <c r="A48" s="119"/>
      <c r="E48" s="2"/>
    </row>
    <row r="49" spans="1:5">
      <c r="A49" s="119"/>
      <c r="E49" s="2"/>
    </row>
    <row r="50" spans="1:5">
      <c r="A50" s="119"/>
      <c r="E50" s="2"/>
    </row>
    <row r="51" spans="1:5">
      <c r="A51" s="119"/>
      <c r="E51" s="2"/>
    </row>
    <row r="52" spans="1:5">
      <c r="A52" s="119"/>
      <c r="E52" s="2"/>
    </row>
    <row r="53" spans="1:5">
      <c r="A53" s="119"/>
      <c r="E53" s="2"/>
    </row>
    <row r="54" spans="1:5">
      <c r="A54" s="119"/>
      <c r="E54" s="2"/>
    </row>
    <row r="55" spans="1:5">
      <c r="A55" s="119"/>
      <c r="E55" s="2"/>
    </row>
    <row r="56" spans="1:5">
      <c r="A56" s="119"/>
      <c r="E56" s="2"/>
    </row>
    <row r="57" spans="1:5">
      <c r="A57" s="119"/>
      <c r="E57" s="2"/>
    </row>
    <row r="58" spans="1:5">
      <c r="A58" s="119"/>
      <c r="E58" s="2"/>
    </row>
    <row r="59" spans="1:5">
      <c r="A59" s="119"/>
      <c r="E59" s="2"/>
    </row>
    <row r="60" spans="1:5">
      <c r="A60" s="119"/>
      <c r="E60" s="2"/>
    </row>
    <row r="61" spans="1:5">
      <c r="A61" s="119"/>
      <c r="E61" s="2"/>
    </row>
    <row r="62" spans="1:5">
      <c r="A62" s="119"/>
      <c r="E62" s="2"/>
    </row>
    <row r="63" spans="1:5" ht="15" customHeight="1">
      <c r="A63" s="119"/>
      <c r="E63" s="2"/>
    </row>
    <row r="64" spans="1:5">
      <c r="A64" s="119"/>
      <c r="E64" s="2"/>
    </row>
    <row r="65" spans="1:5">
      <c r="A65" s="119"/>
      <c r="E65" s="2"/>
    </row>
    <row r="66" spans="1:5">
      <c r="A66" s="119"/>
    </row>
    <row r="67" spans="1:5">
      <c r="A67" s="119"/>
    </row>
  </sheetData>
  <mergeCells count="11">
    <mergeCell ref="L21:N21"/>
    <mergeCell ref="B20:D20"/>
    <mergeCell ref="G20:I20"/>
    <mergeCell ref="B1:N1"/>
    <mergeCell ref="A3:A10"/>
    <mergeCell ref="B3:D3"/>
    <mergeCell ref="G3:I3"/>
    <mergeCell ref="L3:N3"/>
    <mergeCell ref="F4:F11"/>
    <mergeCell ref="K4:K11"/>
    <mergeCell ref="A11:A19"/>
  </mergeCells>
  <pageMargins left="0.7" right="0.7" top="0.75" bottom="0.75" header="0.3" footer="0.3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8151-1B0E-43C7-B08D-77E47AC7F1BF}">
  <sheetPr>
    <pageSetUpPr fitToPage="1"/>
  </sheetPr>
  <dimension ref="A1:Q71"/>
  <sheetViews>
    <sheetView topLeftCell="A31" workbookViewId="0">
      <selection activeCell="B1" sqref="B1"/>
    </sheetView>
  </sheetViews>
  <sheetFormatPr defaultRowHeight="15"/>
  <cols>
    <col min="1" max="1" width="3" bestFit="1" customWidth="1"/>
    <col min="2" max="2" width="4" bestFit="1" customWidth="1"/>
    <col min="3" max="3" width="31.28515625" bestFit="1" customWidth="1"/>
    <col min="4" max="4" width="4.5703125" bestFit="1" customWidth="1"/>
    <col min="6" max="6" width="3" bestFit="1" customWidth="1"/>
    <col min="7" max="7" width="4" bestFit="1" customWidth="1"/>
    <col min="8" max="8" width="29.42578125" bestFit="1" customWidth="1"/>
    <col min="9" max="9" width="4.5703125" bestFit="1" customWidth="1"/>
    <col min="11" max="11" width="3" bestFit="1" customWidth="1"/>
    <col min="12" max="12" width="4" bestFit="1" customWidth="1"/>
    <col min="13" max="13" width="23.7109375" bestFit="1" customWidth="1"/>
    <col min="14" max="14" width="4.5703125" bestFit="1" customWidth="1"/>
  </cols>
  <sheetData>
    <row r="1" spans="1:14" ht="61.5">
      <c r="A1" s="119"/>
      <c r="B1" s="111" t="s">
        <v>407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6" t="s">
        <v>86</v>
      </c>
      <c r="B3" s="117" t="s">
        <v>408</v>
      </c>
      <c r="C3" s="117"/>
      <c r="D3" s="117"/>
      <c r="E3" s="119"/>
      <c r="F3" s="119"/>
      <c r="G3" s="117" t="s">
        <v>408</v>
      </c>
      <c r="H3" s="117"/>
      <c r="I3" s="117"/>
      <c r="J3" s="119"/>
      <c r="K3" s="119"/>
      <c r="L3" s="117" t="s">
        <v>408</v>
      </c>
      <c r="M3" s="117"/>
      <c r="N3" s="117"/>
    </row>
    <row r="4" spans="1:14">
      <c r="A4" s="116"/>
      <c r="B4" s="120">
        <v>1</v>
      </c>
      <c r="C4" s="61" t="str">
        <f>'SAMEDI 9h30 Présence'!C7</f>
        <v>ABOU LEYLA Ilyes</v>
      </c>
      <c r="D4" s="61" t="str">
        <f>'SAMEDI 9h30 Présence'!D7</f>
        <v>U6</v>
      </c>
      <c r="E4" s="119"/>
      <c r="F4" s="116" t="s">
        <v>105</v>
      </c>
      <c r="G4" s="120">
        <v>1</v>
      </c>
      <c r="H4" s="40" t="str">
        <f>'SAMEDI 9h30 Présence'!C27</f>
        <v>SEFDAR Adam</v>
      </c>
      <c r="I4" s="40" t="str">
        <f>'SAMEDI 9h30 Présence'!D27</f>
        <v>U7</v>
      </c>
      <c r="J4" s="119"/>
      <c r="K4" s="116" t="s">
        <v>157</v>
      </c>
      <c r="L4" s="120">
        <v>1</v>
      </c>
      <c r="M4" s="40" t="str">
        <f>'SAMEDI 9h30 Présence'!C47</f>
        <v>GARCIA Sara</v>
      </c>
      <c r="N4" s="40" t="str">
        <f>'SAMEDI 9h30 Présence'!D47</f>
        <v>U8</v>
      </c>
    </row>
    <row r="5" spans="1:14">
      <c r="A5" s="116"/>
      <c r="B5" s="121">
        <v>2</v>
      </c>
      <c r="C5" s="61" t="str">
        <f>'SAMEDI 9h30 Présence'!C8</f>
        <v>CALSAT Raphaël</v>
      </c>
      <c r="D5" s="61" t="str">
        <f>'SAMEDI 9h30 Présence'!D8</f>
        <v>U6</v>
      </c>
      <c r="E5" s="119"/>
      <c r="F5" s="116"/>
      <c r="G5" s="121">
        <v>2</v>
      </c>
      <c r="H5" s="40" t="str">
        <f>'SAMEDI 9h30 Présence'!C28</f>
        <v>LEBORGNE Ayden</v>
      </c>
      <c r="I5" s="40" t="str">
        <f>'SAMEDI 9h30 Présence'!D28</f>
        <v>U7</v>
      </c>
      <c r="J5" s="119"/>
      <c r="K5" s="116"/>
      <c r="L5" s="121">
        <v>2</v>
      </c>
      <c r="M5" s="40" t="str">
        <f>'SAMEDI 9h30 Présence'!C48</f>
        <v>D'HONT LECOMTE Yannik</v>
      </c>
      <c r="N5" s="40" t="str">
        <f>'SAMEDI 9h30 Présence'!D48</f>
        <v>U8</v>
      </c>
    </row>
    <row r="6" spans="1:14">
      <c r="A6" s="116"/>
      <c r="B6" s="121">
        <v>3</v>
      </c>
      <c r="C6" s="61" t="str">
        <f>'SAMEDI 9h30 Présence'!C9</f>
        <v>FONTAINE Erez</v>
      </c>
      <c r="D6" s="61" t="str">
        <f>'SAMEDI 9h30 Présence'!D9</f>
        <v>U6</v>
      </c>
      <c r="E6" s="119"/>
      <c r="F6" s="116"/>
      <c r="G6" s="121">
        <v>3</v>
      </c>
      <c r="H6" s="40" t="str">
        <f>'SAMEDI 9h30 Présence'!C29</f>
        <v>DIVIEN Nathanaël</v>
      </c>
      <c r="I6" s="40" t="str">
        <f>'SAMEDI 9h30 Présence'!D29</f>
        <v>U7</v>
      </c>
      <c r="J6" s="119"/>
      <c r="K6" s="116"/>
      <c r="L6" s="121">
        <v>3</v>
      </c>
      <c r="M6" s="40" t="str">
        <f>'SAMEDI 9h30 Présence'!C49</f>
        <v>ROUSEVELT Louis</v>
      </c>
      <c r="N6" s="40" t="str">
        <f>'SAMEDI 9h30 Présence'!D49</f>
        <v>U8</v>
      </c>
    </row>
    <row r="7" spans="1:14">
      <c r="A7" s="116"/>
      <c r="B7" s="121">
        <v>4</v>
      </c>
      <c r="C7" s="61" t="str">
        <f>'SAMEDI 9h30 Présence'!C10</f>
        <v>ANDRE Salomon</v>
      </c>
      <c r="D7" s="61" t="str">
        <f>'SAMEDI 9h30 Présence'!D10</f>
        <v>U6</v>
      </c>
      <c r="E7" s="119"/>
      <c r="F7" s="116"/>
      <c r="G7" s="121">
        <v>4</v>
      </c>
      <c r="H7" s="40" t="str">
        <f>'SAMEDI 9h30 Présence'!C30</f>
        <v>CLAVEYROLAS Leeroy</v>
      </c>
      <c r="I7" s="40" t="str">
        <f>'SAMEDI 9h30 Présence'!D30</f>
        <v>U7</v>
      </c>
      <c r="J7" s="119"/>
      <c r="K7" s="116"/>
      <c r="L7" s="121">
        <v>4</v>
      </c>
      <c r="M7" s="40" t="str">
        <f>'SAMEDI 9h30 Présence'!C50</f>
        <v>LANDES David</v>
      </c>
      <c r="N7" s="40" t="str">
        <f>'SAMEDI 9h30 Présence'!D50</f>
        <v>U9</v>
      </c>
    </row>
    <row r="8" spans="1:14">
      <c r="A8" s="116"/>
      <c r="B8" s="121">
        <v>5</v>
      </c>
      <c r="C8" s="61" t="str">
        <f>'SAMEDI 9h30 Présence'!C11</f>
        <v>DHAKAR Zayd</v>
      </c>
      <c r="D8" s="61" t="str">
        <f>'SAMEDI 9h30 Présence'!D11</f>
        <v>U6</v>
      </c>
      <c r="E8" s="119"/>
      <c r="F8" s="116"/>
      <c r="G8" s="121">
        <v>5</v>
      </c>
      <c r="H8" s="40" t="str">
        <f>'SAMEDI 9h30 Présence'!C31</f>
        <v>BOJOVIC Filip</v>
      </c>
      <c r="I8" s="40" t="str">
        <f>'SAMEDI 9h30 Présence'!D31</f>
        <v>U7</v>
      </c>
      <c r="J8" s="119"/>
      <c r="K8" s="116"/>
      <c r="L8" s="121">
        <v>5</v>
      </c>
      <c r="M8" s="40" t="str">
        <f>'SAMEDI 9h30 Présence'!C51</f>
        <v>LANDES Nathan</v>
      </c>
      <c r="N8" s="40" t="str">
        <f>'SAMEDI 9h30 Présence'!D51</f>
        <v>U9</v>
      </c>
    </row>
    <row r="9" spans="1:14">
      <c r="A9" s="116"/>
      <c r="B9" s="121">
        <v>6</v>
      </c>
      <c r="C9" s="61" t="str">
        <f>'SAMEDI 9h30 Présence'!C12</f>
        <v>GUENNECPINTOR Isaac</v>
      </c>
      <c r="D9" s="61" t="str">
        <f>'SAMEDI 9h30 Présence'!D12</f>
        <v>U6</v>
      </c>
      <c r="E9" s="119"/>
      <c r="F9" s="116"/>
      <c r="G9" s="121">
        <v>6</v>
      </c>
      <c r="H9" s="40" t="str">
        <f>'SAMEDI 9h30 Présence'!C32</f>
        <v>TALLAPRAGADE Riaan</v>
      </c>
      <c r="I9" s="40" t="str">
        <f>'SAMEDI 9h30 Présence'!D32</f>
        <v>U7</v>
      </c>
      <c r="J9" s="119"/>
      <c r="K9" s="116"/>
      <c r="L9" s="121">
        <v>6</v>
      </c>
      <c r="M9" s="40" t="str">
        <f>'SAMEDI 9h30 Présence'!C52</f>
        <v>GILAVERT Arthur</v>
      </c>
      <c r="N9" s="40" t="str">
        <f>'SAMEDI 9h30 Présence'!D52</f>
        <v>U9</v>
      </c>
    </row>
    <row r="10" spans="1:14">
      <c r="A10" s="116"/>
      <c r="B10" s="121">
        <v>7</v>
      </c>
      <c r="C10" s="61" t="str">
        <f>'SAMEDI 9h30 Présence'!C13</f>
        <v>MHIRA Yassir</v>
      </c>
      <c r="D10" s="61" t="str">
        <f>'SAMEDI 9h30 Présence'!D13</f>
        <v>U6</v>
      </c>
      <c r="E10" s="119"/>
      <c r="F10" s="116"/>
      <c r="G10" s="121">
        <v>7</v>
      </c>
      <c r="H10" s="40" t="str">
        <f>'SAMEDI 9h30 Présence'!C33</f>
        <v>PEREIRA LELIEVRE Nino</v>
      </c>
      <c r="I10" s="40" t="str">
        <f>'SAMEDI 9h30 Présence'!D33</f>
        <v>U7</v>
      </c>
      <c r="J10" s="119"/>
      <c r="K10" s="116"/>
      <c r="L10" s="121">
        <v>7</v>
      </c>
      <c r="M10" s="40" t="str">
        <f>'SAMEDI 9h30 Présence'!C53</f>
        <v>UMAIR Yousaf</v>
      </c>
      <c r="N10" s="40" t="str">
        <f>'SAMEDI 9h30 Présence'!D53</f>
        <v>U9</v>
      </c>
    </row>
    <row r="11" spans="1:14">
      <c r="A11" s="116"/>
      <c r="B11" s="121">
        <v>8</v>
      </c>
      <c r="C11" s="61" t="str">
        <f>'SAMEDI 9h30 Présence'!C14</f>
        <v>MARTIN Lonni</v>
      </c>
      <c r="D11" s="61" t="str">
        <f>'SAMEDI 9h30 Présence'!D14</f>
        <v>U6</v>
      </c>
      <c r="E11" s="119"/>
      <c r="F11" s="116"/>
      <c r="G11" s="121">
        <v>8</v>
      </c>
      <c r="H11" s="40" t="str">
        <f>'SAMEDI 9h30 Présence'!C34</f>
        <v>ALIAHMAD Karl</v>
      </c>
      <c r="I11" s="40" t="str">
        <f>'SAMEDI 9h30 Présence'!D34</f>
        <v>U8</v>
      </c>
      <c r="J11" s="119"/>
      <c r="K11" s="116"/>
      <c r="L11" s="121">
        <v>8</v>
      </c>
      <c r="M11" s="40" t="str">
        <f>'SAMEDI 9h30 Présence'!C54</f>
        <v xml:space="preserve">LAGSSAIR Zakaria </v>
      </c>
      <c r="N11" s="40" t="str">
        <f>'SAMEDI 9h30 Présence'!D54</f>
        <v>U9</v>
      </c>
    </row>
    <row r="12" spans="1:14">
      <c r="A12" s="116"/>
      <c r="B12" s="121">
        <v>9</v>
      </c>
      <c r="C12" s="61" t="str">
        <f>'SAMEDI 9h30 Présence'!C15</f>
        <v>BEN MAHMOUD Aylan</v>
      </c>
      <c r="D12" s="61" t="str">
        <f>'SAMEDI 9h30 Présence'!D15</f>
        <v>U6</v>
      </c>
      <c r="E12" s="119"/>
      <c r="F12" s="41"/>
      <c r="G12" s="121">
        <v>9</v>
      </c>
      <c r="H12" s="40" t="str">
        <f>'SAMEDI 9h30 Présence'!C35</f>
        <v>CASENAVE Gabriel</v>
      </c>
      <c r="I12" s="40" t="str">
        <f>'SAMEDI 9h30 Présence'!D35</f>
        <v>U8</v>
      </c>
      <c r="J12" s="119"/>
      <c r="K12" s="41"/>
      <c r="L12" s="121">
        <v>9</v>
      </c>
      <c r="M12" s="40" t="str">
        <f>'SAMEDI 9h30 Présence'!C55</f>
        <v>FERNANDES DOS REIS Luan</v>
      </c>
      <c r="N12" s="40" t="str">
        <f>'SAMEDI 9h30 Présence'!D55</f>
        <v>U9</v>
      </c>
    </row>
    <row r="13" spans="1:14">
      <c r="A13" s="116"/>
      <c r="B13" s="121">
        <v>10</v>
      </c>
      <c r="C13" s="61" t="str">
        <f>'SAMEDI 9h30 Présence'!C16</f>
        <v>FONTAINE Aaron</v>
      </c>
      <c r="D13" s="61" t="str">
        <f>'SAMEDI 9h30 Présence'!D16</f>
        <v>U7</v>
      </c>
      <c r="E13" s="119"/>
      <c r="F13" s="41"/>
      <c r="G13" s="121">
        <v>10</v>
      </c>
      <c r="H13" s="40" t="str">
        <f>'SAMEDI 9h30 Présence'!C36</f>
        <v>PARASCANDOLO Leonardo</v>
      </c>
      <c r="I13" s="40" t="str">
        <f>'SAMEDI 9h30 Présence'!D36</f>
        <v>U8</v>
      </c>
      <c r="J13" s="119"/>
      <c r="K13" s="41"/>
      <c r="L13" s="121">
        <v>10</v>
      </c>
      <c r="M13" s="40" t="str">
        <f>'SAMEDI 9h30 Présence'!C56</f>
        <v>DABBAJI Ayoub</v>
      </c>
      <c r="N13" s="40" t="str">
        <f>'SAMEDI 9h30 Présence'!D56</f>
        <v>U9</v>
      </c>
    </row>
    <row r="14" spans="1:14">
      <c r="A14" s="116"/>
      <c r="B14" s="121">
        <v>11</v>
      </c>
      <c r="C14" s="61" t="str">
        <f>'SAMEDI 9h30 Présence'!C17</f>
        <v>FONTAINE Erwan</v>
      </c>
      <c r="D14" s="61" t="str">
        <f>'SAMEDI 9h30 Présence'!D17</f>
        <v>U7</v>
      </c>
      <c r="E14" s="119"/>
      <c r="F14" s="41"/>
      <c r="G14" s="121">
        <v>11</v>
      </c>
      <c r="H14" s="40" t="str">
        <f>'SAMEDI 9h30 Présence'!C37</f>
        <v>OUTASGA Adam</v>
      </c>
      <c r="I14" s="40" t="str">
        <f>'SAMEDI 9h30 Présence'!D37</f>
        <v>U8</v>
      </c>
      <c r="J14" s="119"/>
      <c r="K14" s="41"/>
      <c r="L14" s="121">
        <v>11</v>
      </c>
      <c r="M14" s="40" t="str">
        <f>'SAMEDI 9h30 Présence'!C57</f>
        <v>PUJOL Timéo</v>
      </c>
      <c r="N14" s="40" t="str">
        <f>'SAMEDI 9h30 Présence'!D57</f>
        <v>U9</v>
      </c>
    </row>
    <row r="15" spans="1:14">
      <c r="A15" s="116"/>
      <c r="B15" s="121">
        <v>12</v>
      </c>
      <c r="C15" s="61" t="str">
        <f>'SAMEDI 9h30 Présence'!C18</f>
        <v>VIALETTE Eden</v>
      </c>
      <c r="D15" s="61" t="str">
        <f>'SAMEDI 9h30 Présence'!D18</f>
        <v>U7</v>
      </c>
      <c r="E15" s="119"/>
      <c r="F15" s="41"/>
      <c r="G15" s="121">
        <v>12</v>
      </c>
      <c r="H15" s="40" t="str">
        <f>'SAMEDI 9h30 Présence'!C38</f>
        <v>LEMAITRE FOLIOT Corentin</v>
      </c>
      <c r="I15" s="40" t="str">
        <f>'SAMEDI 9h30 Présence'!D38</f>
        <v>U8</v>
      </c>
      <c r="J15" s="119"/>
      <c r="K15" s="41"/>
      <c r="L15" s="121">
        <v>12</v>
      </c>
      <c r="M15" s="40" t="str">
        <f>'SAMEDI 9h30 Présence'!C58</f>
        <v>MIVEKANNIN Hugo</v>
      </c>
      <c r="N15" s="40" t="str">
        <f>'SAMEDI 9h30 Présence'!D58</f>
        <v>U9</v>
      </c>
    </row>
    <row r="16" spans="1:14">
      <c r="A16" s="116"/>
      <c r="B16" s="121">
        <v>13</v>
      </c>
      <c r="C16" s="61" t="str">
        <f>'SAMEDI 9h30 Présence'!C19</f>
        <v>ANTIC MOREAU Jules</v>
      </c>
      <c r="D16" s="61" t="str">
        <f>'SAMEDI 9h30 Présence'!D19</f>
        <v>U7</v>
      </c>
      <c r="E16" s="119"/>
      <c r="F16" s="41"/>
      <c r="G16" s="121">
        <v>13</v>
      </c>
      <c r="H16" s="40" t="str">
        <f>'SAMEDI 9h30 Présence'!C39</f>
        <v>SYLLA Rachid</v>
      </c>
      <c r="I16" s="40" t="str">
        <f>'SAMEDI 9h30 Présence'!D39</f>
        <v>U8</v>
      </c>
      <c r="J16" s="119"/>
      <c r="K16" s="41"/>
      <c r="L16" s="121">
        <v>13</v>
      </c>
      <c r="M16" s="40"/>
      <c r="N16" s="40"/>
    </row>
    <row r="17" spans="1:14">
      <c r="A17" s="116"/>
      <c r="B17" s="121">
        <v>14</v>
      </c>
      <c r="C17" s="61" t="str">
        <f>'SAMEDI 9h30 Présence'!C20</f>
        <v>AHITOUR Younes</v>
      </c>
      <c r="D17" s="61" t="str">
        <f>'SAMEDI 9h30 Présence'!D20</f>
        <v>U7</v>
      </c>
      <c r="E17" s="119"/>
      <c r="F17" s="41"/>
      <c r="G17" s="121">
        <v>14</v>
      </c>
      <c r="H17" s="40" t="str">
        <f>'SAMEDI 9h30 Présence'!C40</f>
        <v>YERANOSYAN Léo</v>
      </c>
      <c r="I17" s="40" t="str">
        <f>'SAMEDI 9h30 Présence'!D40</f>
        <v>U8</v>
      </c>
      <c r="J17" s="119"/>
      <c r="K17" s="41"/>
      <c r="L17" s="121">
        <v>14</v>
      </c>
      <c r="M17" s="40"/>
      <c r="N17" s="40"/>
    </row>
    <row r="18" spans="1:14">
      <c r="A18" s="116"/>
      <c r="B18" s="121">
        <v>15</v>
      </c>
      <c r="C18" s="61" t="str">
        <f>'SAMEDI 9h30 Présence'!C21</f>
        <v>EL MOADDAM Amjad</v>
      </c>
      <c r="D18" s="61" t="str">
        <f>'SAMEDI 9h30 Présence'!D21</f>
        <v>U7</v>
      </c>
      <c r="E18" s="119"/>
      <c r="F18" s="41"/>
      <c r="G18" s="121">
        <v>15</v>
      </c>
      <c r="H18" s="40" t="str">
        <f>'SAMEDI 9h30 Présence'!C41</f>
        <v>HAY Louka</v>
      </c>
      <c r="I18" s="40" t="str">
        <f>'SAMEDI 9h30 Présence'!D41</f>
        <v>U8</v>
      </c>
      <c r="J18" s="119"/>
      <c r="K18" s="41"/>
      <c r="L18" s="121">
        <v>15</v>
      </c>
      <c r="M18" s="40"/>
      <c r="N18" s="40"/>
    </row>
    <row r="19" spans="1:14">
      <c r="A19" s="116"/>
      <c r="B19" s="122">
        <v>16</v>
      </c>
      <c r="C19" s="61" t="str">
        <f>'SAMEDI 9h30 Présence'!C22</f>
        <v>HAMMAMI Hedi</v>
      </c>
      <c r="D19" s="61" t="str">
        <f>'SAMEDI 9h30 Présence'!D22</f>
        <v>U6</v>
      </c>
      <c r="E19" s="119"/>
      <c r="F19" s="41"/>
      <c r="G19" s="122">
        <v>16</v>
      </c>
      <c r="H19" s="40" t="str">
        <f>'SAMEDI 9h30 Présence'!C42</f>
        <v>DUBOIS LAMBERTINI Gaspard</v>
      </c>
      <c r="I19" s="40" t="str">
        <f>'SAMEDI 9h30 Présence'!D42</f>
        <v>U7</v>
      </c>
      <c r="J19" s="119"/>
      <c r="K19" s="41"/>
      <c r="L19" s="122">
        <v>16</v>
      </c>
      <c r="M19" s="40"/>
      <c r="N19" s="40"/>
    </row>
    <row r="20" spans="1:14" ht="18.75">
      <c r="A20" s="38"/>
      <c r="B20" s="118" t="s">
        <v>409</v>
      </c>
      <c r="C20" s="118"/>
      <c r="D20" s="118"/>
      <c r="E20" s="119"/>
      <c r="F20" s="41"/>
      <c r="G20" s="118" t="s">
        <v>410</v>
      </c>
      <c r="H20" s="118"/>
      <c r="I20" s="118"/>
      <c r="J20" s="119"/>
      <c r="K20" s="41"/>
      <c r="L20" s="118" t="s">
        <v>411</v>
      </c>
      <c r="M20" s="118"/>
      <c r="N20" s="118"/>
    </row>
    <row r="21" spans="1:14" ht="18.75">
      <c r="A21" s="38"/>
      <c r="B21" s="43"/>
      <c r="C21" s="123"/>
      <c r="D21" s="44"/>
      <c r="E21" s="119"/>
      <c r="F21" s="119"/>
      <c r="G21" s="119"/>
      <c r="H21" s="119"/>
      <c r="I21" s="119"/>
      <c r="J21" s="119"/>
      <c r="K21" s="119"/>
      <c r="L21" s="119"/>
      <c r="M21" s="123"/>
      <c r="N21" s="119"/>
    </row>
    <row r="22" spans="1:14">
      <c r="A22" s="119"/>
      <c r="B22" s="117" t="s">
        <v>412</v>
      </c>
      <c r="C22" s="117"/>
      <c r="D22" s="117"/>
      <c r="E22" s="119"/>
      <c r="F22" s="119"/>
      <c r="G22" s="117" t="s">
        <v>412</v>
      </c>
      <c r="H22" s="117"/>
      <c r="I22" s="117"/>
      <c r="J22" s="119"/>
      <c r="K22" s="119"/>
      <c r="L22" s="117" t="s">
        <v>412</v>
      </c>
      <c r="M22" s="117"/>
      <c r="N22" s="117"/>
    </row>
    <row r="23" spans="1:14" ht="15" customHeight="1">
      <c r="A23" s="116" t="s">
        <v>86</v>
      </c>
      <c r="B23" s="120">
        <v>1</v>
      </c>
      <c r="C23" s="45" t="str">
        <f>'SAMEDI 11h15 Présence'!C7</f>
        <v>DOYHARCABAL Andoni</v>
      </c>
      <c r="D23" s="45" t="str">
        <f>'SAMEDI 11h15 Présence'!D7</f>
        <v>U10</v>
      </c>
      <c r="E23" s="41"/>
      <c r="F23" s="116" t="s">
        <v>105</v>
      </c>
      <c r="G23" s="120">
        <v>1</v>
      </c>
      <c r="H23" s="42" t="str">
        <f>'SAMEDI 11h15 Présence'!C27</f>
        <v>DEVOS Adam</v>
      </c>
      <c r="I23" s="42" t="str">
        <f>'SAMEDI 11h15 Présence'!D27</f>
        <v>U11</v>
      </c>
      <c r="J23" s="119"/>
      <c r="K23" s="116" t="s">
        <v>157</v>
      </c>
      <c r="L23" s="120">
        <v>1</v>
      </c>
      <c r="M23" s="40" t="str">
        <f>'SAMEDI 11h15 Présence'!C47</f>
        <v>DORNEVAL Sami, Keyann</v>
      </c>
      <c r="N23" s="40" t="str">
        <f>'SAMEDI 11h15 Présence'!D47</f>
        <v>U13</v>
      </c>
    </row>
    <row r="24" spans="1:14">
      <c r="A24" s="116"/>
      <c r="B24" s="121">
        <v>2</v>
      </c>
      <c r="C24" s="45" t="str">
        <f>'SAMEDI 11h15 Présence'!C8</f>
        <v>ABOU LEYLA Youssef</v>
      </c>
      <c r="D24" s="45" t="str">
        <f>'SAMEDI 11h15 Présence'!D8</f>
        <v>U10</v>
      </c>
      <c r="E24" s="41"/>
      <c r="F24" s="116"/>
      <c r="G24" s="121">
        <v>2</v>
      </c>
      <c r="H24" s="42" t="str">
        <f>'SAMEDI 11h15 Présence'!C28</f>
        <v>RAMANANTSOA Nolan</v>
      </c>
      <c r="I24" s="42" t="str">
        <f>'SAMEDI 11h15 Présence'!D28</f>
        <v>U11</v>
      </c>
      <c r="J24" s="119"/>
      <c r="K24" s="116"/>
      <c r="L24" s="121">
        <v>2</v>
      </c>
      <c r="M24" s="40" t="str">
        <f>'SAMEDI 11h15 Présence'!C48</f>
        <v>ROBERT Rayan</v>
      </c>
      <c r="N24" s="40" t="str">
        <f>'SAMEDI 11h15 Présence'!D48</f>
        <v>U14</v>
      </c>
    </row>
    <row r="25" spans="1:14">
      <c r="A25" s="116"/>
      <c r="B25" s="121">
        <v>3</v>
      </c>
      <c r="C25" s="45" t="str">
        <f>'SAMEDI 11h15 Présence'!C9</f>
        <v>HAMZA Yanis</v>
      </c>
      <c r="D25" s="45" t="str">
        <f>'SAMEDI 11h15 Présence'!D9</f>
        <v>U10</v>
      </c>
      <c r="E25" s="41"/>
      <c r="F25" s="116"/>
      <c r="G25" s="121">
        <v>3</v>
      </c>
      <c r="H25" s="42" t="str">
        <f>'SAMEDI 11h15 Présence'!C29</f>
        <v>BLANCO Rayane</v>
      </c>
      <c r="I25" s="42" t="str">
        <f>'SAMEDI 11h15 Présence'!D29</f>
        <v>U11</v>
      </c>
      <c r="J25" s="119"/>
      <c r="K25" s="116"/>
      <c r="L25" s="121">
        <v>3</v>
      </c>
      <c r="M25" s="40" t="str">
        <f>'SAMEDI 11h15 Présence'!C49</f>
        <v>VAINQUEUR PERITA Jayden</v>
      </c>
      <c r="N25" s="40" t="str">
        <f>'SAMEDI 11h15 Présence'!D49</f>
        <v>U14</v>
      </c>
    </row>
    <row r="26" spans="1:14">
      <c r="A26" s="116"/>
      <c r="B26" s="121">
        <v>4</v>
      </c>
      <c r="C26" s="45" t="str">
        <f>'SAMEDI 11h15 Présence'!C10</f>
        <v>MEDALE Joaquim</v>
      </c>
      <c r="D26" s="45" t="str">
        <f>'SAMEDI 11h15 Présence'!D10</f>
        <v>U10</v>
      </c>
      <c r="E26" s="41"/>
      <c r="F26" s="116"/>
      <c r="G26" s="121">
        <v>4</v>
      </c>
      <c r="H26" s="42" t="str">
        <f>'SAMEDI 11h15 Présence'!C30</f>
        <v>CASTEL Emile</v>
      </c>
      <c r="I26" s="42" t="str">
        <f>'SAMEDI 11h15 Présence'!D30</f>
        <v>U11</v>
      </c>
      <c r="J26" s="119"/>
      <c r="K26" s="116"/>
      <c r="L26" s="121">
        <v>4</v>
      </c>
      <c r="M26" s="40" t="str">
        <f>'SAMEDI 11h15 Présence'!C50</f>
        <v>CEDON Gabriel</v>
      </c>
      <c r="N26" s="40" t="str">
        <f>'SAMEDI 11h15 Présence'!D50</f>
        <v>U14</v>
      </c>
    </row>
    <row r="27" spans="1:14">
      <c r="A27" s="116"/>
      <c r="B27" s="121">
        <v>5</v>
      </c>
      <c r="C27" s="45" t="str">
        <f>'SAMEDI 11h15 Présence'!C11</f>
        <v>AFCHARD MONTAIGNE Victor</v>
      </c>
      <c r="D27" s="45" t="str">
        <f>'SAMEDI 11h15 Présence'!D11</f>
        <v>U10</v>
      </c>
      <c r="E27" s="41"/>
      <c r="F27" s="116"/>
      <c r="G27" s="121">
        <v>5</v>
      </c>
      <c r="H27" s="42" t="str">
        <f>'SAMEDI 11h15 Présence'!C31</f>
        <v>LEPREUX Louis</v>
      </c>
      <c r="I27" s="42" t="str">
        <f>'SAMEDI 11h15 Présence'!D31</f>
        <v>U12</v>
      </c>
      <c r="J27" s="119"/>
      <c r="K27" s="116"/>
      <c r="L27" s="121">
        <v>5</v>
      </c>
      <c r="M27" s="40" t="str">
        <f>'SAMEDI 11h15 Présence'!C51</f>
        <v>BIABIANY Soan</v>
      </c>
      <c r="N27" s="40" t="str">
        <f>'SAMEDI 11h15 Présence'!D51</f>
        <v>U14</v>
      </c>
    </row>
    <row r="28" spans="1:14">
      <c r="A28" s="116"/>
      <c r="B28" s="121">
        <v>6</v>
      </c>
      <c r="C28" s="45" t="str">
        <f>'SAMEDI 11h15 Présence'!C12</f>
        <v>DZIEDZIC Théo</v>
      </c>
      <c r="D28" s="45" t="str">
        <f>'SAMEDI 11h15 Présence'!D12</f>
        <v>U10</v>
      </c>
      <c r="E28" s="41"/>
      <c r="F28" s="116"/>
      <c r="G28" s="121">
        <v>6</v>
      </c>
      <c r="H28" s="42" t="str">
        <f>'SAMEDI 11h15 Présence'!C32</f>
        <v>FAGOO DOREMUS Nolan</v>
      </c>
      <c r="I28" s="42" t="str">
        <f>'SAMEDI 11h15 Présence'!D32</f>
        <v>U12</v>
      </c>
      <c r="J28" s="119"/>
      <c r="K28" s="116"/>
      <c r="L28" s="121">
        <v>6</v>
      </c>
      <c r="M28" s="40" t="str">
        <f>'SAMEDI 11h15 Présence'!C52</f>
        <v>XILLO Luca</v>
      </c>
      <c r="N28" s="40" t="str">
        <f>'SAMEDI 11h15 Présence'!D52</f>
        <v>U14</v>
      </c>
    </row>
    <row r="29" spans="1:14">
      <c r="A29" s="116"/>
      <c r="B29" s="121">
        <v>7</v>
      </c>
      <c r="C29" s="45" t="str">
        <f>'SAMEDI 11h15 Présence'!C13</f>
        <v>CAMY Simon</v>
      </c>
      <c r="D29" s="45" t="str">
        <f>'SAMEDI 11h15 Présence'!D13</f>
        <v>U10</v>
      </c>
      <c r="E29" s="41"/>
      <c r="F29" s="116"/>
      <c r="G29" s="121">
        <v>7</v>
      </c>
      <c r="H29" s="42" t="str">
        <f>'SAMEDI 11h15 Présence'!C33</f>
        <v>ALBERT Kenan</v>
      </c>
      <c r="I29" s="42" t="str">
        <f>'SAMEDI 11h15 Présence'!D33</f>
        <v>U12</v>
      </c>
      <c r="J29" s="119"/>
      <c r="K29" s="116"/>
      <c r="L29" s="121">
        <v>7</v>
      </c>
      <c r="M29" s="40" t="str">
        <f>'SAMEDI 11h15 Présence'!C53</f>
        <v>MAMRO Gustavo</v>
      </c>
      <c r="N29" s="40" t="str">
        <f>'SAMEDI 11h15 Présence'!D53</f>
        <v>U14</v>
      </c>
    </row>
    <row r="30" spans="1:14">
      <c r="A30" s="116"/>
      <c r="B30" s="121">
        <v>8</v>
      </c>
      <c r="C30" s="45" t="str">
        <f>'SAMEDI 11h15 Présence'!C14</f>
        <v>RENJITH Ritwik</v>
      </c>
      <c r="D30" s="45" t="str">
        <f>'SAMEDI 11h15 Présence'!D14</f>
        <v>U10</v>
      </c>
      <c r="E30" s="41"/>
      <c r="F30" s="116"/>
      <c r="G30" s="121">
        <v>8</v>
      </c>
      <c r="H30" s="42" t="str">
        <f>'SAMEDI 11h15 Présence'!C34</f>
        <v>ABOU LEYA Adam</v>
      </c>
      <c r="I30" s="42" t="str">
        <f>'SAMEDI 11h15 Présence'!D34</f>
        <v>U12</v>
      </c>
      <c r="J30" s="119"/>
      <c r="K30" s="116"/>
      <c r="L30" s="121">
        <v>8</v>
      </c>
      <c r="M30" s="40" t="str">
        <f>'SAMEDI 11h15 Présence'!C54</f>
        <v>SABATTIER Théo</v>
      </c>
      <c r="N30" s="40" t="str">
        <f>'SAMEDI 11h15 Présence'!D54</f>
        <v>U15</v>
      </c>
    </row>
    <row r="31" spans="1:14">
      <c r="A31" s="38"/>
      <c r="B31" s="121">
        <v>9</v>
      </c>
      <c r="C31" s="45" t="str">
        <f>'SAMEDI 11h15 Présence'!C15</f>
        <v>CALSAT Abel</v>
      </c>
      <c r="D31" s="45" t="str">
        <f>'SAMEDI 11h15 Présence'!D15</f>
        <v>U10</v>
      </c>
      <c r="E31" s="41"/>
      <c r="F31" s="41"/>
      <c r="G31" s="121">
        <v>9</v>
      </c>
      <c r="H31" s="42" t="str">
        <f>'SAMEDI 11h15 Présence'!C35</f>
        <v>GRANFILS Stanislas</v>
      </c>
      <c r="I31" s="42" t="str">
        <f>'SAMEDI 11h15 Présence'!D35</f>
        <v>U12</v>
      </c>
      <c r="J31" s="119"/>
      <c r="K31" s="41"/>
      <c r="L31" s="121">
        <v>9</v>
      </c>
      <c r="M31" s="40" t="str">
        <f>'SAMEDI 11h15 Présence'!C55</f>
        <v>NOTTOLI Oscar</v>
      </c>
      <c r="N31" s="40" t="str">
        <f>'SAMEDI 11h15 Présence'!D55</f>
        <v>U15</v>
      </c>
    </row>
    <row r="32" spans="1:14">
      <c r="A32" s="38"/>
      <c r="B32" s="121">
        <v>10</v>
      </c>
      <c r="C32" s="45" t="str">
        <f>'SAMEDI 11h15 Présence'!C16</f>
        <v>AHMED Khalil</v>
      </c>
      <c r="D32" s="45" t="str">
        <f>'SAMEDI 11h15 Présence'!D16</f>
        <v>U10</v>
      </c>
      <c r="E32" s="41"/>
      <c r="F32" s="41"/>
      <c r="G32" s="121">
        <v>10</v>
      </c>
      <c r="H32" s="42" t="str">
        <f>'SAMEDI 11h15 Présence'!C36</f>
        <v>MAGOSSOU Melphy Antoine</v>
      </c>
      <c r="I32" s="42" t="str">
        <f>'SAMEDI 11h15 Présence'!D36</f>
        <v>U12</v>
      </c>
      <c r="J32" s="119"/>
      <c r="K32" s="41"/>
      <c r="L32" s="121">
        <v>10</v>
      </c>
      <c r="M32" s="40" t="str">
        <f>'SAMEDI 11h15 Présence'!C56</f>
        <v>CATIER Antoine</v>
      </c>
      <c r="N32" s="40" t="str">
        <f>'SAMEDI 11h15 Présence'!D56</f>
        <v>U15</v>
      </c>
    </row>
    <row r="33" spans="1:17">
      <c r="A33" s="38"/>
      <c r="B33" s="121">
        <v>11</v>
      </c>
      <c r="C33" s="45" t="str">
        <f>'SAMEDI 11h15 Présence'!C17</f>
        <v>MECALIFF BERTRAND Martin</v>
      </c>
      <c r="D33" s="45" t="str">
        <f>'SAMEDI 11h15 Présence'!D17</f>
        <v>U10</v>
      </c>
      <c r="E33" s="41"/>
      <c r="F33" s="41"/>
      <c r="G33" s="121">
        <v>11</v>
      </c>
      <c r="H33" s="42" t="str">
        <f>'SAMEDI 11h15 Présence'!C37</f>
        <v>BERTHELOT Adel</v>
      </c>
      <c r="I33" s="42" t="str">
        <f>'SAMEDI 11h15 Présence'!D37</f>
        <v>U12</v>
      </c>
      <c r="J33" s="119"/>
      <c r="K33" s="41"/>
      <c r="L33" s="121">
        <v>11</v>
      </c>
      <c r="M33" s="40" t="str">
        <f>'SAMEDI 11h15 Présence'!C57</f>
        <v>LATHIERE Raphaël</v>
      </c>
      <c r="N33" s="40" t="str">
        <f>'SAMEDI 11h15 Présence'!D57</f>
        <v>U15</v>
      </c>
    </row>
    <row r="34" spans="1:17">
      <c r="A34" s="38"/>
      <c r="B34" s="121">
        <v>12</v>
      </c>
      <c r="C34" s="45"/>
      <c r="D34" s="45"/>
      <c r="E34" s="41"/>
      <c r="F34" s="41"/>
      <c r="G34" s="121">
        <v>12</v>
      </c>
      <c r="H34" s="42" t="str">
        <f>'SAMEDI 11h15 Présence'!C38</f>
        <v>BREHAULT Camille</v>
      </c>
      <c r="I34" s="42" t="str">
        <f>'SAMEDI 11h15 Présence'!D38</f>
        <v>U12</v>
      </c>
      <c r="J34" s="119"/>
      <c r="K34" s="41"/>
      <c r="L34" s="121">
        <v>12</v>
      </c>
      <c r="M34" s="40" t="str">
        <f>'SAMEDI 11h15 Présence'!C58</f>
        <v>BEDES Hugo</v>
      </c>
      <c r="N34" s="40" t="str">
        <f>'SAMEDI 11h15 Présence'!D58</f>
        <v>U15</v>
      </c>
    </row>
    <row r="35" spans="1:17">
      <c r="A35" s="38"/>
      <c r="B35" s="121">
        <v>13</v>
      </c>
      <c r="C35" s="45"/>
      <c r="D35" s="45"/>
      <c r="E35" s="41"/>
      <c r="F35" s="41"/>
      <c r="G35" s="121">
        <v>13</v>
      </c>
      <c r="H35" s="42" t="str">
        <f>'SAMEDI 11h15 Présence'!C39</f>
        <v>DELCROIX Raphaël</v>
      </c>
      <c r="I35" s="42" t="str">
        <f>'SAMEDI 11h15 Présence'!D39</f>
        <v>U13</v>
      </c>
      <c r="J35" s="119"/>
      <c r="K35" s="41"/>
      <c r="L35" s="121">
        <v>13</v>
      </c>
      <c r="M35" s="40" t="str">
        <f>'SAMEDI 11h15 Présence'!C59</f>
        <v>PASTOR Paul Auguste</v>
      </c>
      <c r="N35" s="40" t="str">
        <f>'SAMEDI 11h15 Présence'!D59</f>
        <v>U15</v>
      </c>
    </row>
    <row r="36" spans="1:17">
      <c r="A36" s="38"/>
      <c r="B36" s="121">
        <v>14</v>
      </c>
      <c r="C36" s="45"/>
      <c r="D36" s="45"/>
      <c r="E36" s="41"/>
      <c r="F36" s="41"/>
      <c r="G36" s="121">
        <v>14</v>
      </c>
      <c r="H36" s="42" t="str">
        <f>'SAMEDI 11h15 Présence'!C40</f>
        <v>VACHON LAFFORGUE Matthieu</v>
      </c>
      <c r="I36" s="42" t="str">
        <f>'SAMEDI 11h15 Présence'!D40</f>
        <v>U13</v>
      </c>
      <c r="J36" s="119"/>
      <c r="K36" s="41"/>
      <c r="L36" s="121">
        <v>14</v>
      </c>
      <c r="M36" s="40" t="str">
        <f>'SAMEDI 11h15 Présence'!C60</f>
        <v>ROSSEL Elvis</v>
      </c>
      <c r="N36" s="40" t="str">
        <f>'SAMEDI 11h15 Présence'!D60</f>
        <v>U15</v>
      </c>
    </row>
    <row r="37" spans="1:17">
      <c r="A37" s="38"/>
      <c r="B37" s="121">
        <v>15</v>
      </c>
      <c r="C37" s="45"/>
      <c r="D37" s="45"/>
      <c r="E37" s="41"/>
      <c r="F37" s="41"/>
      <c r="G37" s="121">
        <v>15</v>
      </c>
      <c r="H37" s="42"/>
      <c r="I37" s="42"/>
      <c r="J37" s="119"/>
      <c r="K37" s="41"/>
      <c r="L37" s="121">
        <v>15</v>
      </c>
      <c r="M37" s="40" t="str">
        <f>'SAMEDI 11h15 Présence'!C61</f>
        <v>MCCOMB LEGER Marley</v>
      </c>
      <c r="N37" s="40" t="str">
        <f>'SAMEDI 11h15 Présence'!D61</f>
        <v>U14</v>
      </c>
    </row>
    <row r="38" spans="1:17">
      <c r="A38" s="38"/>
      <c r="B38" s="122">
        <v>16</v>
      </c>
      <c r="C38" s="45"/>
      <c r="D38" s="45"/>
      <c r="E38" s="41"/>
      <c r="F38" s="41"/>
      <c r="G38" s="122">
        <v>16</v>
      </c>
      <c r="H38" s="42"/>
      <c r="I38" s="42"/>
      <c r="J38" s="119"/>
      <c r="K38" s="41"/>
      <c r="L38" s="122">
        <v>16</v>
      </c>
      <c r="M38" s="40"/>
      <c r="N38" s="40"/>
    </row>
    <row r="39" spans="1:17" ht="18.75">
      <c r="A39" s="38"/>
      <c r="B39" s="118" t="s">
        <v>413</v>
      </c>
      <c r="C39" s="118"/>
      <c r="D39" s="118"/>
      <c r="E39" s="41"/>
      <c r="F39" s="41"/>
      <c r="G39" s="118" t="s">
        <v>414</v>
      </c>
      <c r="H39" s="118"/>
      <c r="I39" s="118"/>
      <c r="J39" s="119"/>
      <c r="K39" s="41"/>
      <c r="L39" s="118" t="s">
        <v>411</v>
      </c>
      <c r="M39" s="118"/>
      <c r="N39" s="118"/>
    </row>
    <row r="40" spans="1:17">
      <c r="A40" s="41"/>
      <c r="B40" s="38"/>
      <c r="C40" s="119"/>
      <c r="D40" s="119"/>
      <c r="E40" s="41"/>
      <c r="F40" s="41"/>
      <c r="G40" s="41"/>
      <c r="H40" s="123"/>
      <c r="I40" s="41"/>
      <c r="J40" s="41"/>
      <c r="K40" s="41"/>
      <c r="L40" s="41"/>
      <c r="M40" s="41"/>
      <c r="N40" s="119"/>
    </row>
    <row r="41" spans="1:17">
      <c r="A41" s="119"/>
      <c r="B41" s="117" t="s">
        <v>415</v>
      </c>
      <c r="C41" s="117"/>
      <c r="D41" s="117"/>
      <c r="E41" s="119"/>
      <c r="F41" s="119"/>
      <c r="G41" s="117" t="s">
        <v>415</v>
      </c>
      <c r="H41" s="117"/>
      <c r="I41" s="117"/>
      <c r="J41" s="119"/>
      <c r="K41" s="119"/>
      <c r="L41" s="117" t="s">
        <v>401</v>
      </c>
      <c r="M41" s="117"/>
      <c r="N41" s="117"/>
      <c r="O41" s="119"/>
      <c r="P41" s="119"/>
      <c r="Q41" s="119"/>
    </row>
    <row r="42" spans="1:17" ht="15" customHeight="1">
      <c r="A42" s="116" t="s">
        <v>86</v>
      </c>
      <c r="B42" s="120">
        <v>1</v>
      </c>
      <c r="C42" s="45" t="str">
        <f>'SAMEDI 14h00 Présence'!C7</f>
        <v>NOUNEMA Nassim haroun</v>
      </c>
      <c r="D42" s="45" t="str">
        <f>'SAMEDI 14h00 Présence'!D7</f>
        <v>U6</v>
      </c>
      <c r="E42" s="41"/>
      <c r="F42" s="116" t="s">
        <v>105</v>
      </c>
      <c r="G42" s="120">
        <v>1</v>
      </c>
      <c r="H42" s="42" t="str">
        <f>'SAMEDI 14h00 Présence'!C27</f>
        <v>BARRY Oumar Sinden</v>
      </c>
      <c r="I42" s="42" t="str">
        <f>'SAMEDI 14h00 Présence'!D27</f>
        <v>U8</v>
      </c>
      <c r="J42" s="119"/>
      <c r="K42" s="119"/>
      <c r="L42" s="120">
        <v>1</v>
      </c>
      <c r="M42" s="42" t="str">
        <f>'SAMEDI 15h45 Présence'!C7</f>
        <v>FOUTY Samuel</v>
      </c>
      <c r="N42" s="42" t="str">
        <f>'SAMEDI 15h45 Présence'!D7</f>
        <v>U10</v>
      </c>
      <c r="O42" s="119"/>
      <c r="P42" s="119"/>
      <c r="Q42" s="119"/>
    </row>
    <row r="43" spans="1:17" ht="15" customHeight="1">
      <c r="A43" s="116"/>
      <c r="B43" s="121">
        <v>2</v>
      </c>
      <c r="C43" s="45" t="str">
        <f>'SAMEDI 14h00 Présence'!C8</f>
        <v>ZIANI Wael</v>
      </c>
      <c r="D43" s="45" t="str">
        <f>'SAMEDI 14h00 Présence'!D8</f>
        <v>U6</v>
      </c>
      <c r="E43" s="41"/>
      <c r="F43" s="116"/>
      <c r="G43" s="121">
        <v>2</v>
      </c>
      <c r="H43" s="42" t="str">
        <f>'SAMEDI 14h00 Présence'!C28</f>
        <v>KABOU Léon-Louis</v>
      </c>
      <c r="I43" s="42" t="str">
        <f>'SAMEDI 14h00 Présence'!D28</f>
        <v>U8</v>
      </c>
      <c r="J43" s="119"/>
      <c r="K43" s="119"/>
      <c r="L43" s="121">
        <v>2</v>
      </c>
      <c r="M43" s="42" t="str">
        <f>'SAMEDI 15h45 Présence'!C8</f>
        <v>RAOUX Mélan</v>
      </c>
      <c r="N43" s="42" t="str">
        <f>'SAMEDI 15h45 Présence'!D8</f>
        <v>U10</v>
      </c>
      <c r="O43" s="119"/>
      <c r="P43" s="119"/>
      <c r="Q43" s="119"/>
    </row>
    <row r="44" spans="1:17">
      <c r="A44" s="116"/>
      <c r="B44" s="121">
        <v>3</v>
      </c>
      <c r="C44" s="45" t="str">
        <f>'SAMEDI 14h00 Présence'!C9</f>
        <v>ALKALMA OUAHI Karam</v>
      </c>
      <c r="D44" s="45" t="str">
        <f>'SAMEDI 14h00 Présence'!D9</f>
        <v>U7</v>
      </c>
      <c r="E44" s="41"/>
      <c r="F44" s="116"/>
      <c r="G44" s="121">
        <v>3</v>
      </c>
      <c r="H44" s="42" t="str">
        <f>'SAMEDI 14h00 Présence'!C29</f>
        <v>DEVJE Nesta</v>
      </c>
      <c r="I44" s="42" t="str">
        <f>'SAMEDI 14h00 Présence'!D29</f>
        <v>U8</v>
      </c>
      <c r="J44" s="119"/>
      <c r="K44" s="119"/>
      <c r="L44" s="121">
        <v>3</v>
      </c>
      <c r="M44" s="42" t="str">
        <f>'SAMEDI 15h45 Présence'!C9</f>
        <v>RODRIGUEZ Clément</v>
      </c>
      <c r="N44" s="42" t="str">
        <f>'SAMEDI 15h45 Présence'!D9</f>
        <v>U11</v>
      </c>
      <c r="O44" s="119"/>
      <c r="P44" s="119"/>
      <c r="Q44" s="119"/>
    </row>
    <row r="45" spans="1:17">
      <c r="A45" s="116"/>
      <c r="B45" s="121">
        <v>4</v>
      </c>
      <c r="C45" s="45" t="str">
        <f>'SAMEDI 14h00 Présence'!C10</f>
        <v>SOULA DROUET Léo (changement ?)</v>
      </c>
      <c r="D45" s="45" t="str">
        <f>'SAMEDI 14h00 Présence'!D10</f>
        <v>U7</v>
      </c>
      <c r="E45" s="41"/>
      <c r="F45" s="116"/>
      <c r="G45" s="121">
        <v>4</v>
      </c>
      <c r="H45" s="42" t="str">
        <f>'SAMEDI 14h00 Présence'!C30</f>
        <v>BEN NACEUR Nael</v>
      </c>
      <c r="I45" s="42" t="str">
        <f>'SAMEDI 14h00 Présence'!D30</f>
        <v>U8</v>
      </c>
      <c r="J45" s="119"/>
      <c r="K45" s="119"/>
      <c r="L45" s="121">
        <v>4</v>
      </c>
      <c r="M45" s="42" t="str">
        <f>'SAMEDI 15h45 Présence'!C10</f>
        <v>RODRIGUEZ Juan</v>
      </c>
      <c r="N45" s="42" t="str">
        <f>'SAMEDI 15h45 Présence'!D10</f>
        <v>U11</v>
      </c>
      <c r="O45" s="119"/>
      <c r="P45" s="119"/>
      <c r="Q45" s="119"/>
    </row>
    <row r="46" spans="1:17">
      <c r="A46" s="116"/>
      <c r="B46" s="121">
        <v>5</v>
      </c>
      <c r="C46" s="45" t="str">
        <f>'SAMEDI 14h00 Présence'!C11</f>
        <v>ROQUES Gaspard</v>
      </c>
      <c r="D46" s="45" t="str">
        <f>'SAMEDI 14h00 Présence'!D11</f>
        <v>U7</v>
      </c>
      <c r="E46" s="41"/>
      <c r="F46" s="116"/>
      <c r="G46" s="121">
        <v>5</v>
      </c>
      <c r="H46" s="42" t="str">
        <f>'SAMEDI 14h00 Présence'!C31</f>
        <v>KAID Omar</v>
      </c>
      <c r="I46" s="42" t="str">
        <f>'SAMEDI 14h00 Présence'!D31</f>
        <v>U8</v>
      </c>
      <c r="J46" s="119"/>
      <c r="K46" s="119"/>
      <c r="L46" s="121">
        <v>5</v>
      </c>
      <c r="M46" s="42" t="str">
        <f>'SAMEDI 15h45 Présence'!C11</f>
        <v>BOUTEFFAH Benaouda</v>
      </c>
      <c r="N46" s="42" t="str">
        <f>'SAMEDI 15h45 Présence'!D11</f>
        <v>U11</v>
      </c>
      <c r="O46" s="119"/>
      <c r="P46" s="119"/>
      <c r="Q46" s="119"/>
    </row>
    <row r="47" spans="1:17">
      <c r="A47" s="116"/>
      <c r="B47" s="121">
        <v>6</v>
      </c>
      <c r="C47" s="45" t="str">
        <f>'SAMEDI 14h00 Présence'!C12</f>
        <v>SYED Adem</v>
      </c>
      <c r="D47" s="45" t="str">
        <f>'SAMEDI 14h00 Présence'!D12</f>
        <v>U7</v>
      </c>
      <c r="E47" s="41"/>
      <c r="F47" s="116"/>
      <c r="G47" s="121">
        <v>6</v>
      </c>
      <c r="H47" s="42" t="str">
        <f>'SAMEDI 14h00 Présence'!C32</f>
        <v>NDECKY Namaar</v>
      </c>
      <c r="I47" s="42" t="str">
        <f>'SAMEDI 14h00 Présence'!D32</f>
        <v>U8</v>
      </c>
      <c r="J47" s="119"/>
      <c r="K47" s="119"/>
      <c r="L47" s="121">
        <v>6</v>
      </c>
      <c r="M47" s="42" t="str">
        <f>'SAMEDI 15h45 Présence'!C12</f>
        <v>AYENOUE Ezéchiel</v>
      </c>
      <c r="N47" s="42" t="str">
        <f>'SAMEDI 15h45 Présence'!D12</f>
        <v>U12</v>
      </c>
      <c r="O47" s="119"/>
      <c r="P47" s="119"/>
      <c r="Q47" s="119"/>
    </row>
    <row r="48" spans="1:17">
      <c r="A48" s="116"/>
      <c r="B48" s="121">
        <v>7</v>
      </c>
      <c r="C48" s="45" t="str">
        <f>'SAMEDI 14h00 Présence'!C13</f>
        <v>ABID Zayn</v>
      </c>
      <c r="D48" s="45" t="str">
        <f>'SAMEDI 14h00 Présence'!D13</f>
        <v>U7</v>
      </c>
      <c r="E48" s="41"/>
      <c r="F48" s="116"/>
      <c r="G48" s="121">
        <v>7</v>
      </c>
      <c r="H48" s="42" t="str">
        <f>'SAMEDI 14h00 Présence'!C33</f>
        <v>AGUERSSIF Celyan</v>
      </c>
      <c r="I48" s="42" t="str">
        <f>'SAMEDI 14h00 Présence'!D33</f>
        <v>U9</v>
      </c>
      <c r="J48" s="119"/>
      <c r="K48" s="119"/>
      <c r="L48" s="121">
        <v>7</v>
      </c>
      <c r="M48" s="42" t="str">
        <f>'SAMEDI 15h45 Présence'!C13</f>
        <v>LAGIER Joshua</v>
      </c>
      <c r="N48" s="42" t="str">
        <f>'SAMEDI 15h45 Présence'!D13</f>
        <v>U13</v>
      </c>
      <c r="O48" s="119"/>
      <c r="P48" s="119"/>
      <c r="Q48" s="119"/>
    </row>
    <row r="49" spans="1:17">
      <c r="A49" s="116"/>
      <c r="B49" s="121">
        <v>8</v>
      </c>
      <c r="C49" s="45" t="str">
        <f>'SAMEDI 14h00 Présence'!C14</f>
        <v>BOUTEFFAH Abdelkader</v>
      </c>
      <c r="D49" s="45" t="str">
        <f>'SAMEDI 14h00 Présence'!D14</f>
        <v>U7</v>
      </c>
      <c r="E49" s="41"/>
      <c r="F49" s="116"/>
      <c r="G49" s="121">
        <v>8</v>
      </c>
      <c r="H49" s="42" t="str">
        <f>'SAMEDI 14h00 Présence'!C34</f>
        <v>ROSSI LE CAMUS Camille</v>
      </c>
      <c r="I49" s="42" t="str">
        <f>'SAMEDI 14h00 Présence'!D34</f>
        <v>U9</v>
      </c>
      <c r="J49" s="119"/>
      <c r="K49" s="119"/>
      <c r="L49" s="121">
        <v>8</v>
      </c>
      <c r="M49" s="42" t="str">
        <f>'SAMEDI 15h45 Présence'!C14</f>
        <v>EDALLAL Rayan</v>
      </c>
      <c r="N49" s="42" t="str">
        <f>'SAMEDI 15h45 Présence'!D14</f>
        <v>U13</v>
      </c>
      <c r="O49" s="119"/>
      <c r="P49" s="119"/>
      <c r="Q49" s="119"/>
    </row>
    <row r="50" spans="1:17">
      <c r="A50" s="38"/>
      <c r="B50" s="121">
        <v>9</v>
      </c>
      <c r="C50" s="45" t="str">
        <f>'SAMEDI 14h00 Présence'!C15</f>
        <v>GONZALEZ Guilhem Pau</v>
      </c>
      <c r="D50" s="45" t="str">
        <f>'SAMEDI 14h00 Présence'!D15</f>
        <v>U7</v>
      </c>
      <c r="E50" s="41"/>
      <c r="F50" s="41"/>
      <c r="G50" s="121">
        <v>9</v>
      </c>
      <c r="H50" s="42" t="str">
        <f>'SAMEDI 14h00 Présence'!C35</f>
        <v>GONZALEZ Emilio (changement ?)</v>
      </c>
      <c r="I50" s="42" t="str">
        <f>'SAMEDI 14h00 Présence'!D35</f>
        <v>U9</v>
      </c>
      <c r="J50" s="119"/>
      <c r="K50" s="119"/>
      <c r="L50" s="121">
        <v>9</v>
      </c>
      <c r="M50" s="42" t="str">
        <f>'SAMEDI 15h45 Présence'!C15</f>
        <v>AYENOUE Denis-Alexandre</v>
      </c>
      <c r="N50" s="42" t="str">
        <f>'SAMEDI 15h45 Présence'!D15</f>
        <v>U14</v>
      </c>
      <c r="O50" s="119"/>
      <c r="P50" s="119"/>
      <c r="Q50" s="119"/>
    </row>
    <row r="51" spans="1:17">
      <c r="A51" s="38"/>
      <c r="B51" s="121">
        <v>10</v>
      </c>
      <c r="C51" s="45" t="str">
        <f>'SAMEDI 14h00 Présence'!C16</f>
        <v>HAMADI Teym</v>
      </c>
      <c r="D51" s="45" t="str">
        <f>'SAMEDI 14h00 Présence'!D16</f>
        <v>U6</v>
      </c>
      <c r="E51" s="41"/>
      <c r="F51" s="41"/>
      <c r="G51" s="121">
        <v>10</v>
      </c>
      <c r="H51" s="42" t="str">
        <f>'SAMEDI 14h00 Présence'!C36</f>
        <v>MULLER Noham</v>
      </c>
      <c r="I51" s="42" t="str">
        <f>'SAMEDI 14h00 Présence'!D36</f>
        <v>U9</v>
      </c>
      <c r="J51" s="119"/>
      <c r="K51" s="119"/>
      <c r="L51" s="121">
        <v>10</v>
      </c>
      <c r="M51" s="42" t="str">
        <f>'SAMEDI 15h45 Présence'!C16</f>
        <v>LEFEBVRE Alban</v>
      </c>
      <c r="N51" s="42" t="str">
        <f>'SAMEDI 15h45 Présence'!D16</f>
        <v>U15</v>
      </c>
      <c r="O51" s="119"/>
      <c r="P51" s="119"/>
      <c r="Q51" s="119"/>
    </row>
    <row r="52" spans="1:17">
      <c r="A52" s="38"/>
      <c r="B52" s="121">
        <v>11</v>
      </c>
      <c r="C52" s="45" t="str">
        <f>'SAMEDI 14h00 Présence'!C17</f>
        <v>CHEMOUN Livio</v>
      </c>
      <c r="D52" s="45" t="str">
        <f>'SAMEDI 14h00 Présence'!D17</f>
        <v>U6</v>
      </c>
      <c r="E52" s="41"/>
      <c r="F52" s="41"/>
      <c r="G52" s="121">
        <v>11</v>
      </c>
      <c r="H52" s="42" t="str">
        <f>'SAMEDI 14h00 Présence'!C37</f>
        <v>DJOUAD Adam</v>
      </c>
      <c r="I52" s="42" t="str">
        <f>'SAMEDI 14h00 Présence'!D37</f>
        <v>U8</v>
      </c>
      <c r="J52" s="119"/>
      <c r="K52" s="119"/>
      <c r="L52" s="121">
        <v>11</v>
      </c>
      <c r="M52" s="42" t="str">
        <f>'SAMEDI 15h45 Présence'!C17</f>
        <v>BENDEBICHE Zayd</v>
      </c>
      <c r="N52" s="42" t="str">
        <f>'SAMEDI 15h45 Présence'!D17</f>
        <v>U15</v>
      </c>
      <c r="O52" s="119"/>
      <c r="P52" s="119"/>
      <c r="Q52" s="119"/>
    </row>
    <row r="53" spans="1:17">
      <c r="A53" s="38"/>
      <c r="B53" s="121">
        <v>12</v>
      </c>
      <c r="C53" s="45" t="str">
        <f>'SAMEDI 14h00 Présence'!C18</f>
        <v>BENZITOUNI Kamil</v>
      </c>
      <c r="D53" s="45" t="str">
        <f>'SAMEDI 14h00 Présence'!D18</f>
        <v>U7</v>
      </c>
      <c r="E53" s="41"/>
      <c r="F53" s="41"/>
      <c r="G53" s="121">
        <v>12</v>
      </c>
      <c r="H53" s="42" t="str">
        <f>'SAMEDI 14h00 Présence'!C38</f>
        <v>SABIR Ilyâs</v>
      </c>
      <c r="I53" s="42" t="str">
        <f>'SAMEDI 14h00 Présence'!D38</f>
        <v>U9</v>
      </c>
      <c r="J53" s="119"/>
      <c r="K53" s="119"/>
      <c r="L53" s="121">
        <v>12</v>
      </c>
      <c r="M53" s="42" t="str">
        <f>'SAMEDI 15h45 Présence'!C18</f>
        <v>TAHI Ilyas</v>
      </c>
      <c r="N53" s="42" t="str">
        <f>'SAMEDI 15h45 Présence'!D18</f>
        <v>U12</v>
      </c>
      <c r="O53" s="119"/>
      <c r="P53" s="119"/>
      <c r="Q53" s="119"/>
    </row>
    <row r="54" spans="1:17">
      <c r="A54" s="38"/>
      <c r="B54" s="121">
        <v>13</v>
      </c>
      <c r="C54" s="45"/>
      <c r="D54" s="45"/>
      <c r="E54" s="41"/>
      <c r="F54" s="41"/>
      <c r="G54" s="121">
        <v>13</v>
      </c>
      <c r="H54" s="42"/>
      <c r="I54" s="42"/>
      <c r="J54" s="119"/>
      <c r="K54" s="119"/>
      <c r="L54" s="121">
        <v>13</v>
      </c>
      <c r="M54" s="42"/>
      <c r="N54" s="42"/>
      <c r="O54" s="119"/>
      <c r="P54" s="119"/>
      <c r="Q54" s="119"/>
    </row>
    <row r="55" spans="1:17">
      <c r="A55" s="38"/>
      <c r="B55" s="121">
        <v>14</v>
      </c>
      <c r="C55" s="45"/>
      <c r="D55" s="45"/>
      <c r="E55" s="41"/>
      <c r="F55" s="41"/>
      <c r="G55" s="121">
        <v>14</v>
      </c>
      <c r="H55" s="42"/>
      <c r="I55" s="42"/>
      <c r="J55" s="119"/>
      <c r="K55" s="119"/>
      <c r="L55" s="121">
        <v>14</v>
      </c>
      <c r="M55" s="42"/>
      <c r="N55" s="42"/>
      <c r="O55" s="119"/>
      <c r="P55" s="119"/>
      <c r="Q55" s="119"/>
    </row>
    <row r="56" spans="1:17">
      <c r="A56" s="38"/>
      <c r="B56" s="121">
        <v>15</v>
      </c>
      <c r="C56" s="45"/>
      <c r="D56" s="45"/>
      <c r="E56" s="41"/>
      <c r="F56" s="41"/>
      <c r="G56" s="121">
        <v>15</v>
      </c>
      <c r="H56" s="42"/>
      <c r="I56" s="42"/>
      <c r="J56" s="119"/>
      <c r="K56" s="119"/>
      <c r="L56" s="121">
        <v>15</v>
      </c>
      <c r="M56" s="42"/>
      <c r="N56" s="42"/>
      <c r="O56" s="119"/>
      <c r="P56" s="119"/>
      <c r="Q56" s="119"/>
    </row>
    <row r="57" spans="1:17">
      <c r="A57" s="38"/>
      <c r="B57" s="122">
        <v>16</v>
      </c>
      <c r="C57" s="45"/>
      <c r="D57" s="45"/>
      <c r="E57" s="41"/>
      <c r="F57" s="41"/>
      <c r="G57" s="122">
        <v>16</v>
      </c>
      <c r="H57" s="42"/>
      <c r="I57" s="42"/>
      <c r="J57" s="119"/>
      <c r="K57" s="119"/>
      <c r="L57" s="122">
        <v>16</v>
      </c>
      <c r="M57" s="42"/>
      <c r="N57" s="42"/>
      <c r="O57" s="119"/>
      <c r="P57" s="119"/>
      <c r="Q57" s="119"/>
    </row>
    <row r="58" spans="1:17" ht="18.75">
      <c r="A58" s="38"/>
      <c r="B58" s="118" t="s">
        <v>413</v>
      </c>
      <c r="C58" s="118"/>
      <c r="D58" s="118"/>
      <c r="E58" s="41"/>
      <c r="F58" s="41"/>
      <c r="G58" s="118" t="s">
        <v>416</v>
      </c>
      <c r="H58" s="118"/>
      <c r="I58" s="118"/>
      <c r="J58" s="119"/>
      <c r="K58" s="119"/>
      <c r="L58" s="118" t="s">
        <v>413</v>
      </c>
      <c r="M58" s="118"/>
      <c r="N58" s="118"/>
      <c r="O58" s="119"/>
      <c r="P58" s="119"/>
      <c r="Q58" s="119"/>
    </row>
    <row r="59" spans="1:17">
      <c r="C59" s="60" t="s">
        <v>417</v>
      </c>
      <c r="E59" s="2"/>
    </row>
    <row r="60" spans="1:17">
      <c r="B60" s="117" t="s">
        <v>418</v>
      </c>
      <c r="C60" s="117"/>
      <c r="D60" s="117"/>
      <c r="E60" s="2"/>
      <c r="G60" s="117" t="s">
        <v>419</v>
      </c>
      <c r="H60" s="117"/>
      <c r="I60" s="117"/>
    </row>
    <row r="61" spans="1:17">
      <c r="B61" s="120">
        <v>1</v>
      </c>
      <c r="C61" s="42" t="str">
        <f>'BABY Présence'!C35</f>
        <v>MARTIN Noah</v>
      </c>
      <c r="D61" s="42" t="str">
        <f>'BABY Présence'!D35</f>
        <v>U5</v>
      </c>
      <c r="E61" s="2"/>
      <c r="G61" s="120">
        <v>1</v>
      </c>
      <c r="H61" s="42" t="str">
        <f>'BABY Présence'!C48</f>
        <v>KLAI Taha</v>
      </c>
      <c r="I61" s="42" t="str">
        <f>'BABY Présence'!D48</f>
        <v>U5</v>
      </c>
    </row>
    <row r="62" spans="1:17">
      <c r="B62" s="121">
        <v>2</v>
      </c>
      <c r="C62" s="42" t="str">
        <f>'BABY Présence'!C36</f>
        <v xml:space="preserve">MICHOT DA CONCEICAO Keyian </v>
      </c>
      <c r="D62" s="42" t="str">
        <f>'BABY Présence'!D36</f>
        <v>U5</v>
      </c>
      <c r="E62" s="2"/>
      <c r="G62" s="121">
        <v>2</v>
      </c>
      <c r="H62" s="42" t="str">
        <f>'BABY Présence'!C49</f>
        <v>NETO Meho</v>
      </c>
      <c r="I62" s="42" t="str">
        <f>'BABY Présence'!D49</f>
        <v>U5</v>
      </c>
    </row>
    <row r="63" spans="1:17" ht="15" customHeight="1">
      <c r="B63" s="121">
        <v>3</v>
      </c>
      <c r="C63" s="42" t="str">
        <f>'BABY Présence'!C37</f>
        <v>FRAIKIN Gaspard</v>
      </c>
      <c r="D63" s="42" t="str">
        <f>'BABY Présence'!D37</f>
        <v>U5</v>
      </c>
      <c r="E63" s="2"/>
      <c r="G63" s="121">
        <v>3</v>
      </c>
      <c r="H63" s="42" t="str">
        <f>'BABY Présence'!C50</f>
        <v>SOUISSI Hedi</v>
      </c>
      <c r="I63" s="42" t="str">
        <f>'BABY Présence'!D50</f>
        <v>U5</v>
      </c>
    </row>
    <row r="64" spans="1:17">
      <c r="B64" s="121">
        <v>4</v>
      </c>
      <c r="C64" s="42" t="str">
        <f>'BABY Présence'!C38</f>
        <v>SIMON Taïryk</v>
      </c>
      <c r="D64" s="42" t="str">
        <f>'BABY Présence'!D38</f>
        <v>U5</v>
      </c>
      <c r="E64" s="2"/>
      <c r="G64" s="121">
        <v>4</v>
      </c>
      <c r="H64" s="42" t="str">
        <f>'BABY Présence'!C51</f>
        <v>HAOUEL Adam</v>
      </c>
      <c r="I64" s="42" t="str">
        <f>'BABY Présence'!D51</f>
        <v>U5</v>
      </c>
    </row>
    <row r="65" spans="2:9">
      <c r="B65" s="121">
        <v>5</v>
      </c>
      <c r="C65" s="42" t="str">
        <f>'BABY Présence'!C39</f>
        <v>AHITOUR Youssef</v>
      </c>
      <c r="D65" s="42" t="str">
        <f>'BABY Présence'!D39</f>
        <v>U5</v>
      </c>
      <c r="E65" s="2"/>
      <c r="G65" s="121">
        <v>5</v>
      </c>
      <c r="H65" s="42" t="str">
        <f>'BABY Présence'!C52</f>
        <v>BENDOUBA Haron</v>
      </c>
      <c r="I65" s="42" t="str">
        <f>'BABY Présence'!D52</f>
        <v>U5</v>
      </c>
    </row>
    <row r="66" spans="2:9">
      <c r="B66" s="121">
        <v>6</v>
      </c>
      <c r="C66" s="42" t="str">
        <f>'BABY Présence'!C40</f>
        <v>VANGOUT Isaiah</v>
      </c>
      <c r="D66" s="42" t="str">
        <f>'BABY Présence'!D40</f>
        <v>U5</v>
      </c>
      <c r="G66" s="121">
        <v>6</v>
      </c>
      <c r="H66" s="42" t="str">
        <f>'BABY Présence'!C53</f>
        <v>BEJAOUI Helia</v>
      </c>
      <c r="I66" s="42" t="str">
        <f>'BABY Présence'!D53</f>
        <v>U5</v>
      </c>
    </row>
    <row r="67" spans="2:9">
      <c r="B67" s="121">
        <v>7</v>
      </c>
      <c r="C67" s="42" t="str">
        <f>'BABY Présence'!C41</f>
        <v>FRANCOIS Noah</v>
      </c>
      <c r="D67" s="42" t="str">
        <f>'BABY Présence'!D41</f>
        <v>U5</v>
      </c>
      <c r="G67" s="121">
        <v>7</v>
      </c>
      <c r="H67" s="42" t="str">
        <f>'BABY Présence'!C54</f>
        <v>MHENNI Emyr</v>
      </c>
      <c r="I67" s="42" t="str">
        <f>'BABY Présence'!D54</f>
        <v>U5</v>
      </c>
    </row>
    <row r="68" spans="2:9">
      <c r="B68" s="121">
        <v>8</v>
      </c>
      <c r="C68" s="42" t="str">
        <f>'BABY Présence'!C42</f>
        <v>KINANKAZI Kimya</v>
      </c>
      <c r="D68" s="42" t="str">
        <f>'BABY Présence'!D42</f>
        <v>U5</v>
      </c>
      <c r="G68" s="121">
        <v>8</v>
      </c>
      <c r="H68" s="42" t="str">
        <f>'BABY Présence'!C55</f>
        <v>SAHL Milo</v>
      </c>
      <c r="I68" s="42" t="str">
        <f>'BABY Présence'!D55</f>
        <v>U5</v>
      </c>
    </row>
    <row r="69" spans="2:9">
      <c r="B69" s="121">
        <v>9</v>
      </c>
      <c r="C69" s="46"/>
      <c r="D69" s="46"/>
      <c r="G69" s="121">
        <v>9</v>
      </c>
      <c r="H69" s="42" t="str">
        <f>'BABY Présence'!C56</f>
        <v>MOHAMED Naïm</v>
      </c>
      <c r="I69" s="42" t="str">
        <f>'BABY Présence'!D56</f>
        <v>U5</v>
      </c>
    </row>
    <row r="70" spans="2:9">
      <c r="B70" s="122">
        <v>10</v>
      </c>
      <c r="C70" s="46"/>
      <c r="D70" s="46"/>
      <c r="G70" s="122">
        <v>10</v>
      </c>
      <c r="H70" s="42" t="str">
        <f>'BABY Présence'!C57</f>
        <v>SLIMAN Saïan</v>
      </c>
      <c r="I70" s="42" t="str">
        <f>'BABY Présence'!D57</f>
        <v>U5</v>
      </c>
    </row>
    <row r="71" spans="2:9" ht="18.75">
      <c r="B71" s="118" t="s">
        <v>405</v>
      </c>
      <c r="C71" s="118"/>
      <c r="D71" s="118"/>
      <c r="G71" s="118" t="s">
        <v>396</v>
      </c>
      <c r="H71" s="118"/>
      <c r="I71" s="118"/>
    </row>
  </sheetData>
  <mergeCells count="32">
    <mergeCell ref="L41:N41"/>
    <mergeCell ref="L58:N58"/>
    <mergeCell ref="B58:D58"/>
    <mergeCell ref="G58:I58"/>
    <mergeCell ref="B60:D60"/>
    <mergeCell ref="B71:D71"/>
    <mergeCell ref="G60:I60"/>
    <mergeCell ref="G71:I71"/>
    <mergeCell ref="G41:I41"/>
    <mergeCell ref="A42:A49"/>
    <mergeCell ref="F42:F49"/>
    <mergeCell ref="B41:D41"/>
    <mergeCell ref="L39:N39"/>
    <mergeCell ref="B1:N1"/>
    <mergeCell ref="L22:N22"/>
    <mergeCell ref="B3:D3"/>
    <mergeCell ref="G3:I3"/>
    <mergeCell ref="L3:N3"/>
    <mergeCell ref="B20:D20"/>
    <mergeCell ref="G20:I20"/>
    <mergeCell ref="L20:N20"/>
    <mergeCell ref="B39:D39"/>
    <mergeCell ref="G39:I39"/>
    <mergeCell ref="F23:F30"/>
    <mergeCell ref="K23:K30"/>
    <mergeCell ref="K4:K11"/>
    <mergeCell ref="A23:A30"/>
    <mergeCell ref="B22:D22"/>
    <mergeCell ref="G22:I22"/>
    <mergeCell ref="A3:A10"/>
    <mergeCell ref="A11:A19"/>
    <mergeCell ref="F4:F11"/>
  </mergeCells>
  <pageMargins left="0.7" right="0.7" top="0.75" bottom="0.75" header="0.3" footer="0.3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2671-FF07-45AF-AAFE-292D4A21987D}">
  <sheetPr>
    <tabColor rgb="FF7030A0"/>
  </sheetPr>
  <dimension ref="A1:B12"/>
  <sheetViews>
    <sheetView workbookViewId="0">
      <selection activeCell="G9" sqref="G9"/>
    </sheetView>
  </sheetViews>
  <sheetFormatPr defaultRowHeight="15"/>
  <cols>
    <col min="1" max="1" width="5.42578125" bestFit="1" customWidth="1"/>
    <col min="2" max="2" width="4.7109375" bestFit="1" customWidth="1"/>
  </cols>
  <sheetData>
    <row r="1" spans="1:2">
      <c r="A1" s="73">
        <v>2021</v>
      </c>
      <c r="B1" s="72" t="s">
        <v>40</v>
      </c>
    </row>
    <row r="2" spans="1:2">
      <c r="A2" s="73">
        <v>2020</v>
      </c>
      <c r="B2" s="72" t="s">
        <v>110</v>
      </c>
    </row>
    <row r="3" spans="1:2">
      <c r="A3" s="73">
        <v>2019</v>
      </c>
      <c r="B3" s="72" t="s">
        <v>114</v>
      </c>
    </row>
    <row r="4" spans="1:2">
      <c r="A4" s="73">
        <v>2018</v>
      </c>
      <c r="B4" s="72" t="s">
        <v>120</v>
      </c>
    </row>
    <row r="5" spans="1:2">
      <c r="A5" s="73">
        <v>2017</v>
      </c>
      <c r="B5" s="72" t="s">
        <v>123</v>
      </c>
    </row>
    <row r="6" spans="1:2">
      <c r="A6" s="73">
        <v>2016</v>
      </c>
      <c r="B6" s="72" t="s">
        <v>88</v>
      </c>
    </row>
    <row r="7" spans="1:2">
      <c r="A7" s="73">
        <v>2015</v>
      </c>
      <c r="B7" s="72" t="s">
        <v>94</v>
      </c>
    </row>
    <row r="8" spans="1:2">
      <c r="A8" s="73">
        <v>2014</v>
      </c>
      <c r="B8" s="72" t="s">
        <v>101</v>
      </c>
    </row>
    <row r="9" spans="1:2">
      <c r="A9" s="73">
        <v>2013</v>
      </c>
      <c r="B9" s="72" t="s">
        <v>103</v>
      </c>
    </row>
    <row r="10" spans="1:2">
      <c r="A10" s="73">
        <v>2012</v>
      </c>
      <c r="B10" s="72" t="s">
        <v>208</v>
      </c>
    </row>
    <row r="11" spans="1:2">
      <c r="A11" s="73">
        <v>2011</v>
      </c>
      <c r="B11" s="72" t="s">
        <v>212</v>
      </c>
    </row>
    <row r="12" spans="1:2">
      <c r="A12" s="73">
        <v>2010</v>
      </c>
      <c r="B12" s="72" t="s">
        <v>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9C32C-DCC7-4FD2-8D97-F34AD5CCDF1E}"/>
</file>

<file path=customXml/itemProps2.xml><?xml version="1.0" encoding="utf-8"?>
<ds:datastoreItem xmlns:ds="http://schemas.openxmlformats.org/officeDocument/2006/customXml" ds:itemID="{0E010686-3E89-4382-B60F-16B26A6EA219}"/>
</file>

<file path=customXml/itemProps3.xml><?xml version="1.0" encoding="utf-8"?>
<ds:datastoreItem xmlns:ds="http://schemas.openxmlformats.org/officeDocument/2006/customXml" ds:itemID="{CB5A6BC8-6D46-43DF-B841-7DB45DB0B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Kids</dc:creator>
  <cp:keywords/>
  <dc:description/>
  <cp:lastModifiedBy/>
  <cp:revision/>
  <dcterms:created xsi:type="dcterms:W3CDTF">2021-09-09T14:33:41Z</dcterms:created>
  <dcterms:modified xsi:type="dcterms:W3CDTF">2026-03-28T11:28:11Z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0x010100F57AE488C1C9C348AE667C65EC1B6349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GUID">
    <vt:lpwstr>463cf4bf-7360-4ba9-9c4f-fe101290cf39</vt:lpwstr>
  </property>
  <property fmtid="{D5CDD505-2E9C-101B-9397-08002B2CF9AE}" pid="13" name="xd_Signature">
    <vt:bool>false</vt:bool>
  </property>
</Properties>
</file>